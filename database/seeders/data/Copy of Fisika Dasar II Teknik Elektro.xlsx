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4"/>
    <sheet state="visible" name="LAPORAN RESMI" sheetId="2" r:id="rId5"/>
    <sheet state="visible" name="PENULISAN LAPORAN" sheetId="3" r:id="rId6"/>
    <sheet state="visible" name="KEMAMPUAN PRAKTIKUM" sheetId="4" r:id="rId7"/>
    <sheet state="visible" name="NILAI HARIAN" sheetId="5" r:id="rId8"/>
    <sheet state="visible" name="NILAI AKHIR" sheetId="6" r:id="rId9"/>
    <sheet state="visible" name="PIE CHART" sheetId="7" r:id="rId10"/>
  </sheets>
  <definedNames/>
  <calcPr/>
  <extLst>
    <ext uri="GoogleSheetsCustomDataVersion2">
      <go:sheetsCustomData xmlns:go="http://customooxmlschemas.google.com/" r:id="rId11" roundtripDataChecksum="MfuajxcrZuEmxeu4yb8W38DmraZGTc1CRpl5rcCqMwk="/>
    </ext>
  </extLst>
</workbook>
</file>

<file path=xl/sharedStrings.xml><?xml version="1.0" encoding="utf-8"?>
<sst xmlns="http://schemas.openxmlformats.org/spreadsheetml/2006/main" count="189" uniqueCount="115">
  <si>
    <t>PROGRAM STUDI : TEKNIK ELEKTRO</t>
  </si>
  <si>
    <t>NO</t>
  </si>
  <si>
    <t>NIM</t>
  </si>
  <si>
    <t>Nama</t>
  </si>
  <si>
    <t>WORKSHEET TEMPLATE</t>
  </si>
  <si>
    <t>Muhammad Jodika</t>
  </si>
  <si>
    <t>SISTEM PENILAIAN PRAKTIKUM</t>
  </si>
  <si>
    <t>Muhammad Rifqi Maulana</t>
  </si>
  <si>
    <t>LABORATORIUM ELEKTRO DASAR</t>
  </si>
  <si>
    <t>Andhika Pratama</t>
  </si>
  <si>
    <t>Nur Aqmarina</t>
  </si>
  <si>
    <t>Rias Prihatanto</t>
  </si>
  <si>
    <t>Muhammad Maulana Bhagaskara</t>
  </si>
  <si>
    <t>Chelsi Kamera</t>
  </si>
  <si>
    <t>Riyan Maulana</t>
  </si>
  <si>
    <t>Dimas Prasetyo Wibowo</t>
  </si>
  <si>
    <t>VER 2 (April 2025)</t>
  </si>
  <si>
    <t>Najwa Dwi Maylani</t>
  </si>
  <si>
    <t>Surya Ardhian Mokodongan</t>
  </si>
  <si>
    <t>Ahmad Irfani Ananda Putra Hariawan</t>
  </si>
  <si>
    <t>Petunjuk Penggunaan Template</t>
  </si>
  <si>
    <t>Afif Rizqi Ramadhan</t>
  </si>
  <si>
    <t>Julius Simamora</t>
  </si>
  <si>
    <t xml:space="preserve">1. Isikan daftar peserta praktikum pada sheet "INPUT DAFTAR PESERTA" </t>
  </si>
  <si>
    <t>Gea Novtry</t>
  </si>
  <si>
    <t>(Disarankan untuk menyesuaikan dengan template disamping)</t>
  </si>
  <si>
    <t>Najmi habibi</t>
  </si>
  <si>
    <t>2. Isian Nama dan NIM pada sheet selanjutnya akan terinput secara otomatis sesuai dengan isian sheet "INPUT DAFTAR PESERTA"</t>
  </si>
  <si>
    <t>Muhammad Reza Aulia</t>
  </si>
  <si>
    <t>3. Nilai praktikum diisikan pada sheet "PENULISAN LAPORAN", "LAPORAN RESMI", "KEMAMPUAN PRAKTIKUM dan "NILAI HARIAN"</t>
  </si>
  <si>
    <t>Omar maulana ibnu rahman</t>
  </si>
  <si>
    <t>4. Rekapitulasi nilai praktikum permodul akan terakumulasi secara otomatis pada sheet "NILAI AKHIR" dan PIE-CHART"</t>
  </si>
  <si>
    <t>F. Agung Setyawan. L</t>
  </si>
  <si>
    <t>5. Perubahan formula pada sistem menyesuaikan dengan aturan dan SOP terbaru penilaian praktikum Lab Elektro Dasar</t>
  </si>
  <si>
    <t>Muhammad Rafi Ramadhan</t>
  </si>
  <si>
    <t>6. Link akses Surat Keterangan Lulus Praktikum sebagai berikut:</t>
  </si>
  <si>
    <t>Farras Alwan Putra Setyo</t>
  </si>
  <si>
    <t>7. Link akses Sheet perkomponen sebagai berikut:</t>
  </si>
  <si>
    <t>Dewo Dzaki</t>
  </si>
  <si>
    <t>Penulisan Laporan</t>
  </si>
  <si>
    <t>Yusr Gavrila</t>
  </si>
  <si>
    <t>Laporan Resmi</t>
  </si>
  <si>
    <t>Fahrizal Prasetya</t>
  </si>
  <si>
    <t>Kemampuan Praktikum</t>
  </si>
  <si>
    <t>Ariya Kema Maulana</t>
  </si>
  <si>
    <t>Nilai  Harian</t>
  </si>
  <si>
    <t>Muhammad Afdal</t>
  </si>
  <si>
    <t>Nilai Akhir</t>
  </si>
  <si>
    <t>Carlos Immanuel Simanjuntak</t>
  </si>
  <si>
    <t>Pie Chart</t>
  </si>
  <si>
    <t>Ardhian Arif Ananda</t>
  </si>
  <si>
    <t>Ahmad Fikri Tri Utomo</t>
  </si>
  <si>
    <t>Muhammad Alfin Alfanfa</t>
  </si>
  <si>
    <t>Faizal Haqi</t>
  </si>
  <si>
    <t>Joinicius Pasalin</t>
  </si>
  <si>
    <t>Alwi Rudiansyah</t>
  </si>
  <si>
    <t>Muhammad Rizki Nauval Alim</t>
  </si>
  <si>
    <t>Muhammad Rico Setiawan</t>
  </si>
  <si>
    <t>Muhammad Ananda Ryan Nur Rahman</t>
  </si>
  <si>
    <t>Muhammad Alif Rahmat Syakir</t>
  </si>
  <si>
    <t>Christopher Mahesa Aditama</t>
  </si>
  <si>
    <t>Muhammad Rafli Ramadhani</t>
  </si>
  <si>
    <t>Muhammad Rindhan Amarna</t>
  </si>
  <si>
    <t>Bima Angga Pratama</t>
  </si>
  <si>
    <t>Muhammad Daffa Dzakwan</t>
  </si>
  <si>
    <t>Ahmad Purwono Aji</t>
  </si>
  <si>
    <t>Muhammad Hasan Hanif</t>
  </si>
  <si>
    <t>Gilbert Pasolon</t>
  </si>
  <si>
    <t>Achmad Fauzan At-Tamimi</t>
  </si>
  <si>
    <t>Mahmud Abdul Aziz Qoby</t>
  </si>
  <si>
    <t>Gde Nookie Carl Arya Susila</t>
  </si>
  <si>
    <t>Muhammad Afrizal</t>
  </si>
  <si>
    <t>Rezky Yutabse</t>
  </si>
  <si>
    <t>Dimas Wijaya Muliangto</t>
  </si>
  <si>
    <t>Muhammad Aldi</t>
  </si>
  <si>
    <t>Rivaldy Paredanun</t>
  </si>
  <si>
    <t>Muhammad Zacky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</si>
  <si>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</si>
  <si>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</si>
  <si>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</si>
  <si>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</si>
  <si>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</si>
  <si>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</si>
  <si>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</si>
  <si>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</si>
  <si>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HOME</t>
  </si>
  <si>
    <t>Laporan Mingguan</t>
  </si>
  <si>
    <t>Resmi</t>
  </si>
  <si>
    <t>K1</t>
  </si>
  <si>
    <t>K2</t>
  </si>
  <si>
    <t>K3</t>
  </si>
  <si>
    <t>K4</t>
  </si>
  <si>
    <t>Rerata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</si>
  <si>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</si>
  <si>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</si>
  <si>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</si>
  <si>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</si>
  <si>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</si>
  <si>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</si>
  <si>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</si>
  <si>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</si>
  <si>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</si>
  <si>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</si>
  <si>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</si>
  <si>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</si>
  <si>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</si>
  <si>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>NILAI</t>
  </si>
  <si>
    <t>FREKUENSI</t>
  </si>
  <si>
    <t>A</t>
  </si>
  <si>
    <t>B</t>
  </si>
  <si>
    <t>C</t>
  </si>
  <si>
    <t>D</t>
  </si>
  <si>
    <t>E</t>
  </si>
  <si>
    <t>Lulus :</t>
  </si>
  <si>
    <t>Tidak Lulus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</si>
</sst>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 theme="1"/>
      <name val="Calibri"/>
      <scheme val="minor"/>
    </font>
    <font>
      <sz val="14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Comic Sans MS"/>
    </font>
    <font>
      <sz val="11.0"/>
      <color theme="1"/>
      <name val="Times New Roman"/>
    </font>
    <font>
      <b/>
      <sz val="10.0"/>
      <color theme="1"/>
      <name val="Comic Sans MS"/>
    </font>
    <font>
      <b/>
      <sz val="11.0"/>
      <color theme="1"/>
      <name val="Comic Sans MS"/>
    </font>
    <font>
      <sz val="10.0"/>
      <color theme="1"/>
      <name val="Comic Sans MS"/>
    </font>
    <font>
      <sz val="10.0"/>
      <color rgb="FF434343"/>
      <name val="Comic Sans MS"/>
    </font>
    <font>
      <b/>
      <u/>
      <sz val="10.0"/>
      <color theme="10"/>
      <name val="Comic Sans MS"/>
    </font>
    <font>
      <sz val="11.0"/>
      <color theme="1"/>
      <name val="Comic Sans MS"/>
    </font>
    <font>
      <b/>
      <sz val="11.0"/>
      <color theme="1"/>
      <name val="Calibri"/>
    </font>
    <font>
      <sz val="13.0"/>
      <color theme="10"/>
      <name val="Calibri"/>
    </font>
    <font>
      <sz val="11.0"/>
      <color theme="1"/>
      <name val="Calibri"/>
    </font>
    <font/>
    <font>
      <color theme="1"/>
      <name val="Calibri"/>
      <scheme val="minor"/>
    </font>
    <font>
      <u/>
      <sz val="13.0"/>
      <color theme="10"/>
      <name val="Calibri"/>
    </font>
    <font>
      <b/>
      <sz val="11.0"/>
      <color rgb="FFFF0000"/>
      <name val="Times New Roman"/>
    </font>
    <font>
      <color rgb="FF000000"/>
      <name val="Times New Roman"/>
    </font>
    <font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6699"/>
        <bgColor rgb="FFFF6699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2" fillId="3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readingOrder="0" vertical="center"/>
    </xf>
    <xf borderId="5" fillId="0" fontId="14" numFmtId="0" xfId="0" applyBorder="1" applyFont="1"/>
    <xf borderId="6" fillId="0" fontId="14" numFmtId="0" xfId="0" applyBorder="1" applyFont="1"/>
    <xf borderId="7" fillId="0" fontId="14" numFmtId="0" xfId="0" applyBorder="1" applyFont="1"/>
    <xf borderId="1" fillId="2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4" fontId="4" numFmtId="2" xfId="0" applyAlignment="1" applyBorder="1" applyFont="1" applyNumberFormat="1">
      <alignment horizontal="center" vertical="center"/>
    </xf>
    <xf borderId="0" fillId="3" fontId="15" numFmtId="0" xfId="0" applyFont="1"/>
    <xf borderId="1" fillId="4" fontId="4" numFmtId="0" xfId="0" applyAlignment="1" applyBorder="1" applyFont="1">
      <alignment horizontal="center" readingOrder="0" vertical="center"/>
    </xf>
    <xf borderId="0" fillId="0" fontId="16" numFmtId="0" xfId="0" applyFont="1"/>
    <xf borderId="4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Border="1" applyFont="1"/>
    <xf borderId="1" fillId="3" fontId="4" numFmtId="0" xfId="0" applyAlignment="1" applyBorder="1" applyFont="1">
      <alignment horizontal="center" readingOrder="0" vertical="center"/>
    </xf>
    <xf borderId="1" fillId="3" fontId="4" numFmtId="164" xfId="0" applyAlignment="1" applyBorder="1" applyFont="1" applyNumberFormat="1">
      <alignment horizontal="center" vertical="center"/>
    </xf>
    <xf borderId="1" fillId="3" fontId="4" numFmtId="2" xfId="0" applyAlignment="1" applyBorder="1" applyFont="1" applyNumberFormat="1">
      <alignment horizontal="center" vertical="center"/>
    </xf>
    <xf borderId="8" fillId="0" fontId="14" numFmtId="0" xfId="0" applyBorder="1" applyFont="1"/>
    <xf borderId="1" fillId="0" fontId="17" numFmtId="9" xfId="0" applyAlignment="1" applyBorder="1" applyFont="1" applyNumberFormat="1">
      <alignment horizontal="center" vertical="center"/>
    </xf>
    <xf borderId="1" fillId="0" fontId="17" numFmtId="9" xfId="0" applyAlignment="1" applyBorder="1" applyFont="1" applyNumberFormat="1">
      <alignment horizontal="center" readingOrder="0" vertical="center"/>
    </xf>
    <xf borderId="9" fillId="0" fontId="14" numFmtId="0" xfId="0" applyBorder="1" applyFont="1"/>
    <xf borderId="1" fillId="0" fontId="17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readingOrder="0" shrinkToFit="0" wrapText="0"/>
    </xf>
    <xf borderId="1" fillId="5" fontId="18" numFmtId="0" xfId="0" applyAlignment="1" applyBorder="1" applyFill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center" wrapText="1"/>
    </xf>
    <xf borderId="10" fillId="0" fontId="13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3" numFmtId="0" xfId="0" applyBorder="1" applyFont="1"/>
    <xf borderId="7" fillId="0" fontId="13" numFmtId="2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2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F6699"/>
          <bgColor rgb="FFFF6699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6699"/>
              </a:solidFill>
            </c:spPr>
          </c:dPt>
          <c:dPt>
            <c:idx val="1"/>
            <c:spPr>
              <a:solidFill>
                <a:srgbClr val="99CCFF"/>
              </a:solidFill>
            </c:spPr>
          </c:dPt>
          <c:dPt>
            <c:idx val="2"/>
            <c:spPr>
              <a:solidFill>
                <a:srgbClr val="B6D7A8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Pt>
            <c:idx val="4"/>
            <c:spPr>
              <a:solidFill>
                <a:srgbClr val="C0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4</xdr:row>
      <xdr:rowOff>152400</xdr:rowOff>
    </xdr:from>
    <xdr:ext cx="828675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504825</xdr:colOff>
      <xdr:row>5</xdr:row>
      <xdr:rowOff>9525</xdr:rowOff>
    </xdr:from>
    <xdr:ext cx="4572000" cy="2876550"/>
    <xdr:graphicFrame>
      <xdr:nvGraphicFramePr>
        <xdr:cNvPr id="43925528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43"/>
    <col customWidth="1" min="3" max="3" width="38.43"/>
    <col customWidth="1" min="4" max="26" width="8.71"/>
  </cols>
  <sheetData>
    <row r="1" ht="32.25" customHeight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  <c r="E2" s="3" t="s">
        <v>4</v>
      </c>
    </row>
    <row r="3">
      <c r="A3" s="4">
        <v>1.0</v>
      </c>
      <c r="B3" s="5">
        <v>2.409076001E9</v>
      </c>
      <c r="C3" s="6" t="s">
        <v>5</v>
      </c>
      <c r="E3" s="3" t="s">
        <v>6</v>
      </c>
    </row>
    <row r="4">
      <c r="A4" s="4">
        <v>2.0</v>
      </c>
      <c r="B4" s="5">
        <v>2.409076002E9</v>
      </c>
      <c r="C4" s="6" t="s">
        <v>7</v>
      </c>
      <c r="E4" s="3" t="s">
        <v>8</v>
      </c>
    </row>
    <row r="5">
      <c r="A5" s="4">
        <v>3.0</v>
      </c>
      <c r="B5" s="5">
        <v>2.409076003E9</v>
      </c>
      <c r="C5" s="6" t="s">
        <v>9</v>
      </c>
    </row>
    <row r="6">
      <c r="A6" s="4">
        <v>4.0</v>
      </c>
      <c r="B6" s="5">
        <v>2.409076004E9</v>
      </c>
      <c r="C6" s="6" t="s">
        <v>10</v>
      </c>
    </row>
    <row r="7">
      <c r="A7" s="4">
        <v>5.0</v>
      </c>
      <c r="B7" s="5">
        <v>2.409076005E9</v>
      </c>
      <c r="C7" s="6" t="s">
        <v>11</v>
      </c>
    </row>
    <row r="8">
      <c r="A8" s="4">
        <v>6.0</v>
      </c>
      <c r="B8" s="5">
        <v>2.409076006E9</v>
      </c>
      <c r="C8" s="6" t="s">
        <v>12</v>
      </c>
    </row>
    <row r="9">
      <c r="A9" s="4">
        <v>7.0</v>
      </c>
      <c r="B9" s="5">
        <v>2.409076007E9</v>
      </c>
      <c r="C9" s="6" t="s">
        <v>13</v>
      </c>
    </row>
    <row r="10">
      <c r="A10" s="4">
        <v>8.0</v>
      </c>
      <c r="B10" s="5">
        <v>2.409076008E9</v>
      </c>
      <c r="C10" s="6" t="s">
        <v>14</v>
      </c>
    </row>
    <row r="11">
      <c r="A11" s="4">
        <v>9.0</v>
      </c>
      <c r="B11" s="5">
        <v>2.409076009E9</v>
      </c>
      <c r="C11" s="6" t="s">
        <v>15</v>
      </c>
      <c r="E11" s="7" t="s">
        <v>16</v>
      </c>
    </row>
    <row r="12">
      <c r="A12" s="4">
        <v>10.0</v>
      </c>
      <c r="B12" s="5">
        <v>2.40907601E9</v>
      </c>
      <c r="C12" s="6" t="s">
        <v>17</v>
      </c>
    </row>
    <row r="13">
      <c r="A13" s="4">
        <v>11.0</v>
      </c>
      <c r="B13" s="5">
        <v>2.409076011E9</v>
      </c>
      <c r="C13" s="6" t="s">
        <v>18</v>
      </c>
      <c r="E13" s="8"/>
    </row>
    <row r="14">
      <c r="A14" s="4">
        <v>12.0</v>
      </c>
      <c r="B14" s="5">
        <v>2.409076012E9</v>
      </c>
      <c r="C14" s="6" t="s">
        <v>19</v>
      </c>
      <c r="E14" s="8" t="s">
        <v>20</v>
      </c>
    </row>
    <row r="15">
      <c r="A15" s="4">
        <v>13.0</v>
      </c>
      <c r="B15" s="5">
        <v>2.409076013E9</v>
      </c>
      <c r="C15" s="6" t="s">
        <v>21</v>
      </c>
    </row>
    <row r="16">
      <c r="A16" s="4">
        <v>14.0</v>
      </c>
      <c r="B16" s="5">
        <v>2.409076014E9</v>
      </c>
      <c r="C16" s="6" t="s">
        <v>22</v>
      </c>
      <c r="E16" s="9" t="s">
        <v>23</v>
      </c>
    </row>
    <row r="17">
      <c r="A17" s="4">
        <v>15.0</v>
      </c>
      <c r="B17" s="5">
        <v>2.409076015E9</v>
      </c>
      <c r="C17" s="6" t="s">
        <v>24</v>
      </c>
      <c r="E17" s="10" t="s">
        <v>25</v>
      </c>
    </row>
    <row r="18">
      <c r="A18" s="4">
        <v>16.0</v>
      </c>
      <c r="B18" s="5">
        <v>2.409076016E9</v>
      </c>
      <c r="C18" s="6" t="s">
        <v>26</v>
      </c>
      <c r="E18" s="9" t="s">
        <v>27</v>
      </c>
    </row>
    <row r="19">
      <c r="A19" s="4">
        <v>17.0</v>
      </c>
      <c r="B19" s="5">
        <v>2.409076017E9</v>
      </c>
      <c r="C19" s="6" t="s">
        <v>28</v>
      </c>
      <c r="E19" s="9" t="s">
        <v>29</v>
      </c>
    </row>
    <row r="20">
      <c r="A20" s="4">
        <v>18.0</v>
      </c>
      <c r="B20" s="5">
        <v>2.409076018E9</v>
      </c>
      <c r="C20" s="6" t="s">
        <v>30</v>
      </c>
      <c r="E20" s="9" t="s">
        <v>31</v>
      </c>
    </row>
    <row r="21" ht="15.75" customHeight="1">
      <c r="A21" s="4">
        <v>19.0</v>
      </c>
      <c r="B21" s="5">
        <v>2.409076019E9</v>
      </c>
      <c r="C21" s="6" t="s">
        <v>32</v>
      </c>
      <c r="E21" s="9" t="s">
        <v>33</v>
      </c>
    </row>
    <row r="22" ht="15.75" customHeight="1">
      <c r="A22" s="4">
        <v>20.0</v>
      </c>
      <c r="B22" s="5">
        <v>2.40907602E9</v>
      </c>
      <c r="C22" s="6" t="s">
        <v>34</v>
      </c>
      <c r="E22" s="9" t="s">
        <v>35</v>
      </c>
    </row>
    <row r="23" ht="15.75" customHeight="1">
      <c r="A23" s="4">
        <v>21.0</v>
      </c>
      <c r="B23" s="5">
        <v>2.409076021E9</v>
      </c>
      <c r="C23" s="6" t="s">
        <v>36</v>
      </c>
      <c r="E23" s="9" t="s">
        <v>37</v>
      </c>
    </row>
    <row r="24" ht="15.75" customHeight="1">
      <c r="A24" s="4">
        <v>22.0</v>
      </c>
      <c r="B24" s="5">
        <v>2.409076022E9</v>
      </c>
      <c r="C24" s="6" t="s">
        <v>38</v>
      </c>
      <c r="E24" s="11" t="s">
        <v>39</v>
      </c>
      <c r="F24" s="12"/>
    </row>
    <row r="25" ht="15.75" customHeight="1">
      <c r="A25" s="4">
        <v>23.0</v>
      </c>
      <c r="B25" s="5">
        <v>2.409076023E9</v>
      </c>
      <c r="C25" s="6" t="s">
        <v>40</v>
      </c>
      <c r="E25" s="11" t="s">
        <v>41</v>
      </c>
      <c r="F25" s="12"/>
    </row>
    <row r="26" ht="15.75" customHeight="1">
      <c r="A26" s="4">
        <v>24.0</v>
      </c>
      <c r="B26" s="5">
        <v>2.409076025E9</v>
      </c>
      <c r="C26" s="6" t="s">
        <v>42</v>
      </c>
      <c r="E26" s="11" t="s">
        <v>43</v>
      </c>
      <c r="F26" s="12"/>
    </row>
    <row r="27" ht="15.75" customHeight="1">
      <c r="A27" s="4">
        <v>25.0</v>
      </c>
      <c r="B27" s="5">
        <v>2.409076026E9</v>
      </c>
      <c r="C27" s="6" t="s">
        <v>44</v>
      </c>
      <c r="E27" s="11" t="s">
        <v>45</v>
      </c>
      <c r="F27" s="12"/>
    </row>
    <row r="28" ht="15.75" customHeight="1">
      <c r="A28" s="4">
        <v>26.0</v>
      </c>
      <c r="B28" s="5">
        <v>2.409076027E9</v>
      </c>
      <c r="C28" s="6" t="s">
        <v>46</v>
      </c>
      <c r="E28" s="11" t="s">
        <v>47</v>
      </c>
      <c r="F28" s="12"/>
    </row>
    <row r="29" ht="15.75" customHeight="1">
      <c r="A29" s="4">
        <v>27.0</v>
      </c>
      <c r="B29" s="5">
        <v>2.409076028E9</v>
      </c>
      <c r="C29" s="6" t="s">
        <v>48</v>
      </c>
      <c r="E29" s="11" t="s">
        <v>49</v>
      </c>
      <c r="F29" s="12"/>
    </row>
    <row r="30" ht="15.75" customHeight="1">
      <c r="A30" s="4">
        <v>28.0</v>
      </c>
      <c r="B30" s="5">
        <v>2.409076029E9</v>
      </c>
      <c r="C30" s="6" t="s">
        <v>50</v>
      </c>
      <c r="F30" s="12"/>
    </row>
    <row r="31" ht="15.75" customHeight="1">
      <c r="A31" s="4">
        <v>29.0</v>
      </c>
      <c r="B31" s="5">
        <v>2.40907603E9</v>
      </c>
      <c r="C31" s="6" t="s">
        <v>51</v>
      </c>
      <c r="E31" s="13"/>
    </row>
    <row r="32" ht="15.75" customHeight="1">
      <c r="A32" s="4">
        <v>30.0</v>
      </c>
      <c r="B32" s="5">
        <v>2.409076031E9</v>
      </c>
      <c r="C32" s="6" t="s">
        <v>52</v>
      </c>
    </row>
    <row r="33" ht="15.75" customHeight="1">
      <c r="A33" s="4">
        <v>31.0</v>
      </c>
      <c r="B33" s="5">
        <v>2.409076032E9</v>
      </c>
      <c r="C33" s="6" t="s">
        <v>53</v>
      </c>
    </row>
    <row r="34" ht="15.75" customHeight="1">
      <c r="A34" s="4">
        <v>32.0</v>
      </c>
      <c r="B34" s="5">
        <v>2.409076033E9</v>
      </c>
      <c r="C34" s="6" t="s">
        <v>54</v>
      </c>
    </row>
    <row r="35" ht="15.75" customHeight="1">
      <c r="A35" s="4">
        <v>33.0</v>
      </c>
      <c r="B35" s="5">
        <v>2.409076034E9</v>
      </c>
      <c r="C35" s="6" t="s">
        <v>55</v>
      </c>
    </row>
    <row r="36" ht="15.75" customHeight="1">
      <c r="A36" s="4">
        <v>34.0</v>
      </c>
      <c r="B36" s="5">
        <v>2.409076035E9</v>
      </c>
      <c r="C36" s="6" t="s">
        <v>56</v>
      </c>
    </row>
    <row r="37" ht="15.75" customHeight="1">
      <c r="A37" s="4">
        <v>35.0</v>
      </c>
      <c r="B37" s="5">
        <v>2.409076036E9</v>
      </c>
      <c r="C37" s="6" t="s">
        <v>57</v>
      </c>
    </row>
    <row r="38" ht="15.75" customHeight="1">
      <c r="A38" s="4">
        <v>36.0</v>
      </c>
      <c r="B38" s="5">
        <v>2.409076037E9</v>
      </c>
      <c r="C38" s="6" t="s">
        <v>58</v>
      </c>
    </row>
    <row r="39" ht="15.75" customHeight="1">
      <c r="A39" s="4">
        <v>37.0</v>
      </c>
      <c r="B39" s="5">
        <v>2.409076038E9</v>
      </c>
      <c r="C39" s="6" t="s">
        <v>59</v>
      </c>
    </row>
    <row r="40" ht="15.75" customHeight="1">
      <c r="A40" s="4">
        <v>38.0</v>
      </c>
      <c r="B40" s="5">
        <v>2.409076039E9</v>
      </c>
      <c r="C40" s="6" t="s">
        <v>60</v>
      </c>
    </row>
    <row r="41" ht="15.75" customHeight="1">
      <c r="A41" s="4">
        <v>39.0</v>
      </c>
      <c r="B41" s="5">
        <v>2.40907604E9</v>
      </c>
      <c r="C41" s="6" t="s">
        <v>61</v>
      </c>
    </row>
    <row r="42" ht="15.75" customHeight="1">
      <c r="A42" s="4">
        <v>40.0</v>
      </c>
      <c r="B42" s="5">
        <v>2.409076041E9</v>
      </c>
      <c r="C42" s="6" t="s">
        <v>62</v>
      </c>
    </row>
    <row r="43" ht="15.75" customHeight="1">
      <c r="A43" s="4">
        <v>41.0</v>
      </c>
      <c r="B43" s="5">
        <v>2.409076043E9</v>
      </c>
      <c r="C43" s="6" t="s">
        <v>63</v>
      </c>
    </row>
    <row r="44" ht="15.75" customHeight="1">
      <c r="A44" s="4">
        <v>42.0</v>
      </c>
      <c r="B44" s="5">
        <v>2.409076044E9</v>
      </c>
      <c r="C44" s="6" t="s">
        <v>64</v>
      </c>
    </row>
    <row r="45" ht="15.75" customHeight="1">
      <c r="A45" s="4">
        <v>43.0</v>
      </c>
      <c r="B45" s="5">
        <v>2.409076045E9</v>
      </c>
      <c r="C45" s="6" t="s">
        <v>65</v>
      </c>
    </row>
    <row r="46" ht="15.75" customHeight="1">
      <c r="A46" s="4">
        <v>44.0</v>
      </c>
      <c r="B46" s="5">
        <v>2.409076046E9</v>
      </c>
      <c r="C46" s="6" t="s">
        <v>66</v>
      </c>
    </row>
    <row r="47" ht="15.75" customHeight="1">
      <c r="A47" s="4">
        <v>45.0</v>
      </c>
      <c r="B47" s="5">
        <v>2.409076047E9</v>
      </c>
      <c r="C47" s="6" t="s">
        <v>67</v>
      </c>
    </row>
    <row r="48" ht="15.75" customHeight="1">
      <c r="A48" s="4">
        <v>46.0</v>
      </c>
      <c r="B48" s="5">
        <v>2.409076048E9</v>
      </c>
      <c r="C48" s="6" t="s">
        <v>68</v>
      </c>
    </row>
    <row r="49" ht="15.75" customHeight="1">
      <c r="A49" s="4">
        <v>47.0</v>
      </c>
      <c r="B49" s="5">
        <v>2.409076049E9</v>
      </c>
      <c r="C49" s="6" t="s">
        <v>69</v>
      </c>
    </row>
    <row r="50" ht="15.75" customHeight="1">
      <c r="A50" s="4">
        <v>48.0</v>
      </c>
      <c r="B50" s="5">
        <v>2.40907605E9</v>
      </c>
      <c r="C50" s="6" t="s">
        <v>70</v>
      </c>
    </row>
    <row r="51" ht="15.75" customHeight="1">
      <c r="A51" s="4">
        <v>49.0</v>
      </c>
      <c r="B51" s="5">
        <v>2.409076051E9</v>
      </c>
      <c r="C51" s="6" t="s">
        <v>71</v>
      </c>
    </row>
    <row r="52" ht="15.75" customHeight="1">
      <c r="A52" s="4">
        <v>50.0</v>
      </c>
      <c r="B52" s="5">
        <v>2.409076052E9</v>
      </c>
      <c r="C52" s="6" t="s">
        <v>72</v>
      </c>
    </row>
    <row r="53" ht="15.75" customHeight="1">
      <c r="A53" s="4">
        <v>51.0</v>
      </c>
      <c r="B53" s="5">
        <v>2.409076053E9</v>
      </c>
      <c r="C53" s="6" t="s">
        <v>73</v>
      </c>
    </row>
    <row r="54" ht="15.75" customHeight="1">
      <c r="A54" s="4">
        <v>52.0</v>
      </c>
      <c r="B54" s="5">
        <v>2.409076054E9</v>
      </c>
      <c r="C54" s="6" t="s">
        <v>74</v>
      </c>
    </row>
    <row r="55" ht="15.75" customHeight="1">
      <c r="A55" s="4">
        <v>53.0</v>
      </c>
      <c r="B55" s="5">
        <v>2.409076056E9</v>
      </c>
      <c r="C55" s="6" t="s">
        <v>75</v>
      </c>
    </row>
    <row r="56" ht="15.75" customHeight="1">
      <c r="A56" s="4">
        <v>54.0</v>
      </c>
      <c r="B56" s="5">
        <v>2.409076024E9</v>
      </c>
      <c r="C56" s="6" t="s">
        <v>76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2:L2"/>
    <mergeCell ref="E3:L3"/>
    <mergeCell ref="E4:L4"/>
    <mergeCell ref="E11:L11"/>
  </mergeCells>
  <hyperlinks>
    <hyperlink display="Penulisan Laporan" location="'PENULISAN LAPORAN'!A1" ref="E24"/>
    <hyperlink display="Laporan Resmi" location="'LAPORAN RESMI'!A1" ref="E25"/>
    <hyperlink display="Kemampuan Praktikum" location="'KEMAMPUAN PRAKTIKUM'!A1" ref="E26"/>
    <hyperlink display="Nilai  Harian" location="'NILAI HARIAN'!A1" ref="E27"/>
    <hyperlink display="Nilai Akhir" location="'NILAI AKHIR'!A1" ref="E28"/>
    <hyperlink display="Pie Chart" location="'PIE CHART'!A1" ref="E29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2.86"/>
    <col customWidth="1" min="3" max="3" width="35.57"/>
    <col customWidth="1" min="4" max="9" width="8.71"/>
    <col customWidth="1" min="10" max="10" width="11.57"/>
    <col customWidth="1" min="11" max="26" width="8.71"/>
  </cols>
  <sheetData>
    <row r="1">
      <c r="A1" s="14"/>
      <c r="B1" s="15"/>
      <c r="C1" s="15"/>
      <c r="D1" s="15"/>
      <c r="E1" s="15"/>
      <c r="F1" s="15"/>
      <c r="G1" s="15"/>
      <c r="H1" s="15"/>
      <c r="I1" s="15"/>
      <c r="J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</row>
    <row r="3">
      <c r="A3" s="16" t="s">
        <v>1</v>
      </c>
      <c r="B3" s="16" t="s">
        <v>2</v>
      </c>
      <c r="C3" s="16" t="s">
        <v>77</v>
      </c>
      <c r="D3" s="17" t="s">
        <v>41</v>
      </c>
      <c r="E3" s="18"/>
      <c r="F3" s="18"/>
      <c r="G3" s="18"/>
      <c r="H3" s="18"/>
      <c r="I3" s="19"/>
      <c r="J3" s="16" t="s">
        <v>78</v>
      </c>
    </row>
    <row r="4">
      <c r="A4" s="20"/>
      <c r="B4" s="20"/>
      <c r="C4" s="20"/>
      <c r="D4" s="21" t="s">
        <v>79</v>
      </c>
      <c r="E4" s="21" t="s">
        <v>80</v>
      </c>
      <c r="F4" s="21" t="s">
        <v>81</v>
      </c>
      <c r="G4" s="21" t="s">
        <v>82</v>
      </c>
      <c r="H4" s="21" t="s">
        <v>83</v>
      </c>
      <c r="I4" s="21" t="s">
        <v>84</v>
      </c>
      <c r="J4" s="20"/>
    </row>
    <row r="5">
      <c r="A5" s="22">
        <f>'INPUT DAFTAR PESERTA'!A3</f>
        <v>1</v>
      </c>
      <c r="B5" s="22">
        <f>'INPUT DAFTAR PESERTA'!B3</f>
        <v>2409076001</v>
      </c>
      <c r="C5" s="6" t="str">
        <f>'INPUT DAFTAR PESERTA'!C3</f>
        <v>Muhammad Jodika</v>
      </c>
      <c r="D5" s="23">
        <v>89.0</v>
      </c>
      <c r="E5" s="23">
        <v>90.0</v>
      </c>
      <c r="F5" s="23">
        <v>96.0</v>
      </c>
      <c r="G5" s="23">
        <v>90.0</v>
      </c>
      <c r="H5" s="23">
        <v>95.0</v>
      </c>
      <c r="I5" s="23">
        <v>100.0</v>
      </c>
      <c r="J5" s="24">
        <f t="shared" ref="J5:J58" si="1">(D5+E5+F5+G5+H5+I5)/6</f>
        <v>93.33333333</v>
      </c>
    </row>
    <row r="6">
      <c r="A6" s="22">
        <f>'INPUT DAFTAR PESERTA'!A4</f>
        <v>2</v>
      </c>
      <c r="B6" s="22">
        <f>'INPUT DAFTAR PESERTA'!B4</f>
        <v>2409076002</v>
      </c>
      <c r="C6" s="6" t="str">
        <f>'INPUT DAFTAR PESERTA'!C4</f>
        <v>Muhammad Rifqi Maulana</v>
      </c>
      <c r="D6" s="23">
        <v>82.5</v>
      </c>
      <c r="E6" s="23">
        <v>92.0</v>
      </c>
      <c r="F6" s="23">
        <v>90.0</v>
      </c>
      <c r="G6" s="23">
        <v>89.0</v>
      </c>
      <c r="H6" s="23">
        <v>85.0</v>
      </c>
      <c r="I6" s="23">
        <v>89.0</v>
      </c>
      <c r="J6" s="24">
        <f t="shared" si="1"/>
        <v>87.91666667</v>
      </c>
    </row>
    <row r="7">
      <c r="A7" s="22">
        <f>'INPUT DAFTAR PESERTA'!A5</f>
        <v>3</v>
      </c>
      <c r="B7" s="22">
        <f>'INPUT DAFTAR PESERTA'!B5</f>
        <v>2409076003</v>
      </c>
      <c r="C7" s="6" t="str">
        <f>'INPUT DAFTAR PESERTA'!C5</f>
        <v>Andhika Pratama</v>
      </c>
      <c r="D7" s="23">
        <v>84.0</v>
      </c>
      <c r="E7" s="23">
        <v>72.0</v>
      </c>
      <c r="F7" s="23">
        <v>90.0</v>
      </c>
      <c r="G7" s="23">
        <v>80.0</v>
      </c>
      <c r="H7" s="23">
        <v>85.0</v>
      </c>
      <c r="I7" s="23">
        <v>55.0</v>
      </c>
      <c r="J7" s="24">
        <f t="shared" si="1"/>
        <v>77.66666667</v>
      </c>
    </row>
    <row r="8">
      <c r="A8" s="22">
        <f>'INPUT DAFTAR PESERTA'!A6</f>
        <v>4</v>
      </c>
      <c r="B8" s="22">
        <f>'INPUT DAFTAR PESERTA'!B6</f>
        <v>2409076004</v>
      </c>
      <c r="C8" s="6" t="str">
        <f>'INPUT DAFTAR PESERTA'!C6</f>
        <v>Nur Aqmarina</v>
      </c>
      <c r="D8" s="23">
        <v>89.0</v>
      </c>
      <c r="E8" s="23">
        <v>91.0</v>
      </c>
      <c r="F8" s="23">
        <v>94.0</v>
      </c>
      <c r="G8" s="23">
        <v>95.0</v>
      </c>
      <c r="H8" s="23">
        <v>90.0</v>
      </c>
      <c r="I8" s="23">
        <v>96.0</v>
      </c>
      <c r="J8" s="24">
        <f t="shared" si="1"/>
        <v>92.5</v>
      </c>
    </row>
    <row r="9">
      <c r="A9" s="22">
        <f>'INPUT DAFTAR PESERTA'!A7</f>
        <v>5</v>
      </c>
      <c r="B9" s="22">
        <f>'INPUT DAFTAR PESERTA'!B7</f>
        <v>2409076005</v>
      </c>
      <c r="C9" s="6" t="str">
        <f>'INPUT DAFTAR PESERTA'!C7</f>
        <v>Rias Prihatanto</v>
      </c>
      <c r="D9" s="23">
        <v>91.0</v>
      </c>
      <c r="E9" s="23">
        <v>89.0</v>
      </c>
      <c r="F9" s="23">
        <v>94.0</v>
      </c>
      <c r="G9" s="23">
        <v>93.0</v>
      </c>
      <c r="H9" s="23">
        <v>90.0</v>
      </c>
      <c r="I9" s="23">
        <v>100.0</v>
      </c>
      <c r="J9" s="24">
        <f t="shared" si="1"/>
        <v>92.83333333</v>
      </c>
    </row>
    <row r="10">
      <c r="A10" s="22">
        <f>'INPUT DAFTAR PESERTA'!A8</f>
        <v>6</v>
      </c>
      <c r="B10" s="22">
        <f>'INPUT DAFTAR PESERTA'!B8</f>
        <v>2409076006</v>
      </c>
      <c r="C10" s="6" t="str">
        <f>'INPUT DAFTAR PESERTA'!C8</f>
        <v>Muhammad Maulana Bhagaskara</v>
      </c>
      <c r="D10" s="23">
        <v>90.0</v>
      </c>
      <c r="E10" s="23">
        <v>92.0</v>
      </c>
      <c r="F10" s="23">
        <v>94.0</v>
      </c>
      <c r="G10" s="23">
        <v>95.0</v>
      </c>
      <c r="H10" s="23">
        <v>90.0</v>
      </c>
      <c r="I10" s="23">
        <v>92.0</v>
      </c>
      <c r="J10" s="24">
        <f t="shared" si="1"/>
        <v>92.16666667</v>
      </c>
    </row>
    <row r="11">
      <c r="A11" s="22">
        <f>'INPUT DAFTAR PESERTA'!A9</f>
        <v>7</v>
      </c>
      <c r="B11" s="22">
        <f>'INPUT DAFTAR PESERTA'!B9</f>
        <v>2409076007</v>
      </c>
      <c r="C11" s="6" t="str">
        <f>'INPUT DAFTAR PESERTA'!C9</f>
        <v>Chelsi Kamera</v>
      </c>
      <c r="D11" s="23">
        <v>89.5</v>
      </c>
      <c r="E11" s="23">
        <v>93.0</v>
      </c>
      <c r="F11" s="23">
        <v>94.0</v>
      </c>
      <c r="G11" s="23">
        <v>96.0</v>
      </c>
      <c r="H11" s="23">
        <v>90.0</v>
      </c>
      <c r="I11" s="23">
        <v>96.0</v>
      </c>
      <c r="J11" s="24">
        <f t="shared" si="1"/>
        <v>93.08333333</v>
      </c>
    </row>
    <row r="12">
      <c r="A12" s="22">
        <f>'INPUT DAFTAR PESERTA'!A10</f>
        <v>8</v>
      </c>
      <c r="B12" s="22">
        <f>'INPUT DAFTAR PESERTA'!B10</f>
        <v>2409076008</v>
      </c>
      <c r="C12" s="6" t="str">
        <f>'INPUT DAFTAR PESERTA'!C10</f>
        <v>Riyan Maulana</v>
      </c>
      <c r="D12" s="23">
        <v>89.0</v>
      </c>
      <c r="E12" s="23">
        <v>87.0</v>
      </c>
      <c r="F12" s="23">
        <v>94.0</v>
      </c>
      <c r="G12" s="23">
        <v>84.0</v>
      </c>
      <c r="H12" s="23">
        <v>85.0</v>
      </c>
      <c r="I12" s="23">
        <v>91.0</v>
      </c>
      <c r="J12" s="24">
        <f t="shared" si="1"/>
        <v>88.33333333</v>
      </c>
    </row>
    <row r="13">
      <c r="A13" s="22">
        <f>'INPUT DAFTAR PESERTA'!A11</f>
        <v>9</v>
      </c>
      <c r="B13" s="22">
        <f>'INPUT DAFTAR PESERTA'!B11</f>
        <v>2409076009</v>
      </c>
      <c r="C13" s="6" t="str">
        <f>'INPUT DAFTAR PESERTA'!C11</f>
        <v>Dimas Prasetyo Wibowo</v>
      </c>
      <c r="D13" s="23">
        <v>92.0</v>
      </c>
      <c r="E13" s="23">
        <v>91.0</v>
      </c>
      <c r="F13" s="23">
        <v>94.0</v>
      </c>
      <c r="G13" s="23">
        <v>92.0</v>
      </c>
      <c r="H13" s="23">
        <v>90.0</v>
      </c>
      <c r="I13" s="23">
        <v>89.0</v>
      </c>
      <c r="J13" s="24">
        <f t="shared" si="1"/>
        <v>91.33333333</v>
      </c>
    </row>
    <row r="14">
      <c r="A14" s="22">
        <f>'INPUT DAFTAR PESERTA'!A12</f>
        <v>10</v>
      </c>
      <c r="B14" s="22">
        <f>'INPUT DAFTAR PESERTA'!B12</f>
        <v>2409076010</v>
      </c>
      <c r="C14" s="6" t="str">
        <f>'INPUT DAFTAR PESERTA'!C12</f>
        <v>Najwa Dwi Maylani</v>
      </c>
      <c r="D14" s="23">
        <v>91.0</v>
      </c>
      <c r="E14" s="23">
        <v>92.0</v>
      </c>
      <c r="F14" s="23">
        <v>94.0</v>
      </c>
      <c r="G14" s="23">
        <v>89.0</v>
      </c>
      <c r="H14" s="23">
        <v>90.0</v>
      </c>
      <c r="I14" s="23">
        <v>92.0</v>
      </c>
      <c r="J14" s="24">
        <f t="shared" si="1"/>
        <v>91.33333333</v>
      </c>
    </row>
    <row r="15">
      <c r="A15" s="22">
        <f>'INPUT DAFTAR PESERTA'!A13</f>
        <v>11</v>
      </c>
      <c r="B15" s="22">
        <f>'INPUT DAFTAR PESERTA'!B13</f>
        <v>2409076011</v>
      </c>
      <c r="C15" s="6" t="str">
        <f>'INPUT DAFTAR PESERTA'!C13</f>
        <v>Surya Ardhian Mokodongan</v>
      </c>
      <c r="D15" s="23">
        <v>91.0</v>
      </c>
      <c r="E15" s="23">
        <v>89.0</v>
      </c>
      <c r="F15" s="23">
        <v>94.0</v>
      </c>
      <c r="G15" s="23">
        <v>80.0</v>
      </c>
      <c r="H15" s="23">
        <v>95.0</v>
      </c>
      <c r="I15" s="23">
        <v>92.0</v>
      </c>
      <c r="J15" s="24">
        <f t="shared" si="1"/>
        <v>90.16666667</v>
      </c>
    </row>
    <row r="16">
      <c r="A16" s="22">
        <f>'INPUT DAFTAR PESERTA'!A14</f>
        <v>12</v>
      </c>
      <c r="B16" s="22">
        <f>'INPUT DAFTAR PESERTA'!B14</f>
        <v>2409076012</v>
      </c>
      <c r="C16" s="6" t="str">
        <f>'INPUT DAFTAR PESERTA'!C14</f>
        <v>Ahmad Irfani Ananda Putra Hariawan</v>
      </c>
      <c r="D16" s="23">
        <v>89.5</v>
      </c>
      <c r="E16" s="23">
        <v>92.0</v>
      </c>
      <c r="F16" s="23">
        <v>92.0</v>
      </c>
      <c r="G16" s="23">
        <v>85.0</v>
      </c>
      <c r="H16" s="23">
        <v>80.0</v>
      </c>
      <c r="I16" s="23">
        <v>86.0</v>
      </c>
      <c r="J16" s="24">
        <f t="shared" si="1"/>
        <v>87.41666667</v>
      </c>
    </row>
    <row r="17">
      <c r="A17" s="22">
        <f>'INPUT DAFTAR PESERTA'!A15</f>
        <v>13</v>
      </c>
      <c r="B17" s="22">
        <f>'INPUT DAFTAR PESERTA'!B15</f>
        <v>2409076013</v>
      </c>
      <c r="C17" s="6" t="str">
        <f>'INPUT DAFTAR PESERTA'!C15</f>
        <v>Afif Rizqi Ramadhan</v>
      </c>
      <c r="D17" s="23">
        <v>91.5</v>
      </c>
      <c r="E17" s="23">
        <v>90.0</v>
      </c>
      <c r="F17" s="23">
        <v>94.0</v>
      </c>
      <c r="G17" s="23">
        <v>83.0</v>
      </c>
      <c r="H17" s="23">
        <v>90.0</v>
      </c>
      <c r="I17" s="23">
        <v>99.0</v>
      </c>
      <c r="J17" s="24">
        <f t="shared" si="1"/>
        <v>91.25</v>
      </c>
    </row>
    <row r="18">
      <c r="A18" s="22">
        <f>'INPUT DAFTAR PESERTA'!A16</f>
        <v>14</v>
      </c>
      <c r="B18" s="22">
        <f>'INPUT DAFTAR PESERTA'!B16</f>
        <v>2409076014</v>
      </c>
      <c r="C18" s="6" t="str">
        <f>'INPUT DAFTAR PESERTA'!C16</f>
        <v>Julius Simamora</v>
      </c>
      <c r="D18" s="23">
        <v>91.5</v>
      </c>
      <c r="E18" s="23">
        <v>90.0</v>
      </c>
      <c r="F18" s="23">
        <v>94.0</v>
      </c>
      <c r="G18" s="23">
        <v>93.0</v>
      </c>
      <c r="H18" s="23">
        <v>95.0</v>
      </c>
      <c r="I18" s="23">
        <v>92.0</v>
      </c>
      <c r="J18" s="24">
        <f t="shared" si="1"/>
        <v>92.58333333</v>
      </c>
    </row>
    <row r="19">
      <c r="A19" s="22">
        <f>'INPUT DAFTAR PESERTA'!A17</f>
        <v>15</v>
      </c>
      <c r="B19" s="22">
        <f>'INPUT DAFTAR PESERTA'!B17</f>
        <v>2409076015</v>
      </c>
      <c r="C19" s="6" t="str">
        <f>'INPUT DAFTAR PESERTA'!C17</f>
        <v>Gea Novtry</v>
      </c>
      <c r="D19" s="23">
        <v>85.0</v>
      </c>
      <c r="E19" s="23">
        <v>66.4</v>
      </c>
      <c r="F19" s="23">
        <v>94.0</v>
      </c>
      <c r="G19" s="23">
        <v>58.0</v>
      </c>
      <c r="H19" s="23">
        <v>20.0</v>
      </c>
      <c r="I19" s="23">
        <v>35.0</v>
      </c>
      <c r="J19" s="24">
        <f t="shared" si="1"/>
        <v>59.73333333</v>
      </c>
    </row>
    <row r="20">
      <c r="A20" s="22">
        <f>'INPUT DAFTAR PESERTA'!A18</f>
        <v>16</v>
      </c>
      <c r="B20" s="22">
        <f>'INPUT DAFTAR PESERTA'!B18</f>
        <v>2409076016</v>
      </c>
      <c r="C20" s="6" t="str">
        <f>'INPUT DAFTAR PESERTA'!C18</f>
        <v>Najmi habibi</v>
      </c>
      <c r="D20" s="23">
        <v>83.5</v>
      </c>
      <c r="E20" s="23">
        <v>68.0</v>
      </c>
      <c r="F20" s="23">
        <v>94.0</v>
      </c>
      <c r="G20" s="23">
        <v>55.0</v>
      </c>
      <c r="H20" s="23">
        <v>20.0</v>
      </c>
      <c r="I20" s="23">
        <v>36.0</v>
      </c>
      <c r="J20" s="24">
        <f t="shared" si="1"/>
        <v>59.41666667</v>
      </c>
    </row>
    <row r="21" ht="15.75" customHeight="1">
      <c r="A21" s="22">
        <f>'INPUT DAFTAR PESERTA'!A19</f>
        <v>17</v>
      </c>
      <c r="B21" s="22">
        <f>'INPUT DAFTAR PESERTA'!B19</f>
        <v>2409076017</v>
      </c>
      <c r="C21" s="6" t="str">
        <f>'INPUT DAFTAR PESERTA'!C19</f>
        <v>Muhammad Reza Aulia</v>
      </c>
      <c r="D21" s="23">
        <v>87.0</v>
      </c>
      <c r="E21" s="23">
        <v>92.0</v>
      </c>
      <c r="F21" s="23">
        <v>94.0</v>
      </c>
      <c r="G21" s="23">
        <v>83.0</v>
      </c>
      <c r="H21" s="23">
        <v>92.0</v>
      </c>
      <c r="I21" s="23">
        <v>85.0</v>
      </c>
      <c r="J21" s="24">
        <f t="shared" si="1"/>
        <v>88.83333333</v>
      </c>
    </row>
    <row r="22" ht="15.75" customHeight="1">
      <c r="A22" s="22">
        <f>'INPUT DAFTAR PESERTA'!A20</f>
        <v>18</v>
      </c>
      <c r="B22" s="22">
        <f>'INPUT DAFTAR PESERTA'!B20</f>
        <v>2409076018</v>
      </c>
      <c r="C22" s="6" t="str">
        <f>'INPUT DAFTAR PESERTA'!C20</f>
        <v>Omar maulana ibnu rahman</v>
      </c>
      <c r="D22" s="23">
        <v>65.0</v>
      </c>
      <c r="E22" s="23">
        <v>69.4</v>
      </c>
      <c r="F22" s="23">
        <v>94.0</v>
      </c>
      <c r="G22" s="23">
        <v>76.0</v>
      </c>
      <c r="H22" s="23">
        <v>95.0</v>
      </c>
      <c r="I22" s="23">
        <v>47.0</v>
      </c>
      <c r="J22" s="24">
        <f t="shared" si="1"/>
        <v>74.4</v>
      </c>
    </row>
    <row r="23" ht="15.75" customHeight="1">
      <c r="A23" s="22">
        <f>'INPUT DAFTAR PESERTA'!A21</f>
        <v>19</v>
      </c>
      <c r="B23" s="22">
        <f>'INPUT DAFTAR PESERTA'!B21</f>
        <v>2409076019</v>
      </c>
      <c r="C23" s="6" t="str">
        <f>'INPUT DAFTAR PESERTA'!C21</f>
        <v>F. Agung Setyawan. L</v>
      </c>
      <c r="D23" s="23">
        <v>87.5</v>
      </c>
      <c r="E23" s="23">
        <v>92.0</v>
      </c>
      <c r="F23" s="23">
        <v>94.0</v>
      </c>
      <c r="G23" s="23">
        <v>90.0</v>
      </c>
      <c r="H23" s="23">
        <v>91.0</v>
      </c>
      <c r="I23" s="23">
        <v>91.0</v>
      </c>
      <c r="J23" s="24">
        <f t="shared" si="1"/>
        <v>90.91666667</v>
      </c>
    </row>
    <row r="24" ht="15.75" customHeight="1">
      <c r="A24" s="22">
        <f>'INPUT DAFTAR PESERTA'!A22</f>
        <v>20</v>
      </c>
      <c r="B24" s="22">
        <f>'INPUT DAFTAR PESERTA'!B22</f>
        <v>2409076020</v>
      </c>
      <c r="C24" s="6" t="str">
        <f>'INPUT DAFTAR PESERTA'!C22</f>
        <v>Muhammad Rafi Ramadhan</v>
      </c>
      <c r="D24" s="23">
        <v>88.0</v>
      </c>
      <c r="E24" s="23">
        <v>82.0</v>
      </c>
      <c r="F24" s="23">
        <v>94.0</v>
      </c>
      <c r="G24" s="23">
        <v>85.0</v>
      </c>
      <c r="H24" s="23">
        <v>20.0</v>
      </c>
      <c r="I24" s="23">
        <v>48.0</v>
      </c>
      <c r="J24" s="24">
        <f t="shared" si="1"/>
        <v>69.5</v>
      </c>
    </row>
    <row r="25" ht="15.75" customHeight="1">
      <c r="A25" s="22">
        <f>'INPUT DAFTAR PESERTA'!A23</f>
        <v>21</v>
      </c>
      <c r="B25" s="22">
        <f>'INPUT DAFTAR PESERTA'!B23</f>
        <v>2409076021</v>
      </c>
      <c r="C25" s="6" t="str">
        <f>'INPUT DAFTAR PESERTA'!C23</f>
        <v>Farras Alwan Putra Setyo</v>
      </c>
      <c r="D25" s="23">
        <v>88.5</v>
      </c>
      <c r="E25" s="23">
        <v>78.0</v>
      </c>
      <c r="F25" s="23">
        <v>94.0</v>
      </c>
      <c r="G25" s="23">
        <v>84.0</v>
      </c>
      <c r="H25" s="23">
        <v>70.0</v>
      </c>
      <c r="I25" s="23">
        <v>87.0</v>
      </c>
      <c r="J25" s="24">
        <f t="shared" si="1"/>
        <v>83.58333333</v>
      </c>
    </row>
    <row r="26" ht="15.75" customHeight="1">
      <c r="A26" s="22">
        <f>'INPUT DAFTAR PESERTA'!A24</f>
        <v>22</v>
      </c>
      <c r="B26" s="22">
        <f>'INPUT DAFTAR PESERTA'!B24</f>
        <v>2409076022</v>
      </c>
      <c r="C26" s="6" t="str">
        <f>'INPUT DAFTAR PESERTA'!C24</f>
        <v>Dewo Dzaki</v>
      </c>
      <c r="D26" s="23">
        <v>80.0</v>
      </c>
      <c r="E26" s="23">
        <v>84.0</v>
      </c>
      <c r="F26" s="23">
        <v>93.0</v>
      </c>
      <c r="G26" s="23">
        <v>90.0</v>
      </c>
      <c r="H26" s="23">
        <v>90.0</v>
      </c>
      <c r="I26" s="23">
        <v>90.0</v>
      </c>
      <c r="J26" s="24">
        <f t="shared" si="1"/>
        <v>87.83333333</v>
      </c>
    </row>
    <row r="27" ht="15.75" customHeight="1">
      <c r="A27" s="22">
        <f>'INPUT DAFTAR PESERTA'!A25</f>
        <v>23</v>
      </c>
      <c r="B27" s="22">
        <f>'INPUT DAFTAR PESERTA'!B25</f>
        <v>2409076023</v>
      </c>
      <c r="C27" s="6" t="str">
        <f>'INPUT DAFTAR PESERTA'!C25</f>
        <v>Yusr Gavrila</v>
      </c>
      <c r="D27" s="23">
        <v>91.0</v>
      </c>
      <c r="E27" s="23">
        <v>90.0</v>
      </c>
      <c r="F27" s="23">
        <v>98.0</v>
      </c>
      <c r="G27" s="23">
        <v>96.0</v>
      </c>
      <c r="H27" s="23">
        <v>90.0</v>
      </c>
      <c r="I27" s="23">
        <v>86.0</v>
      </c>
      <c r="J27" s="24">
        <f t="shared" si="1"/>
        <v>91.83333333</v>
      </c>
    </row>
    <row r="28" ht="15.75" customHeight="1">
      <c r="A28" s="22">
        <f>'INPUT DAFTAR PESERTA'!A26</f>
        <v>24</v>
      </c>
      <c r="B28" s="22">
        <f>'INPUT DAFTAR PESERTA'!B26</f>
        <v>2409076025</v>
      </c>
      <c r="C28" s="6" t="str">
        <f>'INPUT DAFTAR PESERTA'!C26</f>
        <v>Fahrizal Prasetya</v>
      </c>
      <c r="D28" s="23">
        <v>50.0</v>
      </c>
      <c r="E28" s="23">
        <v>88.0</v>
      </c>
      <c r="F28" s="23">
        <v>78.0</v>
      </c>
      <c r="G28" s="23">
        <v>70.0</v>
      </c>
      <c r="H28" s="23">
        <v>95.0</v>
      </c>
      <c r="I28" s="23">
        <v>67.0</v>
      </c>
      <c r="J28" s="24">
        <f t="shared" si="1"/>
        <v>74.66666667</v>
      </c>
    </row>
    <row r="29" ht="15.75" customHeight="1">
      <c r="A29" s="22">
        <f>'INPUT DAFTAR PESERTA'!A27</f>
        <v>25</v>
      </c>
      <c r="B29" s="22">
        <f>'INPUT DAFTAR PESERTA'!B27</f>
        <v>2409076026</v>
      </c>
      <c r="C29" s="6" t="str">
        <f>'INPUT DAFTAR PESERTA'!C27</f>
        <v>Ariya Kema Maulana</v>
      </c>
      <c r="D29" s="23">
        <v>71.0</v>
      </c>
      <c r="E29" s="23">
        <v>89.0</v>
      </c>
      <c r="F29" s="23">
        <v>88.0</v>
      </c>
      <c r="G29" s="23">
        <v>80.0</v>
      </c>
      <c r="H29" s="23">
        <v>85.0</v>
      </c>
      <c r="I29" s="23">
        <v>42.0</v>
      </c>
      <c r="J29" s="24">
        <f t="shared" si="1"/>
        <v>75.83333333</v>
      </c>
    </row>
    <row r="30" ht="15.75" customHeight="1">
      <c r="A30" s="22">
        <f>'INPUT DAFTAR PESERTA'!A28</f>
        <v>26</v>
      </c>
      <c r="B30" s="22">
        <f>'INPUT DAFTAR PESERTA'!B28</f>
        <v>2409076027</v>
      </c>
      <c r="C30" s="6" t="str">
        <f>'INPUT DAFTAR PESERTA'!C28</f>
        <v>Muhammad Afdal</v>
      </c>
      <c r="D30" s="23">
        <v>65.0</v>
      </c>
      <c r="E30" s="23">
        <v>86.0</v>
      </c>
      <c r="F30" s="23">
        <v>95.0</v>
      </c>
      <c r="G30" s="23">
        <v>61.0</v>
      </c>
      <c r="H30" s="23">
        <v>95.0</v>
      </c>
      <c r="I30" s="23">
        <v>52.0</v>
      </c>
      <c r="J30" s="24">
        <f t="shared" si="1"/>
        <v>75.66666667</v>
      </c>
    </row>
    <row r="31" ht="15.75" customHeight="1">
      <c r="A31" s="22">
        <f>'INPUT DAFTAR PESERTA'!A29</f>
        <v>27</v>
      </c>
      <c r="B31" s="22">
        <f>'INPUT DAFTAR PESERTA'!B29</f>
        <v>2409076028</v>
      </c>
      <c r="C31" s="6" t="str">
        <f>'INPUT DAFTAR PESERTA'!C29</f>
        <v>Carlos Immanuel Simanjuntak</v>
      </c>
      <c r="D31" s="23">
        <v>76.0</v>
      </c>
      <c r="E31" s="23">
        <v>87.0</v>
      </c>
      <c r="F31" s="23">
        <v>94.0</v>
      </c>
      <c r="G31" s="23">
        <v>81.0</v>
      </c>
      <c r="H31" s="23">
        <v>95.0</v>
      </c>
      <c r="I31" s="23">
        <v>57.0</v>
      </c>
      <c r="J31" s="24">
        <f t="shared" si="1"/>
        <v>81.66666667</v>
      </c>
    </row>
    <row r="32" ht="15.75" customHeight="1">
      <c r="A32" s="22">
        <f>'INPUT DAFTAR PESERTA'!A30</f>
        <v>28</v>
      </c>
      <c r="B32" s="22">
        <f>'INPUT DAFTAR PESERTA'!B30</f>
        <v>2409076029</v>
      </c>
      <c r="C32" s="6" t="str">
        <f>'INPUT DAFTAR PESERTA'!C30</f>
        <v>Ardhian Arif Ananda</v>
      </c>
      <c r="D32" s="23">
        <v>80.0</v>
      </c>
      <c r="E32" s="23">
        <v>84.0</v>
      </c>
      <c r="F32" s="23">
        <v>93.0</v>
      </c>
      <c r="G32" s="23">
        <v>0.0</v>
      </c>
      <c r="H32" s="23">
        <v>20.0</v>
      </c>
      <c r="I32" s="23">
        <v>83.0</v>
      </c>
      <c r="J32" s="24">
        <f t="shared" si="1"/>
        <v>60</v>
      </c>
    </row>
    <row r="33" ht="15.75" customHeight="1">
      <c r="A33" s="22">
        <f>'INPUT DAFTAR PESERTA'!A31</f>
        <v>29</v>
      </c>
      <c r="B33" s="22">
        <f>'INPUT DAFTAR PESERTA'!B31</f>
        <v>2409076030</v>
      </c>
      <c r="C33" s="6" t="str">
        <f>'INPUT DAFTAR PESERTA'!C31</f>
        <v>Ahmad Fikri Tri Utomo</v>
      </c>
      <c r="D33" s="23">
        <v>87.5</v>
      </c>
      <c r="E33" s="23">
        <v>91.0</v>
      </c>
      <c r="F33" s="23">
        <v>90.0</v>
      </c>
      <c r="G33" s="23">
        <v>65.0</v>
      </c>
      <c r="H33" s="23">
        <v>90.0</v>
      </c>
      <c r="I33" s="23">
        <v>68.0</v>
      </c>
      <c r="J33" s="24">
        <f t="shared" si="1"/>
        <v>81.91666667</v>
      </c>
    </row>
    <row r="34" ht="15.75" customHeight="1">
      <c r="A34" s="22">
        <f>'INPUT DAFTAR PESERTA'!A32</f>
        <v>30</v>
      </c>
      <c r="B34" s="22">
        <f>'INPUT DAFTAR PESERTA'!B32</f>
        <v>2409076031</v>
      </c>
      <c r="C34" s="6" t="str">
        <f>'INPUT DAFTAR PESERTA'!C32</f>
        <v>Muhammad Alfin Alfanfa</v>
      </c>
      <c r="D34" s="23">
        <v>91.5</v>
      </c>
      <c r="E34" s="23">
        <v>92.0</v>
      </c>
      <c r="F34" s="23">
        <v>94.0</v>
      </c>
      <c r="G34" s="23">
        <v>85.0</v>
      </c>
      <c r="H34" s="23">
        <v>85.0</v>
      </c>
      <c r="I34" s="23">
        <v>88.0</v>
      </c>
      <c r="J34" s="24">
        <f t="shared" si="1"/>
        <v>89.25</v>
      </c>
    </row>
    <row r="35" ht="15.75" customHeight="1">
      <c r="A35" s="22">
        <f>'INPUT DAFTAR PESERTA'!A33</f>
        <v>31</v>
      </c>
      <c r="B35" s="22">
        <f>'INPUT DAFTAR PESERTA'!B33</f>
        <v>2409076032</v>
      </c>
      <c r="C35" s="6" t="str">
        <f>'INPUT DAFTAR PESERTA'!C33</f>
        <v>Faizal Haqi</v>
      </c>
      <c r="D35" s="23">
        <v>91.0</v>
      </c>
      <c r="E35" s="23">
        <v>90.0</v>
      </c>
      <c r="F35" s="23">
        <v>90.0</v>
      </c>
      <c r="G35" s="23">
        <v>86.0</v>
      </c>
      <c r="H35" s="23">
        <v>90.0</v>
      </c>
      <c r="I35" s="23">
        <v>89.0</v>
      </c>
      <c r="J35" s="24">
        <f t="shared" si="1"/>
        <v>89.33333333</v>
      </c>
    </row>
    <row r="36" ht="15.75" customHeight="1">
      <c r="A36" s="22">
        <f>'INPUT DAFTAR PESERTA'!A34</f>
        <v>32</v>
      </c>
      <c r="B36" s="22">
        <f>'INPUT DAFTAR PESERTA'!B34</f>
        <v>2409076033</v>
      </c>
      <c r="C36" s="6" t="str">
        <f>'INPUT DAFTAR PESERTA'!C34</f>
        <v>Joinicius Pasalin</v>
      </c>
      <c r="D36" s="23">
        <v>89.0</v>
      </c>
      <c r="E36" s="23">
        <v>88.0</v>
      </c>
      <c r="F36" s="23">
        <v>94.0</v>
      </c>
      <c r="G36" s="23">
        <v>85.0</v>
      </c>
      <c r="H36" s="23">
        <v>90.0</v>
      </c>
      <c r="I36" s="23">
        <v>92.0</v>
      </c>
      <c r="J36" s="24">
        <f t="shared" si="1"/>
        <v>89.66666667</v>
      </c>
    </row>
    <row r="37" ht="15.75" customHeight="1">
      <c r="A37" s="22">
        <f>'INPUT DAFTAR PESERTA'!A35</f>
        <v>33</v>
      </c>
      <c r="B37" s="22">
        <f>'INPUT DAFTAR PESERTA'!B35</f>
        <v>2409076034</v>
      </c>
      <c r="C37" s="6" t="str">
        <f>'INPUT DAFTAR PESERTA'!C35</f>
        <v>Alwi Rudiansyah</v>
      </c>
      <c r="D37" s="23">
        <v>91.5</v>
      </c>
      <c r="E37" s="23">
        <v>93.0</v>
      </c>
      <c r="F37" s="23">
        <v>94.0</v>
      </c>
      <c r="G37" s="23">
        <v>93.0</v>
      </c>
      <c r="H37" s="23">
        <v>90.0</v>
      </c>
      <c r="I37" s="23">
        <v>93.0</v>
      </c>
      <c r="J37" s="24">
        <f t="shared" si="1"/>
        <v>92.41666667</v>
      </c>
    </row>
    <row r="38" ht="15.75" customHeight="1">
      <c r="A38" s="22">
        <f>'INPUT DAFTAR PESERTA'!A36</f>
        <v>34</v>
      </c>
      <c r="B38" s="22">
        <f>'INPUT DAFTAR PESERTA'!B36</f>
        <v>2409076035</v>
      </c>
      <c r="C38" s="6" t="str">
        <f>'INPUT DAFTAR PESERTA'!C36</f>
        <v>Muhammad Rizki Nauval Alim</v>
      </c>
      <c r="D38" s="23">
        <v>90.0</v>
      </c>
      <c r="E38" s="23">
        <v>91.0</v>
      </c>
      <c r="F38" s="23">
        <v>94.0</v>
      </c>
      <c r="G38" s="23">
        <v>90.0</v>
      </c>
      <c r="H38" s="23">
        <v>90.0</v>
      </c>
      <c r="I38" s="23">
        <v>92.0</v>
      </c>
      <c r="J38" s="24">
        <f t="shared" si="1"/>
        <v>91.16666667</v>
      </c>
    </row>
    <row r="39" ht="15.75" customHeight="1">
      <c r="A39" s="25">
        <f>'INPUT DAFTAR PESERTA'!A37</f>
        <v>35</v>
      </c>
      <c r="B39" s="25">
        <f>'INPUT DAFTAR PESERTA'!B37</f>
        <v>2409076036</v>
      </c>
      <c r="C39" s="26" t="str">
        <f>'INPUT DAFTAR PESERTA'!C37</f>
        <v>Muhammad Rico Setiawan</v>
      </c>
      <c r="D39" s="25"/>
      <c r="E39" s="25"/>
      <c r="F39" s="25"/>
      <c r="G39" s="25"/>
      <c r="H39" s="25"/>
      <c r="I39" s="25"/>
      <c r="J39" s="27">
        <f t="shared" si="1"/>
        <v>0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2">
        <f>'INPUT DAFTAR PESERTA'!A38</f>
        <v>36</v>
      </c>
      <c r="B40" s="22">
        <f>'INPUT DAFTAR PESERTA'!B38</f>
        <v>2409076037</v>
      </c>
      <c r="C40" s="6" t="str">
        <f>'INPUT DAFTAR PESERTA'!C38</f>
        <v>Muhammad Ananda Ryan Nur Rahman</v>
      </c>
      <c r="D40" s="23">
        <v>92.5</v>
      </c>
      <c r="E40" s="23">
        <v>80.0</v>
      </c>
      <c r="F40" s="23">
        <v>70.0</v>
      </c>
      <c r="G40" s="23">
        <v>73.0</v>
      </c>
      <c r="H40" s="23">
        <v>20.0</v>
      </c>
      <c r="I40" s="23">
        <v>40.0</v>
      </c>
      <c r="J40" s="24">
        <f t="shared" si="1"/>
        <v>62.58333333</v>
      </c>
    </row>
    <row r="41" ht="15.75" customHeight="1">
      <c r="A41" s="25">
        <f>'INPUT DAFTAR PESERTA'!A39</f>
        <v>37</v>
      </c>
      <c r="B41" s="25">
        <f>'INPUT DAFTAR PESERTA'!B39</f>
        <v>2409076038</v>
      </c>
      <c r="C41" s="26" t="str">
        <f>'INPUT DAFTAR PESERTA'!C39</f>
        <v>Muhammad Alif Rahmat Syakir</v>
      </c>
      <c r="D41" s="25"/>
      <c r="E41" s="25"/>
      <c r="F41" s="25"/>
      <c r="G41" s="25"/>
      <c r="H41" s="25"/>
      <c r="I41" s="29"/>
      <c r="J41" s="27">
        <f t="shared" si="1"/>
        <v>0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2">
        <f>'INPUT DAFTAR PESERTA'!A40</f>
        <v>38</v>
      </c>
      <c r="B42" s="22">
        <f>'INPUT DAFTAR PESERTA'!B40</f>
        <v>2409076039</v>
      </c>
      <c r="C42" s="6" t="str">
        <f>'INPUT DAFTAR PESERTA'!C40</f>
        <v>Christopher Mahesa Aditama</v>
      </c>
      <c r="D42" s="23">
        <v>86.5</v>
      </c>
      <c r="E42" s="23">
        <v>93.0</v>
      </c>
      <c r="F42" s="23">
        <v>93.0</v>
      </c>
      <c r="G42" s="23">
        <v>93.0</v>
      </c>
      <c r="H42" s="23">
        <v>90.0</v>
      </c>
      <c r="I42" s="23">
        <v>95.0</v>
      </c>
      <c r="J42" s="24">
        <f t="shared" si="1"/>
        <v>91.75</v>
      </c>
    </row>
    <row r="43" ht="15.75" customHeight="1">
      <c r="A43" s="22">
        <f>'INPUT DAFTAR PESERTA'!A41</f>
        <v>39</v>
      </c>
      <c r="B43" s="22">
        <f>'INPUT DAFTAR PESERTA'!B41</f>
        <v>2409076040</v>
      </c>
      <c r="C43" s="6" t="str">
        <f>'INPUT DAFTAR PESERTA'!C41</f>
        <v>Muhammad Rafli Ramadhani</v>
      </c>
      <c r="D43" s="23">
        <v>91.5</v>
      </c>
      <c r="E43" s="23">
        <v>91.0</v>
      </c>
      <c r="F43" s="23">
        <v>93.0</v>
      </c>
      <c r="G43" s="23">
        <v>93.0</v>
      </c>
      <c r="H43" s="23">
        <v>98.0</v>
      </c>
      <c r="I43" s="23">
        <v>91.0</v>
      </c>
      <c r="J43" s="24">
        <f t="shared" si="1"/>
        <v>92.91666667</v>
      </c>
    </row>
    <row r="44" ht="15.75" customHeight="1">
      <c r="A44" s="22">
        <f>'INPUT DAFTAR PESERTA'!A42</f>
        <v>40</v>
      </c>
      <c r="B44" s="22">
        <f>'INPUT DAFTAR PESERTA'!B42</f>
        <v>2409076041</v>
      </c>
      <c r="C44" s="6" t="str">
        <f>'INPUT DAFTAR PESERTA'!C42</f>
        <v>Muhammad Rindhan Amarna</v>
      </c>
      <c r="D44" s="23">
        <v>88.5</v>
      </c>
      <c r="E44" s="23">
        <v>92.0</v>
      </c>
      <c r="F44" s="23">
        <v>90.0</v>
      </c>
      <c r="G44" s="23">
        <v>95.0</v>
      </c>
      <c r="H44" s="23">
        <v>95.0</v>
      </c>
      <c r="I44" s="23">
        <v>72.0</v>
      </c>
      <c r="J44" s="24">
        <f t="shared" si="1"/>
        <v>88.75</v>
      </c>
    </row>
    <row r="45" ht="15.75" customHeight="1">
      <c r="A45" s="25">
        <f>'INPUT DAFTAR PESERTA'!A43</f>
        <v>41</v>
      </c>
      <c r="B45" s="25">
        <f>'INPUT DAFTAR PESERTA'!B43</f>
        <v>2409076043</v>
      </c>
      <c r="C45" s="26" t="str">
        <f>'INPUT DAFTAR PESERTA'!C43</f>
        <v>Bima Angga Pratama</v>
      </c>
      <c r="D45" s="25"/>
      <c r="E45" s="25"/>
      <c r="F45" s="25"/>
      <c r="G45" s="25"/>
      <c r="H45" s="25"/>
      <c r="I45" s="25"/>
      <c r="J45" s="27">
        <f t="shared" si="1"/>
        <v>0</v>
      </c>
    </row>
    <row r="46" ht="15.75" customHeight="1">
      <c r="A46" s="22">
        <f>'INPUT DAFTAR PESERTA'!A44</f>
        <v>42</v>
      </c>
      <c r="B46" s="22">
        <f>'INPUT DAFTAR PESERTA'!B44</f>
        <v>2409076044</v>
      </c>
      <c r="C46" s="6" t="str">
        <f>'INPUT DAFTAR PESERTA'!C44</f>
        <v>Muhammad Daffa Dzakwan</v>
      </c>
      <c r="D46" s="23">
        <v>85.5</v>
      </c>
      <c r="E46" s="23">
        <v>91.0</v>
      </c>
      <c r="F46" s="23">
        <v>94.0</v>
      </c>
      <c r="G46" s="23">
        <v>87.0</v>
      </c>
      <c r="H46" s="23">
        <v>90.0</v>
      </c>
      <c r="I46" s="23">
        <v>0.0</v>
      </c>
      <c r="J46" s="24">
        <f t="shared" si="1"/>
        <v>74.58333333</v>
      </c>
    </row>
    <row r="47" ht="15.75" customHeight="1">
      <c r="A47" s="22">
        <f>'INPUT DAFTAR PESERTA'!A45</f>
        <v>43</v>
      </c>
      <c r="B47" s="22">
        <f>'INPUT DAFTAR PESERTA'!B45</f>
        <v>2409076045</v>
      </c>
      <c r="C47" s="6" t="str">
        <f>'INPUT DAFTAR PESERTA'!C45</f>
        <v>Ahmad Purwono Aji</v>
      </c>
      <c r="D47" s="23">
        <v>84.5</v>
      </c>
      <c r="E47" s="23">
        <v>59.0</v>
      </c>
      <c r="F47" s="23">
        <v>80.0</v>
      </c>
      <c r="G47" s="23">
        <v>60.0</v>
      </c>
      <c r="H47" s="23">
        <v>20.0</v>
      </c>
      <c r="I47" s="23">
        <v>0.0</v>
      </c>
      <c r="J47" s="24">
        <f t="shared" si="1"/>
        <v>50.58333333</v>
      </c>
    </row>
    <row r="48" ht="15.75" customHeight="1">
      <c r="A48" s="22">
        <f>'INPUT DAFTAR PESERTA'!A46</f>
        <v>44</v>
      </c>
      <c r="B48" s="22">
        <f>'INPUT DAFTAR PESERTA'!B46</f>
        <v>2409076046</v>
      </c>
      <c r="C48" s="6" t="str">
        <f>'INPUT DAFTAR PESERTA'!C46</f>
        <v>Muhammad Hasan Hanif</v>
      </c>
      <c r="D48" s="23">
        <v>0.0</v>
      </c>
      <c r="E48" s="23">
        <v>60.0</v>
      </c>
      <c r="F48" s="23">
        <v>70.0</v>
      </c>
      <c r="G48" s="23">
        <v>60.0</v>
      </c>
      <c r="H48" s="23">
        <v>20.0</v>
      </c>
      <c r="I48" s="23">
        <v>0.0</v>
      </c>
      <c r="J48" s="24">
        <f t="shared" si="1"/>
        <v>35</v>
      </c>
    </row>
    <row r="49" ht="15.75" customHeight="1">
      <c r="A49" s="22">
        <f>'INPUT DAFTAR PESERTA'!A47</f>
        <v>45</v>
      </c>
      <c r="B49" s="22">
        <f>'INPUT DAFTAR PESERTA'!B47</f>
        <v>2409076047</v>
      </c>
      <c r="C49" s="6" t="str">
        <f>'INPUT DAFTAR PESERTA'!C47</f>
        <v>Gilbert Pasolon</v>
      </c>
      <c r="D49" s="23">
        <v>91.0</v>
      </c>
      <c r="E49" s="23">
        <v>91.0</v>
      </c>
      <c r="F49" s="23">
        <v>94.0</v>
      </c>
      <c r="G49" s="23">
        <v>83.0</v>
      </c>
      <c r="H49" s="23">
        <v>88.0</v>
      </c>
      <c r="I49" s="23">
        <v>0.0</v>
      </c>
      <c r="J49" s="24">
        <f t="shared" si="1"/>
        <v>74.5</v>
      </c>
    </row>
    <row r="50" ht="15.75" customHeight="1">
      <c r="A50" s="22">
        <f>'INPUT DAFTAR PESERTA'!A48</f>
        <v>46</v>
      </c>
      <c r="B50" s="22">
        <f>'INPUT DAFTAR PESERTA'!B48</f>
        <v>2409076048</v>
      </c>
      <c r="C50" s="6" t="str">
        <f>'INPUT DAFTAR PESERTA'!C48</f>
        <v>Achmad Fauzan At-Tamimi</v>
      </c>
      <c r="D50" s="23">
        <v>88.0</v>
      </c>
      <c r="E50" s="23">
        <v>90.0</v>
      </c>
      <c r="F50" s="23">
        <v>94.0</v>
      </c>
      <c r="G50" s="23">
        <v>95.0</v>
      </c>
      <c r="H50" s="23">
        <v>95.0</v>
      </c>
      <c r="I50" s="23">
        <v>91.0</v>
      </c>
      <c r="J50" s="24">
        <f t="shared" si="1"/>
        <v>92.16666667</v>
      </c>
    </row>
    <row r="51" ht="15.75" customHeight="1">
      <c r="A51" s="22">
        <f>'INPUT DAFTAR PESERTA'!A49</f>
        <v>47</v>
      </c>
      <c r="B51" s="22">
        <f>'INPUT DAFTAR PESERTA'!B49</f>
        <v>2409076049</v>
      </c>
      <c r="C51" s="6" t="str">
        <f>'INPUT DAFTAR PESERTA'!C49</f>
        <v>Mahmud Abdul Aziz Qoby</v>
      </c>
      <c r="D51" s="23">
        <v>84.0</v>
      </c>
      <c r="E51" s="23">
        <v>88.0</v>
      </c>
      <c r="F51" s="23">
        <v>90.0</v>
      </c>
      <c r="G51" s="23">
        <v>78.0</v>
      </c>
      <c r="H51" s="23">
        <v>20.0</v>
      </c>
      <c r="I51" s="23">
        <v>90.0</v>
      </c>
      <c r="J51" s="24">
        <f t="shared" si="1"/>
        <v>75</v>
      </c>
    </row>
    <row r="52" ht="15.75" customHeight="1">
      <c r="A52" s="22">
        <f>'INPUT DAFTAR PESERTA'!A50</f>
        <v>48</v>
      </c>
      <c r="B52" s="22">
        <f>'INPUT DAFTAR PESERTA'!B50</f>
        <v>2409076050</v>
      </c>
      <c r="C52" s="6" t="str">
        <f>'INPUT DAFTAR PESERTA'!C50</f>
        <v>Gde Nookie Carl Arya Susila</v>
      </c>
      <c r="D52" s="23">
        <v>88.0</v>
      </c>
      <c r="E52" s="23">
        <v>90.0</v>
      </c>
      <c r="F52" s="23">
        <v>94.0</v>
      </c>
      <c r="G52" s="23">
        <v>87.0</v>
      </c>
      <c r="H52" s="23">
        <v>95.0</v>
      </c>
      <c r="I52" s="23">
        <v>95.0</v>
      </c>
      <c r="J52" s="24">
        <f t="shared" si="1"/>
        <v>91.5</v>
      </c>
    </row>
    <row r="53" ht="15.75" customHeight="1">
      <c r="A53" s="25">
        <f>'INPUT DAFTAR PESERTA'!A51</f>
        <v>49</v>
      </c>
      <c r="B53" s="25">
        <f>'INPUT DAFTAR PESERTA'!B51</f>
        <v>2409076051</v>
      </c>
      <c r="C53" s="26" t="str">
        <f>'INPUT DAFTAR PESERTA'!C51</f>
        <v>Muhammad Afrizal</v>
      </c>
      <c r="D53" s="25"/>
      <c r="E53" s="25"/>
      <c r="F53" s="25"/>
      <c r="G53" s="25"/>
      <c r="H53" s="25"/>
      <c r="I53" s="25"/>
      <c r="J53" s="27">
        <f t="shared" si="1"/>
        <v>0</v>
      </c>
    </row>
    <row r="54" ht="15.75" customHeight="1">
      <c r="A54" s="22">
        <f>'INPUT DAFTAR PESERTA'!A52</f>
        <v>50</v>
      </c>
      <c r="B54" s="22">
        <f>'INPUT DAFTAR PESERTA'!B52</f>
        <v>2409076052</v>
      </c>
      <c r="C54" s="6" t="str">
        <f>'INPUT DAFTAR PESERTA'!C52</f>
        <v>Rezky Yutabse</v>
      </c>
      <c r="D54" s="23">
        <v>89.5</v>
      </c>
      <c r="E54" s="23">
        <v>92.0</v>
      </c>
      <c r="F54" s="23">
        <v>90.0</v>
      </c>
      <c r="G54" s="23">
        <v>86.0</v>
      </c>
      <c r="H54" s="23">
        <v>85.0</v>
      </c>
      <c r="I54" s="23">
        <v>85.0</v>
      </c>
      <c r="J54" s="24">
        <f t="shared" si="1"/>
        <v>87.91666667</v>
      </c>
    </row>
    <row r="55" ht="15.75" customHeight="1">
      <c r="A55" s="22">
        <f>'INPUT DAFTAR PESERTA'!A53</f>
        <v>51</v>
      </c>
      <c r="B55" s="22">
        <f>'INPUT DAFTAR PESERTA'!B53</f>
        <v>2409076053</v>
      </c>
      <c r="C55" s="6" t="str">
        <f>'INPUT DAFTAR PESERTA'!C53</f>
        <v>Dimas Wijaya Muliangto</v>
      </c>
      <c r="D55" s="23">
        <v>88.5</v>
      </c>
      <c r="E55" s="23">
        <v>84.0</v>
      </c>
      <c r="F55" s="23">
        <v>90.0</v>
      </c>
      <c r="G55" s="23">
        <v>83.0</v>
      </c>
      <c r="H55" s="23">
        <v>90.0</v>
      </c>
      <c r="I55" s="23">
        <v>65.0</v>
      </c>
      <c r="J55" s="24">
        <f t="shared" si="1"/>
        <v>83.41666667</v>
      </c>
    </row>
    <row r="56" ht="15.75" customHeight="1">
      <c r="A56" s="22">
        <f>'INPUT DAFTAR PESERTA'!A54</f>
        <v>52</v>
      </c>
      <c r="B56" s="22">
        <f>'INPUT DAFTAR PESERTA'!B54</f>
        <v>2409076054</v>
      </c>
      <c r="C56" s="6" t="str">
        <f>'INPUT DAFTAR PESERTA'!C54</f>
        <v>Muhammad Aldi</v>
      </c>
      <c r="D56" s="23">
        <v>91.0</v>
      </c>
      <c r="E56" s="23">
        <v>88.0</v>
      </c>
      <c r="F56" s="23">
        <v>94.0</v>
      </c>
      <c r="G56" s="23">
        <v>84.0</v>
      </c>
      <c r="H56" s="23">
        <v>90.0</v>
      </c>
      <c r="I56" s="23">
        <v>87.0</v>
      </c>
      <c r="J56" s="24">
        <f t="shared" si="1"/>
        <v>89</v>
      </c>
    </row>
    <row r="57" ht="15.75" customHeight="1">
      <c r="A57" s="22">
        <f>'INPUT DAFTAR PESERTA'!A55</f>
        <v>53</v>
      </c>
      <c r="B57" s="22">
        <f>'INPUT DAFTAR PESERTA'!B55</f>
        <v>2409076056</v>
      </c>
      <c r="C57" s="6" t="str">
        <f>'INPUT DAFTAR PESERTA'!C55</f>
        <v>Rivaldy Paredanun</v>
      </c>
      <c r="D57" s="23">
        <v>72.0</v>
      </c>
      <c r="E57" s="23">
        <v>75.0</v>
      </c>
      <c r="F57" s="23">
        <v>60.0</v>
      </c>
      <c r="G57" s="23">
        <v>71.0</v>
      </c>
      <c r="H57" s="23">
        <v>20.0</v>
      </c>
      <c r="I57" s="23">
        <v>22.0</v>
      </c>
      <c r="J57" s="24">
        <f t="shared" si="1"/>
        <v>53.33333333</v>
      </c>
    </row>
    <row r="58" ht="15.75" customHeight="1">
      <c r="A58" s="22">
        <f>'INPUT DAFTAR PESERTA'!A56</f>
        <v>54</v>
      </c>
      <c r="B58" s="22">
        <f>'INPUT DAFTAR PESERTA'!B56</f>
        <v>2409076024</v>
      </c>
      <c r="C58" s="6" t="str">
        <f>'INPUT DAFTAR PESERTA'!C56</f>
        <v>Muhammad Zacky</v>
      </c>
      <c r="D58" s="23">
        <v>90.5</v>
      </c>
      <c r="E58" s="23">
        <v>92.0</v>
      </c>
      <c r="F58" s="23">
        <v>94.0</v>
      </c>
      <c r="G58" s="23">
        <v>89.0</v>
      </c>
      <c r="H58" s="23">
        <v>90.0</v>
      </c>
      <c r="I58" s="23">
        <v>97.0</v>
      </c>
      <c r="J58" s="24">
        <f t="shared" si="1"/>
        <v>92.08333333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J3:J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57"/>
    <col customWidth="1" min="3" max="3" width="35.57"/>
    <col customWidth="1" min="4" max="9" width="8.71"/>
    <col customWidth="1" min="10" max="10" width="12.14"/>
    <col customWidth="1" min="11" max="11" width="12.57"/>
    <col customWidth="1" min="12" max="12" width="12.29"/>
    <col customWidth="1" min="13" max="26" width="8.71"/>
  </cols>
  <sheetData>
    <row r="1">
      <c r="A1" s="30" t="s">
        <v>85</v>
      </c>
    </row>
    <row r="3" ht="18.0" customHeight="1">
      <c r="A3" s="16" t="s">
        <v>1</v>
      </c>
      <c r="B3" s="16" t="s">
        <v>2</v>
      </c>
      <c r="C3" s="16" t="s">
        <v>77</v>
      </c>
      <c r="D3" s="31" t="s">
        <v>86</v>
      </c>
      <c r="E3" s="18"/>
      <c r="F3" s="18"/>
      <c r="G3" s="18"/>
      <c r="H3" s="18"/>
      <c r="I3" s="19"/>
      <c r="J3" s="21" t="s">
        <v>78</v>
      </c>
      <c r="K3" s="21" t="s">
        <v>87</v>
      </c>
      <c r="L3" s="16" t="s">
        <v>47</v>
      </c>
    </row>
    <row r="4" ht="24.75" customHeight="1">
      <c r="A4" s="20"/>
      <c r="B4" s="20"/>
      <c r="C4" s="20"/>
      <c r="D4" s="21" t="s">
        <v>79</v>
      </c>
      <c r="E4" s="21" t="s">
        <v>80</v>
      </c>
      <c r="F4" s="21" t="s">
        <v>81</v>
      </c>
      <c r="G4" s="21" t="s">
        <v>82</v>
      </c>
      <c r="H4" s="21" t="s">
        <v>83</v>
      </c>
      <c r="I4" s="21" t="s">
        <v>84</v>
      </c>
      <c r="J4" s="32">
        <v>0.5</v>
      </c>
      <c r="K4" s="32">
        <v>0.5</v>
      </c>
      <c r="L4" s="20"/>
    </row>
    <row r="5">
      <c r="A5" s="22">
        <f>'INPUT DAFTAR PESERTA'!A3</f>
        <v>1</v>
      </c>
      <c r="B5" s="22">
        <f>'INPUT DAFTAR PESERTA'!B3</f>
        <v>2409076001</v>
      </c>
      <c r="C5" s="6" t="str">
        <f>'INPUT DAFTAR PESERTA'!C3</f>
        <v>Muhammad Jodika</v>
      </c>
      <c r="D5" s="23">
        <v>86.0</v>
      </c>
      <c r="E5" s="23">
        <v>83.0</v>
      </c>
      <c r="F5" s="23">
        <v>96.0</v>
      </c>
      <c r="G5" s="23">
        <v>90.0</v>
      </c>
      <c r="H5" s="23">
        <v>90.0</v>
      </c>
      <c r="I5" s="23">
        <v>91.0</v>
      </c>
      <c r="J5" s="33">
        <f t="shared" ref="J5:J58" si="1">(D5+E5+F5+G5+H5+I5)/6</f>
        <v>89.33333333</v>
      </c>
      <c r="K5" s="24">
        <f>'LAPORAN RESMI'!J5</f>
        <v>93.33333333</v>
      </c>
      <c r="L5" s="33">
        <f t="shared" ref="L5:L58" si="2">(J5*$J$4)+(K5*$K$4)</f>
        <v>91.33333333</v>
      </c>
    </row>
    <row r="6">
      <c r="A6" s="22">
        <f>'INPUT DAFTAR PESERTA'!A4</f>
        <v>2</v>
      </c>
      <c r="B6" s="22">
        <f>'INPUT DAFTAR PESERTA'!B4</f>
        <v>2409076002</v>
      </c>
      <c r="C6" s="6" t="str">
        <f>'INPUT DAFTAR PESERTA'!C4</f>
        <v>Muhammad Rifqi Maulana</v>
      </c>
      <c r="D6" s="23">
        <v>64.0</v>
      </c>
      <c r="E6" s="23">
        <v>75.0</v>
      </c>
      <c r="F6" s="23">
        <v>80.0</v>
      </c>
      <c r="G6" s="23">
        <v>80.0</v>
      </c>
      <c r="H6" s="23">
        <v>72.0</v>
      </c>
      <c r="I6" s="23">
        <v>63.0</v>
      </c>
      <c r="J6" s="33">
        <f t="shared" si="1"/>
        <v>72.33333333</v>
      </c>
      <c r="K6" s="24">
        <f>'LAPORAN RESMI'!J6</f>
        <v>87.91666667</v>
      </c>
      <c r="L6" s="33">
        <f t="shared" si="2"/>
        <v>80.125</v>
      </c>
    </row>
    <row r="7">
      <c r="A7" s="22">
        <f>'INPUT DAFTAR PESERTA'!A5</f>
        <v>3</v>
      </c>
      <c r="B7" s="22">
        <f>'INPUT DAFTAR PESERTA'!B5</f>
        <v>2409076003</v>
      </c>
      <c r="C7" s="6" t="str">
        <f>'INPUT DAFTAR PESERTA'!C5</f>
        <v>Andhika Pratama</v>
      </c>
      <c r="D7" s="23">
        <v>72.0</v>
      </c>
      <c r="E7" s="23">
        <v>40.0</v>
      </c>
      <c r="F7" s="23">
        <v>63.0</v>
      </c>
      <c r="G7" s="23">
        <v>80.0</v>
      </c>
      <c r="H7" s="23">
        <v>57.0</v>
      </c>
      <c r="I7" s="23">
        <v>55.0</v>
      </c>
      <c r="J7" s="33">
        <f t="shared" si="1"/>
        <v>61.16666667</v>
      </c>
      <c r="K7" s="24">
        <f>'LAPORAN RESMI'!J7</f>
        <v>77.66666667</v>
      </c>
      <c r="L7" s="33">
        <f t="shared" si="2"/>
        <v>69.41666667</v>
      </c>
    </row>
    <row r="8">
      <c r="A8" s="22">
        <f>'INPUT DAFTAR PESERTA'!A6</f>
        <v>4</v>
      </c>
      <c r="B8" s="22">
        <f>'INPUT DAFTAR PESERTA'!B6</f>
        <v>2409076004</v>
      </c>
      <c r="C8" s="6" t="str">
        <f>'INPUT DAFTAR PESERTA'!C6</f>
        <v>Nur Aqmarina</v>
      </c>
      <c r="D8" s="23">
        <v>89.0</v>
      </c>
      <c r="E8" s="23">
        <v>59.0</v>
      </c>
      <c r="F8" s="23">
        <v>92.0</v>
      </c>
      <c r="G8" s="23">
        <v>87.0</v>
      </c>
      <c r="H8" s="23">
        <v>88.0</v>
      </c>
      <c r="I8" s="23">
        <v>81.0</v>
      </c>
      <c r="J8" s="33">
        <f t="shared" si="1"/>
        <v>82.66666667</v>
      </c>
      <c r="K8" s="24">
        <f>'LAPORAN RESMI'!J8</f>
        <v>92.5</v>
      </c>
      <c r="L8" s="33">
        <f t="shared" si="2"/>
        <v>87.58333333</v>
      </c>
    </row>
    <row r="9">
      <c r="A9" s="22">
        <f>'INPUT DAFTAR PESERTA'!A7</f>
        <v>5</v>
      </c>
      <c r="B9" s="22">
        <f>'INPUT DAFTAR PESERTA'!B7</f>
        <v>2409076005</v>
      </c>
      <c r="C9" s="6" t="str">
        <f>'INPUT DAFTAR PESERTA'!C7</f>
        <v>Rias Prihatanto</v>
      </c>
      <c r="D9" s="23">
        <v>91.0</v>
      </c>
      <c r="E9" s="23">
        <v>50.0</v>
      </c>
      <c r="F9" s="23">
        <v>94.0</v>
      </c>
      <c r="G9" s="23">
        <v>89.0</v>
      </c>
      <c r="H9" s="23">
        <v>72.0</v>
      </c>
      <c r="I9" s="23">
        <v>95.0</v>
      </c>
      <c r="J9" s="33">
        <f t="shared" si="1"/>
        <v>81.83333333</v>
      </c>
      <c r="K9" s="24">
        <f>'LAPORAN RESMI'!J9</f>
        <v>92.83333333</v>
      </c>
      <c r="L9" s="33">
        <f t="shared" si="2"/>
        <v>87.33333333</v>
      </c>
    </row>
    <row r="10">
      <c r="A10" s="22">
        <f>'INPUT DAFTAR PESERTA'!A8</f>
        <v>6</v>
      </c>
      <c r="B10" s="22">
        <f>'INPUT DAFTAR PESERTA'!B8</f>
        <v>2409076006</v>
      </c>
      <c r="C10" s="6" t="str">
        <f>'INPUT DAFTAR PESERTA'!C8</f>
        <v>Muhammad Maulana Bhagaskara</v>
      </c>
      <c r="D10" s="23">
        <v>78.0</v>
      </c>
      <c r="E10" s="23">
        <v>77.0</v>
      </c>
      <c r="F10" s="23">
        <v>84.0</v>
      </c>
      <c r="G10" s="23">
        <v>86.0</v>
      </c>
      <c r="H10" s="23">
        <v>71.0</v>
      </c>
      <c r="I10" s="23">
        <v>72.5</v>
      </c>
      <c r="J10" s="33">
        <f t="shared" si="1"/>
        <v>78.08333333</v>
      </c>
      <c r="K10" s="24">
        <f>'LAPORAN RESMI'!J10</f>
        <v>92.16666667</v>
      </c>
      <c r="L10" s="33">
        <f t="shared" si="2"/>
        <v>85.125</v>
      </c>
    </row>
    <row r="11">
      <c r="A11" s="22">
        <f>'INPUT DAFTAR PESERTA'!A9</f>
        <v>7</v>
      </c>
      <c r="B11" s="22">
        <f>'INPUT DAFTAR PESERTA'!B9</f>
        <v>2409076007</v>
      </c>
      <c r="C11" s="6" t="str">
        <f>'INPUT DAFTAR PESERTA'!C9</f>
        <v>Chelsi Kamera</v>
      </c>
      <c r="D11" s="23">
        <v>87.0</v>
      </c>
      <c r="E11" s="23">
        <v>75.0</v>
      </c>
      <c r="F11" s="23">
        <v>85.0</v>
      </c>
      <c r="G11" s="23">
        <v>88.0</v>
      </c>
      <c r="H11" s="23">
        <v>73.0</v>
      </c>
      <c r="I11" s="23">
        <v>89.5</v>
      </c>
      <c r="J11" s="33">
        <f t="shared" si="1"/>
        <v>82.91666667</v>
      </c>
      <c r="K11" s="24">
        <f>'LAPORAN RESMI'!J11</f>
        <v>93.08333333</v>
      </c>
      <c r="L11" s="33">
        <f t="shared" si="2"/>
        <v>88</v>
      </c>
    </row>
    <row r="12">
      <c r="A12" s="22">
        <f>'INPUT DAFTAR PESERTA'!A10</f>
        <v>8</v>
      </c>
      <c r="B12" s="22">
        <f>'INPUT DAFTAR PESERTA'!B10</f>
        <v>2409076008</v>
      </c>
      <c r="C12" s="6" t="str">
        <f>'INPUT DAFTAR PESERTA'!C10</f>
        <v>Riyan Maulana</v>
      </c>
      <c r="D12" s="23">
        <v>41.5</v>
      </c>
      <c r="E12" s="23">
        <v>26.0</v>
      </c>
      <c r="F12" s="23">
        <v>88.0</v>
      </c>
      <c r="G12" s="23">
        <v>84.0</v>
      </c>
      <c r="H12" s="23">
        <v>87.0</v>
      </c>
      <c r="I12" s="23">
        <v>53.0</v>
      </c>
      <c r="J12" s="33">
        <f t="shared" si="1"/>
        <v>63.25</v>
      </c>
      <c r="K12" s="24">
        <f>'LAPORAN RESMI'!J12</f>
        <v>88.33333333</v>
      </c>
      <c r="L12" s="33">
        <f t="shared" si="2"/>
        <v>75.79166667</v>
      </c>
    </row>
    <row r="13">
      <c r="A13" s="22">
        <f>'INPUT DAFTAR PESERTA'!A11</f>
        <v>9</v>
      </c>
      <c r="B13" s="22">
        <f>'INPUT DAFTAR PESERTA'!B11</f>
        <v>2409076009</v>
      </c>
      <c r="C13" s="6" t="str">
        <f>'INPUT DAFTAR PESERTA'!C11</f>
        <v>Dimas Prasetyo Wibowo</v>
      </c>
      <c r="D13" s="23">
        <v>81.0</v>
      </c>
      <c r="E13" s="23">
        <v>71.0</v>
      </c>
      <c r="F13" s="23">
        <v>71.0</v>
      </c>
      <c r="G13" s="23">
        <v>87.0</v>
      </c>
      <c r="H13" s="23">
        <v>66.0</v>
      </c>
      <c r="I13" s="23">
        <v>75.5</v>
      </c>
      <c r="J13" s="33">
        <f t="shared" si="1"/>
        <v>75.25</v>
      </c>
      <c r="K13" s="24">
        <f>'LAPORAN RESMI'!J13</f>
        <v>91.33333333</v>
      </c>
      <c r="L13" s="33">
        <f t="shared" si="2"/>
        <v>83.29166667</v>
      </c>
    </row>
    <row r="14">
      <c r="A14" s="22">
        <f>'INPUT DAFTAR PESERTA'!A12</f>
        <v>10</v>
      </c>
      <c r="B14" s="22">
        <f>'INPUT DAFTAR PESERTA'!B12</f>
        <v>2409076010</v>
      </c>
      <c r="C14" s="6" t="str">
        <f>'INPUT DAFTAR PESERTA'!C12</f>
        <v>Najwa Dwi Maylani</v>
      </c>
      <c r="D14" s="23">
        <v>86.5</v>
      </c>
      <c r="E14" s="23">
        <v>71.0</v>
      </c>
      <c r="F14" s="23">
        <v>77.0</v>
      </c>
      <c r="G14" s="23">
        <v>92.0</v>
      </c>
      <c r="H14" s="23">
        <v>66.0</v>
      </c>
      <c r="I14" s="23">
        <v>81.0</v>
      </c>
      <c r="J14" s="33">
        <f t="shared" si="1"/>
        <v>78.91666667</v>
      </c>
      <c r="K14" s="24">
        <f>'LAPORAN RESMI'!J14</f>
        <v>91.33333333</v>
      </c>
      <c r="L14" s="33">
        <f t="shared" si="2"/>
        <v>85.125</v>
      </c>
    </row>
    <row r="15">
      <c r="A15" s="22">
        <f>'INPUT DAFTAR PESERTA'!A13</f>
        <v>11</v>
      </c>
      <c r="B15" s="22">
        <f>'INPUT DAFTAR PESERTA'!B13</f>
        <v>2409076011</v>
      </c>
      <c r="C15" s="6" t="str">
        <f>'INPUT DAFTAR PESERTA'!C13</f>
        <v>Surya Ardhian Mokodongan</v>
      </c>
      <c r="D15" s="23">
        <v>91.0</v>
      </c>
      <c r="E15" s="23">
        <v>86.0</v>
      </c>
      <c r="F15" s="23">
        <v>86.0</v>
      </c>
      <c r="G15" s="23">
        <v>69.0</v>
      </c>
      <c r="H15" s="23">
        <v>76.0</v>
      </c>
      <c r="I15" s="23">
        <v>73.5</v>
      </c>
      <c r="J15" s="33">
        <f t="shared" si="1"/>
        <v>80.25</v>
      </c>
      <c r="K15" s="24">
        <f>'LAPORAN RESMI'!J15</f>
        <v>90.16666667</v>
      </c>
      <c r="L15" s="33">
        <f t="shared" si="2"/>
        <v>85.20833333</v>
      </c>
    </row>
    <row r="16">
      <c r="A16" s="22">
        <f>'INPUT DAFTAR PESERTA'!A14</f>
        <v>12</v>
      </c>
      <c r="B16" s="22">
        <f>'INPUT DAFTAR PESERTA'!B14</f>
        <v>2409076012</v>
      </c>
      <c r="C16" s="6" t="str">
        <f>'INPUT DAFTAR PESERTA'!C14</f>
        <v>Ahmad Irfani Ananda Putra Hariawan</v>
      </c>
      <c r="D16" s="23">
        <v>80.5</v>
      </c>
      <c r="E16" s="23">
        <v>84.0</v>
      </c>
      <c r="F16" s="23">
        <v>72.0</v>
      </c>
      <c r="G16" s="23">
        <v>69.0</v>
      </c>
      <c r="H16" s="23">
        <v>72.0</v>
      </c>
      <c r="I16" s="23">
        <v>60.0</v>
      </c>
      <c r="J16" s="33">
        <f t="shared" si="1"/>
        <v>72.91666667</v>
      </c>
      <c r="K16" s="24">
        <f>'LAPORAN RESMI'!J16</f>
        <v>87.41666667</v>
      </c>
      <c r="L16" s="33">
        <f t="shared" si="2"/>
        <v>80.16666667</v>
      </c>
    </row>
    <row r="17">
      <c r="A17" s="22">
        <f>'INPUT DAFTAR PESERTA'!A15</f>
        <v>13</v>
      </c>
      <c r="B17" s="22">
        <f>'INPUT DAFTAR PESERTA'!B15</f>
        <v>2409076013</v>
      </c>
      <c r="C17" s="6" t="str">
        <f>'INPUT DAFTAR PESERTA'!C15</f>
        <v>Afif Rizqi Ramadhan</v>
      </c>
      <c r="D17" s="23">
        <v>84.0</v>
      </c>
      <c r="E17" s="23">
        <v>84.0</v>
      </c>
      <c r="F17" s="23">
        <v>81.0</v>
      </c>
      <c r="G17" s="23">
        <v>72.0</v>
      </c>
      <c r="H17" s="23">
        <v>69.0</v>
      </c>
      <c r="I17" s="23">
        <v>82.0</v>
      </c>
      <c r="J17" s="33">
        <f t="shared" si="1"/>
        <v>78.66666667</v>
      </c>
      <c r="K17" s="24">
        <f>'LAPORAN RESMI'!J17</f>
        <v>91.25</v>
      </c>
      <c r="L17" s="33">
        <f t="shared" si="2"/>
        <v>84.95833333</v>
      </c>
    </row>
    <row r="18">
      <c r="A18" s="22">
        <f>'INPUT DAFTAR PESERTA'!A16</f>
        <v>14</v>
      </c>
      <c r="B18" s="22">
        <f>'INPUT DAFTAR PESERTA'!B16</f>
        <v>2409076014</v>
      </c>
      <c r="C18" s="6" t="str">
        <f>'INPUT DAFTAR PESERTA'!C16</f>
        <v>Julius Simamora</v>
      </c>
      <c r="D18" s="23">
        <v>90.5</v>
      </c>
      <c r="E18" s="23">
        <v>87.0</v>
      </c>
      <c r="F18" s="23">
        <v>70.0</v>
      </c>
      <c r="G18" s="23">
        <v>87.0</v>
      </c>
      <c r="H18" s="23">
        <v>75.0</v>
      </c>
      <c r="I18" s="23">
        <v>49.5</v>
      </c>
      <c r="J18" s="33">
        <f t="shared" si="1"/>
        <v>76.5</v>
      </c>
      <c r="K18" s="24">
        <f>'LAPORAN RESMI'!J18</f>
        <v>92.58333333</v>
      </c>
      <c r="L18" s="33">
        <f t="shared" si="2"/>
        <v>84.54166667</v>
      </c>
    </row>
    <row r="19">
      <c r="A19" s="22">
        <f>'INPUT DAFTAR PESERTA'!A17</f>
        <v>15</v>
      </c>
      <c r="B19" s="22">
        <f>'INPUT DAFTAR PESERTA'!B17</f>
        <v>2409076015</v>
      </c>
      <c r="C19" s="6" t="str">
        <f>'INPUT DAFTAR PESERTA'!C17</f>
        <v>Gea Novtry</v>
      </c>
      <c r="D19" s="23">
        <v>75.5</v>
      </c>
      <c r="E19" s="23">
        <v>82.0</v>
      </c>
      <c r="F19" s="23">
        <v>50.0</v>
      </c>
      <c r="G19" s="23">
        <v>58.0</v>
      </c>
      <c r="H19" s="23">
        <v>37.0</v>
      </c>
      <c r="I19" s="23">
        <v>35.0</v>
      </c>
      <c r="J19" s="33">
        <f t="shared" si="1"/>
        <v>56.25</v>
      </c>
      <c r="K19" s="24">
        <f>'LAPORAN RESMI'!J19</f>
        <v>59.73333333</v>
      </c>
      <c r="L19" s="33">
        <f t="shared" si="2"/>
        <v>57.99166667</v>
      </c>
    </row>
    <row r="20">
      <c r="A20" s="22">
        <f>'INPUT DAFTAR PESERTA'!A18</f>
        <v>16</v>
      </c>
      <c r="B20" s="22">
        <f>'INPUT DAFTAR PESERTA'!B18</f>
        <v>2409076016</v>
      </c>
      <c r="C20" s="6" t="str">
        <f>'INPUT DAFTAR PESERTA'!C18</f>
        <v>Najmi habibi</v>
      </c>
      <c r="D20" s="23">
        <v>0.0</v>
      </c>
      <c r="E20" s="23">
        <v>81.0</v>
      </c>
      <c r="F20" s="23">
        <v>68.0</v>
      </c>
      <c r="G20" s="23">
        <v>55.0</v>
      </c>
      <c r="H20" s="23">
        <v>47.0</v>
      </c>
      <c r="I20" s="23">
        <v>36.0</v>
      </c>
      <c r="J20" s="33">
        <f t="shared" si="1"/>
        <v>47.83333333</v>
      </c>
      <c r="K20" s="24">
        <f>'LAPORAN RESMI'!J20</f>
        <v>59.41666667</v>
      </c>
      <c r="L20" s="33">
        <f t="shared" si="2"/>
        <v>53.625</v>
      </c>
    </row>
    <row r="21" ht="15.75" customHeight="1">
      <c r="A21" s="22">
        <f>'INPUT DAFTAR PESERTA'!A19</f>
        <v>17</v>
      </c>
      <c r="B21" s="22">
        <f>'INPUT DAFTAR PESERTA'!B19</f>
        <v>2409076017</v>
      </c>
      <c r="C21" s="6" t="str">
        <f>'INPUT DAFTAR PESERTA'!C19</f>
        <v>Muhammad Reza Aulia</v>
      </c>
      <c r="D21" s="23">
        <v>77.0</v>
      </c>
      <c r="E21" s="23">
        <v>90.0</v>
      </c>
      <c r="F21" s="23">
        <v>86.0</v>
      </c>
      <c r="G21" s="23">
        <v>75.0</v>
      </c>
      <c r="H21" s="23">
        <v>65.0</v>
      </c>
      <c r="I21" s="23">
        <v>53.5</v>
      </c>
      <c r="J21" s="33">
        <f t="shared" si="1"/>
        <v>74.41666667</v>
      </c>
      <c r="K21" s="24">
        <f>'LAPORAN RESMI'!J21</f>
        <v>88.83333333</v>
      </c>
      <c r="L21" s="33">
        <f t="shared" si="2"/>
        <v>81.625</v>
      </c>
    </row>
    <row r="22" ht="15.75" customHeight="1">
      <c r="A22" s="22">
        <f>'INPUT DAFTAR PESERTA'!A20</f>
        <v>18</v>
      </c>
      <c r="B22" s="22">
        <f>'INPUT DAFTAR PESERTA'!B20</f>
        <v>2409076018</v>
      </c>
      <c r="C22" s="6" t="str">
        <f>'INPUT DAFTAR PESERTA'!C20</f>
        <v>Omar maulana ibnu rahman</v>
      </c>
      <c r="D22" s="23">
        <v>0.0</v>
      </c>
      <c r="E22" s="23">
        <v>87.0</v>
      </c>
      <c r="F22" s="23">
        <v>89.0</v>
      </c>
      <c r="G22" s="23">
        <v>76.0</v>
      </c>
      <c r="H22" s="23">
        <v>72.0</v>
      </c>
      <c r="I22" s="23">
        <v>47.0</v>
      </c>
      <c r="J22" s="33">
        <f t="shared" si="1"/>
        <v>61.83333333</v>
      </c>
      <c r="K22" s="24">
        <f>'LAPORAN RESMI'!J22</f>
        <v>74.4</v>
      </c>
      <c r="L22" s="33">
        <f t="shared" si="2"/>
        <v>68.11666667</v>
      </c>
    </row>
    <row r="23" ht="15.75" customHeight="1">
      <c r="A23" s="22">
        <f>'INPUT DAFTAR PESERTA'!A21</f>
        <v>19</v>
      </c>
      <c r="B23" s="22">
        <f>'INPUT DAFTAR PESERTA'!B21</f>
        <v>2409076019</v>
      </c>
      <c r="C23" s="6" t="str">
        <f>'INPUT DAFTAR PESERTA'!C21</f>
        <v>F. Agung Setyawan. L</v>
      </c>
      <c r="D23" s="23">
        <v>0.0</v>
      </c>
      <c r="E23" s="23">
        <v>86.0</v>
      </c>
      <c r="F23" s="23">
        <v>80.0</v>
      </c>
      <c r="G23" s="23">
        <v>83.0</v>
      </c>
      <c r="H23" s="23">
        <v>75.0</v>
      </c>
      <c r="I23" s="23">
        <v>53.5</v>
      </c>
      <c r="J23" s="33">
        <f t="shared" si="1"/>
        <v>62.91666667</v>
      </c>
      <c r="K23" s="24">
        <f>'LAPORAN RESMI'!J23</f>
        <v>90.91666667</v>
      </c>
      <c r="L23" s="33">
        <f t="shared" si="2"/>
        <v>76.91666667</v>
      </c>
    </row>
    <row r="24" ht="15.75" customHeight="1">
      <c r="A24" s="22">
        <f>'INPUT DAFTAR PESERTA'!A22</f>
        <v>20</v>
      </c>
      <c r="B24" s="22">
        <f>'INPUT DAFTAR PESERTA'!B22</f>
        <v>2409076020</v>
      </c>
      <c r="C24" s="6" t="str">
        <f>'INPUT DAFTAR PESERTA'!C22</f>
        <v>Muhammad Rafi Ramadhan</v>
      </c>
      <c r="D24" s="23">
        <v>82.5</v>
      </c>
      <c r="E24" s="23">
        <v>79.0</v>
      </c>
      <c r="F24" s="23">
        <v>93.0</v>
      </c>
      <c r="G24" s="23">
        <v>85.0</v>
      </c>
      <c r="H24" s="23">
        <v>79.0</v>
      </c>
      <c r="I24" s="23">
        <v>0.0</v>
      </c>
      <c r="J24" s="33">
        <f t="shared" si="1"/>
        <v>69.75</v>
      </c>
      <c r="K24" s="24">
        <f>'LAPORAN RESMI'!J24</f>
        <v>69.5</v>
      </c>
      <c r="L24" s="33">
        <f t="shared" si="2"/>
        <v>69.625</v>
      </c>
    </row>
    <row r="25" ht="15.75" customHeight="1">
      <c r="A25" s="22">
        <f>'INPUT DAFTAR PESERTA'!A23</f>
        <v>21</v>
      </c>
      <c r="B25" s="22">
        <f>'INPUT DAFTAR PESERTA'!B23</f>
        <v>2409076021</v>
      </c>
      <c r="C25" s="6" t="str">
        <f>'INPUT DAFTAR PESERTA'!C23</f>
        <v>Farras Alwan Putra Setyo</v>
      </c>
      <c r="D25" s="23">
        <v>72.5</v>
      </c>
      <c r="E25" s="23">
        <v>62.0</v>
      </c>
      <c r="F25" s="23">
        <v>83.0</v>
      </c>
      <c r="G25" s="23">
        <v>84.0</v>
      </c>
      <c r="H25" s="23">
        <v>70.0</v>
      </c>
      <c r="I25" s="23">
        <v>0.0</v>
      </c>
      <c r="J25" s="33">
        <f t="shared" si="1"/>
        <v>61.91666667</v>
      </c>
      <c r="K25" s="24">
        <f>'LAPORAN RESMI'!J25</f>
        <v>83.58333333</v>
      </c>
      <c r="L25" s="33">
        <f t="shared" si="2"/>
        <v>72.75</v>
      </c>
    </row>
    <row r="26" ht="15.75" customHeight="1">
      <c r="A26" s="22">
        <f>'INPUT DAFTAR PESERTA'!A24</f>
        <v>22</v>
      </c>
      <c r="B26" s="22">
        <f>'INPUT DAFTAR PESERTA'!B24</f>
        <v>2409076022</v>
      </c>
      <c r="C26" s="6" t="str">
        <f>'INPUT DAFTAR PESERTA'!C24</f>
        <v>Dewo Dzaki</v>
      </c>
      <c r="D26" s="23">
        <v>78.0</v>
      </c>
      <c r="E26" s="23">
        <v>84.0</v>
      </c>
      <c r="F26" s="23">
        <v>93.0</v>
      </c>
      <c r="G26" s="23">
        <v>81.0</v>
      </c>
      <c r="H26" s="23">
        <v>69.0</v>
      </c>
      <c r="I26" s="23">
        <v>52.0</v>
      </c>
      <c r="J26" s="33">
        <f t="shared" si="1"/>
        <v>76.16666667</v>
      </c>
      <c r="K26" s="24">
        <f>'LAPORAN RESMI'!J26</f>
        <v>87.83333333</v>
      </c>
      <c r="L26" s="33">
        <f t="shared" si="2"/>
        <v>82</v>
      </c>
    </row>
    <row r="27" ht="15.75" customHeight="1">
      <c r="A27" s="22">
        <f>'INPUT DAFTAR PESERTA'!A25</f>
        <v>23</v>
      </c>
      <c r="B27" s="22">
        <f>'INPUT DAFTAR PESERTA'!B25</f>
        <v>2409076023</v>
      </c>
      <c r="C27" s="6" t="str">
        <f>'INPUT DAFTAR PESERTA'!C25</f>
        <v>Yusr Gavrila</v>
      </c>
      <c r="D27" s="23">
        <v>91.0</v>
      </c>
      <c r="E27" s="23">
        <v>90.0</v>
      </c>
      <c r="F27" s="23">
        <v>98.0</v>
      </c>
      <c r="G27" s="23">
        <v>91.0</v>
      </c>
      <c r="H27" s="23">
        <v>85.0</v>
      </c>
      <c r="I27" s="23">
        <v>46.0</v>
      </c>
      <c r="J27" s="33">
        <f t="shared" si="1"/>
        <v>83.5</v>
      </c>
      <c r="K27" s="24">
        <f>'LAPORAN RESMI'!J27</f>
        <v>91.83333333</v>
      </c>
      <c r="L27" s="33">
        <f t="shared" si="2"/>
        <v>87.66666667</v>
      </c>
    </row>
    <row r="28" ht="15.75" customHeight="1">
      <c r="A28" s="22">
        <f>'INPUT DAFTAR PESERTA'!A26</f>
        <v>24</v>
      </c>
      <c r="B28" s="22">
        <f>'INPUT DAFTAR PESERTA'!B26</f>
        <v>2409076025</v>
      </c>
      <c r="C28" s="6" t="str">
        <f>'INPUT DAFTAR PESERTA'!C26</f>
        <v>Fahrizal Prasetya</v>
      </c>
      <c r="D28" s="23">
        <v>0.0</v>
      </c>
      <c r="E28" s="23">
        <v>83.0</v>
      </c>
      <c r="F28" s="23">
        <v>71.0</v>
      </c>
      <c r="G28" s="23">
        <v>70.0</v>
      </c>
      <c r="H28" s="23">
        <v>70.0</v>
      </c>
      <c r="I28" s="23">
        <v>0.0</v>
      </c>
      <c r="J28" s="33">
        <f t="shared" si="1"/>
        <v>49</v>
      </c>
      <c r="K28" s="24">
        <f>'LAPORAN RESMI'!J28</f>
        <v>74.66666667</v>
      </c>
      <c r="L28" s="33">
        <f t="shared" si="2"/>
        <v>61.83333333</v>
      </c>
    </row>
    <row r="29" ht="15.75" customHeight="1">
      <c r="A29" s="22">
        <f>'INPUT DAFTAR PESERTA'!A27</f>
        <v>25</v>
      </c>
      <c r="B29" s="22">
        <f>'INPUT DAFTAR PESERTA'!B27</f>
        <v>2409076026</v>
      </c>
      <c r="C29" s="6" t="str">
        <f>'INPUT DAFTAR PESERTA'!C27</f>
        <v>Ariya Kema Maulana</v>
      </c>
      <c r="D29" s="23">
        <v>61.0</v>
      </c>
      <c r="E29" s="23">
        <v>78.0</v>
      </c>
      <c r="F29" s="23">
        <v>76.0</v>
      </c>
      <c r="G29" s="23">
        <v>61.0</v>
      </c>
      <c r="H29" s="23">
        <v>64.0</v>
      </c>
      <c r="I29" s="23">
        <v>0.0</v>
      </c>
      <c r="J29" s="33">
        <f t="shared" si="1"/>
        <v>56.66666667</v>
      </c>
      <c r="K29" s="24">
        <f>'LAPORAN RESMI'!J29</f>
        <v>75.83333333</v>
      </c>
      <c r="L29" s="33">
        <f t="shared" si="2"/>
        <v>66.25</v>
      </c>
    </row>
    <row r="30" ht="15.75" customHeight="1">
      <c r="A30" s="22">
        <f>'INPUT DAFTAR PESERTA'!A28</f>
        <v>26</v>
      </c>
      <c r="B30" s="22">
        <f>'INPUT DAFTAR PESERTA'!B28</f>
        <v>2409076027</v>
      </c>
      <c r="C30" s="6" t="str">
        <f>'INPUT DAFTAR PESERTA'!C28</f>
        <v>Muhammad Afdal</v>
      </c>
      <c r="D30" s="23">
        <v>59.5</v>
      </c>
      <c r="E30" s="23">
        <v>31.0</v>
      </c>
      <c r="F30" s="23">
        <v>80.0</v>
      </c>
      <c r="G30" s="23">
        <v>63.0</v>
      </c>
      <c r="H30" s="23">
        <v>80.0</v>
      </c>
      <c r="I30" s="23">
        <v>0.0</v>
      </c>
      <c r="J30" s="33">
        <f t="shared" si="1"/>
        <v>52.25</v>
      </c>
      <c r="K30" s="24">
        <f>'LAPORAN RESMI'!J30</f>
        <v>75.66666667</v>
      </c>
      <c r="L30" s="33">
        <f t="shared" si="2"/>
        <v>63.95833333</v>
      </c>
    </row>
    <row r="31" ht="15.75" customHeight="1">
      <c r="A31" s="22">
        <f>'INPUT DAFTAR PESERTA'!A29</f>
        <v>27</v>
      </c>
      <c r="B31" s="22">
        <f>'INPUT DAFTAR PESERTA'!B29</f>
        <v>2409076028</v>
      </c>
      <c r="C31" s="6" t="str">
        <f>'INPUT DAFTAR PESERTA'!C29</f>
        <v>Carlos Immanuel Simanjuntak</v>
      </c>
      <c r="D31" s="23">
        <v>56.0</v>
      </c>
      <c r="E31" s="23">
        <v>82.0</v>
      </c>
      <c r="F31" s="23">
        <v>68.0</v>
      </c>
      <c r="G31" s="23">
        <v>81.0</v>
      </c>
      <c r="H31" s="23">
        <v>77.0</v>
      </c>
      <c r="I31" s="23">
        <v>0.0</v>
      </c>
      <c r="J31" s="33">
        <f t="shared" si="1"/>
        <v>60.66666667</v>
      </c>
      <c r="K31" s="24">
        <f>'LAPORAN RESMI'!J31</f>
        <v>81.66666667</v>
      </c>
      <c r="L31" s="33">
        <f t="shared" si="2"/>
        <v>71.16666667</v>
      </c>
    </row>
    <row r="32" ht="15.75" customHeight="1">
      <c r="A32" s="22">
        <f>'INPUT DAFTAR PESERTA'!A30</f>
        <v>28</v>
      </c>
      <c r="B32" s="22">
        <f>'INPUT DAFTAR PESERTA'!B30</f>
        <v>2409076029</v>
      </c>
      <c r="C32" s="6" t="str">
        <f>'INPUT DAFTAR PESERTA'!C30</f>
        <v>Ardhian Arif Ananda</v>
      </c>
      <c r="D32" s="23">
        <v>80.0</v>
      </c>
      <c r="E32" s="23">
        <v>84.0</v>
      </c>
      <c r="F32" s="23">
        <v>73.0</v>
      </c>
      <c r="G32" s="23">
        <v>0.0</v>
      </c>
      <c r="H32" s="23">
        <v>67.0</v>
      </c>
      <c r="I32" s="23">
        <v>0.0</v>
      </c>
      <c r="J32" s="33">
        <f t="shared" si="1"/>
        <v>50.66666667</v>
      </c>
      <c r="K32" s="24">
        <f>'LAPORAN RESMI'!J32</f>
        <v>60</v>
      </c>
      <c r="L32" s="33">
        <f t="shared" si="2"/>
        <v>55.33333333</v>
      </c>
    </row>
    <row r="33" ht="15.75" customHeight="1">
      <c r="A33" s="22">
        <f>'INPUT DAFTAR PESERTA'!A31</f>
        <v>29</v>
      </c>
      <c r="B33" s="22">
        <f>'INPUT DAFTAR PESERTA'!B31</f>
        <v>2409076030</v>
      </c>
      <c r="C33" s="6" t="str">
        <f>'INPUT DAFTAR PESERTA'!C31</f>
        <v>Ahmad Fikri Tri Utomo</v>
      </c>
      <c r="D33" s="23">
        <v>87.5</v>
      </c>
      <c r="E33" s="23">
        <v>67.0</v>
      </c>
      <c r="F33" s="23">
        <v>38.0</v>
      </c>
      <c r="G33" s="23">
        <v>37.0</v>
      </c>
      <c r="H33" s="23">
        <v>42.0</v>
      </c>
      <c r="I33" s="23">
        <v>0.0</v>
      </c>
      <c r="J33" s="33">
        <f t="shared" si="1"/>
        <v>45.25</v>
      </c>
      <c r="K33" s="24">
        <f>'LAPORAN RESMI'!J33</f>
        <v>81.91666667</v>
      </c>
      <c r="L33" s="33">
        <f t="shared" si="2"/>
        <v>63.58333333</v>
      </c>
    </row>
    <row r="34" ht="15.75" customHeight="1">
      <c r="A34" s="22">
        <f>'INPUT DAFTAR PESERTA'!A32</f>
        <v>30</v>
      </c>
      <c r="B34" s="22">
        <f>'INPUT DAFTAR PESERTA'!B32</f>
        <v>2409076031</v>
      </c>
      <c r="C34" s="6" t="str">
        <f>'INPUT DAFTAR PESERTA'!C32</f>
        <v>Muhammad Alfin Alfanfa</v>
      </c>
      <c r="D34" s="23">
        <v>91.5</v>
      </c>
      <c r="E34" s="23">
        <v>74.0</v>
      </c>
      <c r="F34" s="23">
        <v>86.0</v>
      </c>
      <c r="G34" s="23">
        <v>78.0</v>
      </c>
      <c r="H34" s="23">
        <v>62.0</v>
      </c>
      <c r="I34" s="23">
        <v>57.0</v>
      </c>
      <c r="J34" s="33">
        <f t="shared" si="1"/>
        <v>74.75</v>
      </c>
      <c r="K34" s="24">
        <f>'LAPORAN RESMI'!J34</f>
        <v>89.25</v>
      </c>
      <c r="L34" s="33">
        <f t="shared" si="2"/>
        <v>82</v>
      </c>
    </row>
    <row r="35" ht="15.75" customHeight="1">
      <c r="A35" s="22">
        <f>'INPUT DAFTAR PESERTA'!A33</f>
        <v>31</v>
      </c>
      <c r="B35" s="22">
        <f>'INPUT DAFTAR PESERTA'!B33</f>
        <v>2409076032</v>
      </c>
      <c r="C35" s="6" t="str">
        <f>'INPUT DAFTAR PESERTA'!C33</f>
        <v>Faizal Haqi</v>
      </c>
      <c r="D35" s="23">
        <v>91.0</v>
      </c>
      <c r="E35" s="23">
        <v>50.0</v>
      </c>
      <c r="F35" s="23">
        <v>68.0</v>
      </c>
      <c r="G35" s="23">
        <v>74.0</v>
      </c>
      <c r="H35" s="23">
        <v>53.0</v>
      </c>
      <c r="I35" s="23">
        <v>75.0</v>
      </c>
      <c r="J35" s="33">
        <f t="shared" si="1"/>
        <v>68.5</v>
      </c>
      <c r="K35" s="24">
        <f>'LAPORAN RESMI'!J35</f>
        <v>89.33333333</v>
      </c>
      <c r="L35" s="33">
        <f t="shared" si="2"/>
        <v>78.91666667</v>
      </c>
    </row>
    <row r="36" ht="15.75" customHeight="1">
      <c r="A36" s="22">
        <f>'INPUT DAFTAR PESERTA'!A34</f>
        <v>32</v>
      </c>
      <c r="B36" s="22">
        <f>'INPUT DAFTAR PESERTA'!B34</f>
        <v>2409076033</v>
      </c>
      <c r="C36" s="6" t="str">
        <f>'INPUT DAFTAR PESERTA'!C34</f>
        <v>Joinicius Pasalin</v>
      </c>
      <c r="D36" s="23">
        <v>89.0</v>
      </c>
      <c r="E36" s="23">
        <v>81.0</v>
      </c>
      <c r="F36" s="23">
        <v>94.0</v>
      </c>
      <c r="G36" s="23">
        <v>81.0</v>
      </c>
      <c r="H36" s="23">
        <v>80.0</v>
      </c>
      <c r="I36" s="23">
        <v>77.0</v>
      </c>
      <c r="J36" s="33">
        <f t="shared" si="1"/>
        <v>83.66666667</v>
      </c>
      <c r="K36" s="24">
        <f>'LAPORAN RESMI'!J36</f>
        <v>89.66666667</v>
      </c>
      <c r="L36" s="33">
        <f t="shared" si="2"/>
        <v>86.66666667</v>
      </c>
    </row>
    <row r="37" ht="15.75" customHeight="1">
      <c r="A37" s="22">
        <f>'INPUT DAFTAR PESERTA'!A35</f>
        <v>33</v>
      </c>
      <c r="B37" s="22">
        <f>'INPUT DAFTAR PESERTA'!B35</f>
        <v>2409076034</v>
      </c>
      <c r="C37" s="6" t="str">
        <f>'INPUT DAFTAR PESERTA'!C35</f>
        <v>Alwi Rudiansyah</v>
      </c>
      <c r="D37" s="23">
        <v>91.5</v>
      </c>
      <c r="E37" s="23">
        <v>88.0</v>
      </c>
      <c r="F37" s="23">
        <v>70.0</v>
      </c>
      <c r="G37" s="23">
        <v>89.0</v>
      </c>
      <c r="H37" s="23">
        <v>70.0</v>
      </c>
      <c r="I37" s="23">
        <v>47.5</v>
      </c>
      <c r="J37" s="33">
        <f t="shared" si="1"/>
        <v>76</v>
      </c>
      <c r="K37" s="24">
        <f>'LAPORAN RESMI'!J37</f>
        <v>92.41666667</v>
      </c>
      <c r="L37" s="33">
        <f t="shared" si="2"/>
        <v>84.20833333</v>
      </c>
    </row>
    <row r="38" ht="15.75" customHeight="1">
      <c r="A38" s="22">
        <f>'INPUT DAFTAR PESERTA'!A36</f>
        <v>34</v>
      </c>
      <c r="B38" s="22">
        <f>'INPUT DAFTAR PESERTA'!B36</f>
        <v>2409076035</v>
      </c>
      <c r="C38" s="6" t="str">
        <f>'INPUT DAFTAR PESERTA'!C36</f>
        <v>Muhammad Rizki Nauval Alim</v>
      </c>
      <c r="D38" s="23">
        <v>90.0</v>
      </c>
      <c r="E38" s="23">
        <v>74.0</v>
      </c>
      <c r="F38" s="23">
        <v>84.0</v>
      </c>
      <c r="G38" s="23">
        <v>82.0</v>
      </c>
      <c r="H38" s="23">
        <v>77.0</v>
      </c>
      <c r="I38" s="23">
        <v>80.0</v>
      </c>
      <c r="J38" s="33">
        <f t="shared" si="1"/>
        <v>81.16666667</v>
      </c>
      <c r="K38" s="24">
        <f>'LAPORAN RESMI'!J38</f>
        <v>91.16666667</v>
      </c>
      <c r="L38" s="33">
        <f t="shared" si="2"/>
        <v>86.16666667</v>
      </c>
    </row>
    <row r="39" ht="15.75" customHeight="1">
      <c r="A39" s="34">
        <f>'INPUT DAFTAR PESERTA'!A37</f>
        <v>35</v>
      </c>
      <c r="B39" s="34">
        <f>'INPUT DAFTAR PESERTA'!B37</f>
        <v>2409076036</v>
      </c>
      <c r="C39" s="35" t="str">
        <f>'INPUT DAFTAR PESERTA'!C37</f>
        <v>Muhammad Rico Setiawan</v>
      </c>
      <c r="D39" s="34"/>
      <c r="E39" s="36">
        <v>0.0</v>
      </c>
      <c r="F39" s="34"/>
      <c r="G39" s="34"/>
      <c r="H39" s="34"/>
      <c r="I39" s="34"/>
      <c r="J39" s="37">
        <f t="shared" si="1"/>
        <v>0</v>
      </c>
      <c r="K39" s="38">
        <f>'LAPORAN RESMI'!J39</f>
        <v>0</v>
      </c>
      <c r="L39" s="37">
        <f t="shared" si="2"/>
        <v>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2">
        <f>'INPUT DAFTAR PESERTA'!A38</f>
        <v>36</v>
      </c>
      <c r="B40" s="22">
        <f>'INPUT DAFTAR PESERTA'!B38</f>
        <v>2409076037</v>
      </c>
      <c r="C40" s="6" t="str">
        <f>'INPUT DAFTAR PESERTA'!C38</f>
        <v>Muhammad Ananda Ryan Nur Rahman</v>
      </c>
      <c r="D40" s="23">
        <v>92.5</v>
      </c>
      <c r="E40" s="23">
        <v>85.0</v>
      </c>
      <c r="F40" s="23">
        <v>70.0</v>
      </c>
      <c r="G40" s="23">
        <v>73.0</v>
      </c>
      <c r="H40" s="23">
        <v>48.0</v>
      </c>
      <c r="I40" s="23">
        <v>0.0</v>
      </c>
      <c r="J40" s="33">
        <f t="shared" si="1"/>
        <v>61.41666667</v>
      </c>
      <c r="K40" s="24">
        <f>'LAPORAN RESMI'!J40</f>
        <v>62.58333333</v>
      </c>
      <c r="L40" s="33">
        <f t="shared" si="2"/>
        <v>62</v>
      </c>
    </row>
    <row r="41" ht="15.75" customHeight="1">
      <c r="A41" s="34">
        <f>'INPUT DAFTAR PESERTA'!A39</f>
        <v>37</v>
      </c>
      <c r="B41" s="34">
        <f>'INPUT DAFTAR PESERTA'!B39</f>
        <v>2409076038</v>
      </c>
      <c r="C41" s="35" t="str">
        <f>'INPUT DAFTAR PESERTA'!C39</f>
        <v>Muhammad Alif Rahmat Syakir</v>
      </c>
      <c r="D41" s="34"/>
      <c r="E41" s="36">
        <v>59.0</v>
      </c>
      <c r="F41" s="34"/>
      <c r="G41" s="34"/>
      <c r="H41" s="34"/>
      <c r="I41" s="34"/>
      <c r="J41" s="37">
        <f t="shared" si="1"/>
        <v>9.833333333</v>
      </c>
      <c r="K41" s="38">
        <f>'LAPORAN RESMI'!J41</f>
        <v>0</v>
      </c>
      <c r="L41" s="37">
        <f t="shared" si="2"/>
        <v>4.916666667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2">
        <f>'INPUT DAFTAR PESERTA'!A40</f>
        <v>38</v>
      </c>
      <c r="B42" s="22">
        <f>'INPUT DAFTAR PESERTA'!B40</f>
        <v>2409076039</v>
      </c>
      <c r="C42" s="6" t="str">
        <f>'INPUT DAFTAR PESERTA'!C40</f>
        <v>Christopher Mahesa Aditama</v>
      </c>
      <c r="D42" s="23">
        <v>86.5</v>
      </c>
      <c r="E42" s="23">
        <v>85.0</v>
      </c>
      <c r="F42" s="23">
        <v>81.0</v>
      </c>
      <c r="G42" s="23">
        <v>83.0</v>
      </c>
      <c r="H42" s="23">
        <v>61.0</v>
      </c>
      <c r="I42" s="23">
        <v>62.0</v>
      </c>
      <c r="J42" s="33">
        <f t="shared" si="1"/>
        <v>76.41666667</v>
      </c>
      <c r="K42" s="24">
        <f>'LAPORAN RESMI'!J42</f>
        <v>91.75</v>
      </c>
      <c r="L42" s="33">
        <f t="shared" si="2"/>
        <v>84.08333333</v>
      </c>
    </row>
    <row r="43" ht="15.75" customHeight="1">
      <c r="A43" s="22">
        <f>'INPUT DAFTAR PESERTA'!A41</f>
        <v>39</v>
      </c>
      <c r="B43" s="22">
        <f>'INPUT DAFTAR PESERTA'!B41</f>
        <v>2409076040</v>
      </c>
      <c r="C43" s="6" t="str">
        <f>'INPUT DAFTAR PESERTA'!C41</f>
        <v>Muhammad Rafli Ramadhani</v>
      </c>
      <c r="D43" s="23">
        <v>91.5</v>
      </c>
      <c r="E43" s="23">
        <v>89.0</v>
      </c>
      <c r="F43" s="23">
        <v>81.0</v>
      </c>
      <c r="G43" s="23">
        <v>86.0</v>
      </c>
      <c r="H43" s="23">
        <v>95.0</v>
      </c>
      <c r="I43" s="23">
        <v>65.0</v>
      </c>
      <c r="J43" s="33">
        <f t="shared" si="1"/>
        <v>84.58333333</v>
      </c>
      <c r="K43" s="24">
        <f>'LAPORAN RESMI'!J43</f>
        <v>92.91666667</v>
      </c>
      <c r="L43" s="33">
        <f t="shared" si="2"/>
        <v>88.75</v>
      </c>
    </row>
    <row r="44" ht="15.75" customHeight="1">
      <c r="A44" s="22">
        <f>'INPUT DAFTAR PESERTA'!A42</f>
        <v>40</v>
      </c>
      <c r="B44" s="22">
        <f>'INPUT DAFTAR PESERTA'!B42</f>
        <v>2409076041</v>
      </c>
      <c r="C44" s="6" t="str">
        <f>'INPUT DAFTAR PESERTA'!C42</f>
        <v>Muhammad Rindhan Amarna</v>
      </c>
      <c r="D44" s="23">
        <v>81.5</v>
      </c>
      <c r="E44" s="23">
        <v>74.0</v>
      </c>
      <c r="F44" s="23">
        <v>58.0</v>
      </c>
      <c r="G44" s="23">
        <v>83.0</v>
      </c>
      <c r="H44" s="23">
        <v>65.0</v>
      </c>
      <c r="I44" s="23">
        <v>36.5</v>
      </c>
      <c r="J44" s="33">
        <f t="shared" si="1"/>
        <v>66.33333333</v>
      </c>
      <c r="K44" s="24">
        <f>'LAPORAN RESMI'!J44</f>
        <v>88.75</v>
      </c>
      <c r="L44" s="33">
        <f t="shared" si="2"/>
        <v>77.54166667</v>
      </c>
    </row>
    <row r="45" ht="15.75" customHeight="1">
      <c r="A45" s="22">
        <f>'INPUT DAFTAR PESERTA'!A43</f>
        <v>41</v>
      </c>
      <c r="B45" s="22">
        <f>'INPUT DAFTAR PESERTA'!B43</f>
        <v>2409076043</v>
      </c>
      <c r="C45" s="6" t="str">
        <f>'INPUT DAFTAR PESERTA'!C43</f>
        <v>Bima Angga Pratama</v>
      </c>
      <c r="D45" s="23">
        <v>41.5</v>
      </c>
      <c r="E45" s="23">
        <v>47.0</v>
      </c>
      <c r="F45" s="22"/>
      <c r="G45" s="22"/>
      <c r="H45" s="23">
        <v>39.0</v>
      </c>
      <c r="I45" s="22"/>
      <c r="J45" s="33">
        <f t="shared" si="1"/>
        <v>21.25</v>
      </c>
      <c r="K45" s="24">
        <f>'LAPORAN RESMI'!J45</f>
        <v>0</v>
      </c>
      <c r="L45" s="33">
        <f t="shared" si="2"/>
        <v>10.625</v>
      </c>
    </row>
    <row r="46" ht="15.75" customHeight="1">
      <c r="A46" s="22">
        <f>'INPUT DAFTAR PESERTA'!A44</f>
        <v>42</v>
      </c>
      <c r="B46" s="22">
        <f>'INPUT DAFTAR PESERTA'!B44</f>
        <v>2409076044</v>
      </c>
      <c r="C46" s="6" t="str">
        <f>'INPUT DAFTAR PESERTA'!C44</f>
        <v>Muhammad Daffa Dzakwan</v>
      </c>
      <c r="D46" s="23">
        <v>78.0</v>
      </c>
      <c r="E46" s="23">
        <v>82.0</v>
      </c>
      <c r="F46" s="23">
        <v>88.0</v>
      </c>
      <c r="G46" s="23">
        <v>80.0</v>
      </c>
      <c r="H46" s="23">
        <v>81.0</v>
      </c>
      <c r="I46" s="23">
        <v>0.0</v>
      </c>
      <c r="J46" s="33">
        <f t="shared" si="1"/>
        <v>68.16666667</v>
      </c>
      <c r="K46" s="24">
        <f>'LAPORAN RESMI'!J46</f>
        <v>74.58333333</v>
      </c>
      <c r="L46" s="33">
        <f t="shared" si="2"/>
        <v>71.375</v>
      </c>
    </row>
    <row r="47" ht="15.75" customHeight="1">
      <c r="A47" s="22">
        <f>'INPUT DAFTAR PESERTA'!A45</f>
        <v>43</v>
      </c>
      <c r="B47" s="22">
        <f>'INPUT DAFTAR PESERTA'!B45</f>
        <v>2409076045</v>
      </c>
      <c r="C47" s="6" t="str">
        <f>'INPUT DAFTAR PESERTA'!C45</f>
        <v>Ahmad Purwono Aji</v>
      </c>
      <c r="D47" s="23">
        <v>79.0</v>
      </c>
      <c r="E47" s="23">
        <v>59.0</v>
      </c>
      <c r="F47" s="23">
        <v>63.0</v>
      </c>
      <c r="G47" s="23">
        <v>60.0</v>
      </c>
      <c r="H47" s="23">
        <v>69.0</v>
      </c>
      <c r="I47" s="23">
        <v>0.0</v>
      </c>
      <c r="J47" s="33">
        <f t="shared" si="1"/>
        <v>55</v>
      </c>
      <c r="K47" s="24">
        <f>'LAPORAN RESMI'!J47</f>
        <v>50.58333333</v>
      </c>
      <c r="L47" s="33">
        <f t="shared" si="2"/>
        <v>52.79166667</v>
      </c>
    </row>
    <row r="48" ht="15.75" customHeight="1">
      <c r="A48" s="22">
        <f>'INPUT DAFTAR PESERTA'!A46</f>
        <v>44</v>
      </c>
      <c r="B48" s="22">
        <f>'INPUT DAFTAR PESERTA'!B46</f>
        <v>2409076046</v>
      </c>
      <c r="C48" s="6" t="str">
        <f>'INPUT DAFTAR PESERTA'!C46</f>
        <v>Muhammad Hasan Hanif</v>
      </c>
      <c r="D48" s="23">
        <v>0.0</v>
      </c>
      <c r="E48" s="23">
        <v>0.0</v>
      </c>
      <c r="F48" s="23">
        <v>65.0</v>
      </c>
      <c r="G48" s="23">
        <v>60.0</v>
      </c>
      <c r="H48" s="23">
        <v>70.0</v>
      </c>
      <c r="I48" s="23">
        <v>0.0</v>
      </c>
      <c r="J48" s="33">
        <f t="shared" si="1"/>
        <v>32.5</v>
      </c>
      <c r="K48" s="24">
        <f>'LAPORAN RESMI'!J48</f>
        <v>35</v>
      </c>
      <c r="L48" s="33">
        <f t="shared" si="2"/>
        <v>33.75</v>
      </c>
    </row>
    <row r="49" ht="15.75" customHeight="1">
      <c r="A49" s="22">
        <f>'INPUT DAFTAR PESERTA'!A47</f>
        <v>45</v>
      </c>
      <c r="B49" s="22">
        <f>'INPUT DAFTAR PESERTA'!B47</f>
        <v>2409076047</v>
      </c>
      <c r="C49" s="6" t="str">
        <f>'INPUT DAFTAR PESERTA'!C47</f>
        <v>Gilbert Pasolon</v>
      </c>
      <c r="D49" s="23">
        <v>76.0</v>
      </c>
      <c r="E49" s="23">
        <v>85.0</v>
      </c>
      <c r="F49" s="23">
        <v>73.0</v>
      </c>
      <c r="G49" s="23">
        <v>75.0</v>
      </c>
      <c r="H49" s="23">
        <v>77.0</v>
      </c>
      <c r="I49" s="23">
        <v>0.0</v>
      </c>
      <c r="J49" s="33">
        <f t="shared" si="1"/>
        <v>64.33333333</v>
      </c>
      <c r="K49" s="24">
        <f>'LAPORAN RESMI'!J49</f>
        <v>74.5</v>
      </c>
      <c r="L49" s="33">
        <f t="shared" si="2"/>
        <v>69.41666667</v>
      </c>
    </row>
    <row r="50" ht="15.75" customHeight="1">
      <c r="A50" s="22">
        <f>'INPUT DAFTAR PESERTA'!A48</f>
        <v>46</v>
      </c>
      <c r="B50" s="22">
        <f>'INPUT DAFTAR PESERTA'!B48</f>
        <v>2409076048</v>
      </c>
      <c r="C50" s="6" t="str">
        <f>'INPUT DAFTAR PESERTA'!C48</f>
        <v>Achmad Fauzan At-Tamimi</v>
      </c>
      <c r="D50" s="23">
        <v>85.5</v>
      </c>
      <c r="E50" s="23">
        <v>85.0</v>
      </c>
      <c r="F50" s="23">
        <v>89.0</v>
      </c>
      <c r="G50" s="23">
        <v>86.0</v>
      </c>
      <c r="H50" s="23">
        <v>72.0</v>
      </c>
      <c r="I50" s="23">
        <v>51.0</v>
      </c>
      <c r="J50" s="33">
        <f t="shared" si="1"/>
        <v>78.08333333</v>
      </c>
      <c r="K50" s="24">
        <f>'LAPORAN RESMI'!J50</f>
        <v>92.16666667</v>
      </c>
      <c r="L50" s="33">
        <f t="shared" si="2"/>
        <v>85.125</v>
      </c>
    </row>
    <row r="51" ht="15.75" customHeight="1">
      <c r="A51" s="22">
        <f>'INPUT DAFTAR PESERTA'!A49</f>
        <v>47</v>
      </c>
      <c r="B51" s="22">
        <f>'INPUT DAFTAR PESERTA'!B49</f>
        <v>2409076049</v>
      </c>
      <c r="C51" s="6" t="str">
        <f>'INPUT DAFTAR PESERTA'!C49</f>
        <v>Mahmud Abdul Aziz Qoby</v>
      </c>
      <c r="D51" s="23">
        <v>38.5</v>
      </c>
      <c r="E51" s="23">
        <v>38.0</v>
      </c>
      <c r="F51" s="23">
        <v>74.0</v>
      </c>
      <c r="G51" s="23">
        <v>74.0</v>
      </c>
      <c r="H51" s="23">
        <v>45.0</v>
      </c>
      <c r="I51" s="23">
        <v>51.5</v>
      </c>
      <c r="J51" s="33">
        <f t="shared" si="1"/>
        <v>53.5</v>
      </c>
      <c r="K51" s="24">
        <f>'LAPORAN RESMI'!J51</f>
        <v>75</v>
      </c>
      <c r="L51" s="33">
        <f t="shared" si="2"/>
        <v>64.25</v>
      </c>
    </row>
    <row r="52" ht="15.75" customHeight="1">
      <c r="A52" s="22">
        <f>'INPUT DAFTAR PESERTA'!A50</f>
        <v>48</v>
      </c>
      <c r="B52" s="22">
        <f>'INPUT DAFTAR PESERTA'!B50</f>
        <v>2409076050</v>
      </c>
      <c r="C52" s="6" t="str">
        <f>'INPUT DAFTAR PESERTA'!C50</f>
        <v>Gde Nookie Carl Arya Susila</v>
      </c>
      <c r="D52" s="23">
        <v>80.5</v>
      </c>
      <c r="E52" s="23">
        <v>87.0</v>
      </c>
      <c r="F52" s="23">
        <v>94.0</v>
      </c>
      <c r="G52" s="23">
        <v>85.0</v>
      </c>
      <c r="H52" s="23">
        <v>77.0</v>
      </c>
      <c r="I52" s="23">
        <v>49.0</v>
      </c>
      <c r="J52" s="33">
        <f t="shared" si="1"/>
        <v>78.75</v>
      </c>
      <c r="K52" s="24">
        <f>'LAPORAN RESMI'!J52</f>
        <v>91.5</v>
      </c>
      <c r="L52" s="33">
        <f t="shared" si="2"/>
        <v>85.125</v>
      </c>
    </row>
    <row r="53" ht="15.75" customHeight="1">
      <c r="A53" s="22">
        <f>'INPUT DAFTAR PESERTA'!A51</f>
        <v>49</v>
      </c>
      <c r="B53" s="22">
        <f>'INPUT DAFTAR PESERTA'!B51</f>
        <v>2409076051</v>
      </c>
      <c r="C53" s="6" t="str">
        <f>'INPUT DAFTAR PESERTA'!C51</f>
        <v>Muhammad Afrizal</v>
      </c>
      <c r="D53" s="22"/>
      <c r="E53" s="23">
        <v>0.0</v>
      </c>
      <c r="F53" s="22"/>
      <c r="G53" s="22"/>
      <c r="H53" s="22"/>
      <c r="I53" s="22"/>
      <c r="J53" s="33">
        <f t="shared" si="1"/>
        <v>0</v>
      </c>
      <c r="K53" s="24">
        <f>'LAPORAN RESMI'!J53</f>
        <v>0</v>
      </c>
      <c r="L53" s="33">
        <f t="shared" si="2"/>
        <v>0</v>
      </c>
    </row>
    <row r="54" ht="15.75" customHeight="1">
      <c r="A54" s="22">
        <f>'INPUT DAFTAR PESERTA'!A52</f>
        <v>50</v>
      </c>
      <c r="B54" s="22">
        <f>'INPUT DAFTAR PESERTA'!B52</f>
        <v>2409076052</v>
      </c>
      <c r="C54" s="6" t="str">
        <f>'INPUT DAFTAR PESERTA'!C52</f>
        <v>Rezky Yutabse</v>
      </c>
      <c r="D54" s="23">
        <v>65.0</v>
      </c>
      <c r="E54" s="23">
        <v>84.0</v>
      </c>
      <c r="F54" s="23">
        <v>70.0</v>
      </c>
      <c r="G54" s="23">
        <v>79.0</v>
      </c>
      <c r="H54" s="23">
        <v>67.0</v>
      </c>
      <c r="I54" s="23">
        <v>0.0</v>
      </c>
      <c r="J54" s="33">
        <f t="shared" si="1"/>
        <v>60.83333333</v>
      </c>
      <c r="K54" s="24">
        <f>'LAPORAN RESMI'!J54</f>
        <v>87.91666667</v>
      </c>
      <c r="L54" s="33">
        <f t="shared" si="2"/>
        <v>74.375</v>
      </c>
    </row>
    <row r="55" ht="15.75" customHeight="1">
      <c r="A55" s="22">
        <f>'INPUT DAFTAR PESERTA'!A53</f>
        <v>51</v>
      </c>
      <c r="B55" s="22">
        <f>'INPUT DAFTAR PESERTA'!B53</f>
        <v>2409076053</v>
      </c>
      <c r="C55" s="6" t="str">
        <f>'INPUT DAFTAR PESERTA'!C53</f>
        <v>Dimas Wijaya Muliangto</v>
      </c>
      <c r="D55" s="23">
        <v>83.0</v>
      </c>
      <c r="E55" s="23">
        <v>78.0</v>
      </c>
      <c r="F55" s="23">
        <v>89.0</v>
      </c>
      <c r="G55" s="23">
        <v>76.0</v>
      </c>
      <c r="H55" s="23">
        <v>75.0</v>
      </c>
      <c r="I55" s="23">
        <v>26.0</v>
      </c>
      <c r="J55" s="33">
        <f t="shared" si="1"/>
        <v>71.16666667</v>
      </c>
      <c r="K55" s="24">
        <f>'LAPORAN RESMI'!J55</f>
        <v>83.41666667</v>
      </c>
      <c r="L55" s="33">
        <f t="shared" si="2"/>
        <v>77.29166667</v>
      </c>
    </row>
    <row r="56" ht="15.75" customHeight="1">
      <c r="A56" s="22">
        <f>'INPUT DAFTAR PESERTA'!A54</f>
        <v>52</v>
      </c>
      <c r="B56" s="22">
        <f>'INPUT DAFTAR PESERTA'!B54</f>
        <v>2409076054</v>
      </c>
      <c r="C56" s="6" t="str">
        <f>'INPUT DAFTAR PESERTA'!C54</f>
        <v>Muhammad Aldi</v>
      </c>
      <c r="D56" s="23">
        <v>75.0</v>
      </c>
      <c r="E56" s="23">
        <v>81.0</v>
      </c>
      <c r="F56" s="23">
        <v>92.0</v>
      </c>
      <c r="G56" s="23">
        <v>69.0</v>
      </c>
      <c r="H56" s="23">
        <v>71.0</v>
      </c>
      <c r="I56" s="23">
        <v>59.0</v>
      </c>
      <c r="J56" s="33">
        <f t="shared" si="1"/>
        <v>74.5</v>
      </c>
      <c r="K56" s="24">
        <f>'LAPORAN RESMI'!J56</f>
        <v>89</v>
      </c>
      <c r="L56" s="33">
        <f t="shared" si="2"/>
        <v>81.75</v>
      </c>
    </row>
    <row r="57" ht="15.75" customHeight="1">
      <c r="A57" s="22">
        <f>'INPUT DAFTAR PESERTA'!A55</f>
        <v>53</v>
      </c>
      <c r="B57" s="22">
        <f>'INPUT DAFTAR PESERTA'!B55</f>
        <v>2409076056</v>
      </c>
      <c r="C57" s="6" t="str">
        <f>'INPUT DAFTAR PESERTA'!C55</f>
        <v>Rivaldy Paredanun</v>
      </c>
      <c r="D57" s="23">
        <v>72.0</v>
      </c>
      <c r="E57" s="23">
        <v>69.0</v>
      </c>
      <c r="F57" s="23">
        <v>44.0</v>
      </c>
      <c r="G57" s="23">
        <v>71.0</v>
      </c>
      <c r="H57" s="23">
        <v>70.0</v>
      </c>
      <c r="I57" s="23">
        <v>22.0</v>
      </c>
      <c r="J57" s="33">
        <f t="shared" si="1"/>
        <v>58</v>
      </c>
      <c r="K57" s="24">
        <f>'LAPORAN RESMI'!J57</f>
        <v>53.33333333</v>
      </c>
      <c r="L57" s="33">
        <f t="shared" si="2"/>
        <v>55.66666667</v>
      </c>
    </row>
    <row r="58" ht="15.75" customHeight="1">
      <c r="A58" s="22">
        <f>'INPUT DAFTAR PESERTA'!A56</f>
        <v>54</v>
      </c>
      <c r="B58" s="22">
        <f>'INPUT DAFTAR PESERTA'!B56</f>
        <v>2409076024</v>
      </c>
      <c r="C58" s="6" t="str">
        <f>'INPUT DAFTAR PESERTA'!C56</f>
        <v>Muhammad Zacky</v>
      </c>
      <c r="D58" s="23">
        <v>90.0</v>
      </c>
      <c r="E58" s="23">
        <v>82.0</v>
      </c>
      <c r="F58" s="23">
        <v>93.0</v>
      </c>
      <c r="G58" s="23">
        <v>74.0</v>
      </c>
      <c r="H58" s="23">
        <v>90.0</v>
      </c>
      <c r="I58" s="23">
        <v>71.0</v>
      </c>
      <c r="J58" s="33">
        <f t="shared" si="1"/>
        <v>83.33333333</v>
      </c>
      <c r="K58" s="24">
        <f>'LAPORAN RESMI'!J58</f>
        <v>92.08333333</v>
      </c>
      <c r="L58" s="33">
        <f t="shared" si="2"/>
        <v>87.70833333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L3:L4"/>
  </mergeCells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7" width="5.43"/>
    <col customWidth="1" min="8" max="8" width="7.29"/>
    <col customWidth="1" min="9" max="12" width="5.43"/>
    <col customWidth="1" min="13" max="13" width="7.29"/>
    <col customWidth="1" min="14" max="17" width="5.43"/>
    <col customWidth="1" min="18" max="18" width="7.29"/>
    <col customWidth="1" min="19" max="22" width="5.43"/>
    <col customWidth="1" min="23" max="23" width="7.29"/>
    <col customWidth="1" min="24" max="27" width="5.43"/>
    <col customWidth="1" min="28" max="28" width="7.29"/>
    <col customWidth="1" min="29" max="32" width="5.43"/>
    <col customWidth="1" min="33" max="33" width="7.29"/>
  </cols>
  <sheetData>
    <row r="1">
      <c r="A1" s="30" t="s">
        <v>85</v>
      </c>
      <c r="B1" s="15"/>
      <c r="C1" s="15"/>
      <c r="D1" s="15"/>
      <c r="E1" s="15"/>
      <c r="F1" s="15"/>
      <c r="G1" s="15"/>
      <c r="H1" s="15"/>
      <c r="I1" s="15"/>
      <c r="J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</row>
    <row r="3">
      <c r="A3" s="16" t="s">
        <v>1</v>
      </c>
      <c r="B3" s="16" t="s">
        <v>2</v>
      </c>
      <c r="C3" s="16" t="s">
        <v>77</v>
      </c>
      <c r="D3" s="31" t="s">
        <v>79</v>
      </c>
      <c r="E3" s="18"/>
      <c r="F3" s="18"/>
      <c r="G3" s="18"/>
      <c r="H3" s="19"/>
      <c r="I3" s="31" t="s">
        <v>80</v>
      </c>
      <c r="J3" s="18"/>
      <c r="K3" s="18"/>
      <c r="L3" s="18"/>
      <c r="M3" s="19"/>
      <c r="N3" s="31" t="s">
        <v>81</v>
      </c>
      <c r="O3" s="18"/>
      <c r="P3" s="18"/>
      <c r="Q3" s="18"/>
      <c r="R3" s="19"/>
      <c r="S3" s="31" t="s">
        <v>82</v>
      </c>
      <c r="T3" s="18"/>
      <c r="U3" s="18"/>
      <c r="V3" s="18"/>
      <c r="W3" s="19"/>
      <c r="X3" s="31" t="s">
        <v>83</v>
      </c>
      <c r="Y3" s="18"/>
      <c r="Z3" s="18"/>
      <c r="AA3" s="18"/>
      <c r="AB3" s="19"/>
      <c r="AC3" s="31" t="s">
        <v>84</v>
      </c>
      <c r="AD3" s="18"/>
      <c r="AE3" s="18"/>
      <c r="AF3" s="18"/>
      <c r="AG3" s="19"/>
    </row>
    <row r="4">
      <c r="A4" s="39"/>
      <c r="B4" s="39"/>
      <c r="C4" s="39"/>
      <c r="D4" s="21" t="s">
        <v>88</v>
      </c>
      <c r="E4" s="21" t="s">
        <v>89</v>
      </c>
      <c r="F4" s="21" t="s">
        <v>90</v>
      </c>
      <c r="G4" s="21" t="s">
        <v>91</v>
      </c>
      <c r="H4" s="21" t="s">
        <v>92</v>
      </c>
      <c r="I4" s="21" t="s">
        <v>88</v>
      </c>
      <c r="J4" s="21" t="s">
        <v>89</v>
      </c>
      <c r="K4" s="21" t="s">
        <v>90</v>
      </c>
      <c r="L4" s="21" t="s">
        <v>91</v>
      </c>
      <c r="M4" s="21" t="s">
        <v>92</v>
      </c>
      <c r="N4" s="21" t="s">
        <v>88</v>
      </c>
      <c r="O4" s="21" t="s">
        <v>89</v>
      </c>
      <c r="P4" s="21" t="s">
        <v>90</v>
      </c>
      <c r="Q4" s="21" t="s">
        <v>91</v>
      </c>
      <c r="R4" s="21" t="s">
        <v>92</v>
      </c>
      <c r="S4" s="21" t="s">
        <v>88</v>
      </c>
      <c r="T4" s="21" t="s">
        <v>89</v>
      </c>
      <c r="U4" s="21" t="s">
        <v>90</v>
      </c>
      <c r="V4" s="21" t="s">
        <v>91</v>
      </c>
      <c r="W4" s="21" t="s">
        <v>92</v>
      </c>
      <c r="X4" s="21" t="s">
        <v>88</v>
      </c>
      <c r="Y4" s="21" t="s">
        <v>89</v>
      </c>
      <c r="Z4" s="21" t="s">
        <v>90</v>
      </c>
      <c r="AA4" s="21" t="s">
        <v>91</v>
      </c>
      <c r="AB4" s="21" t="s">
        <v>92</v>
      </c>
      <c r="AC4" s="21" t="s">
        <v>88</v>
      </c>
      <c r="AD4" s="21" t="s">
        <v>89</v>
      </c>
      <c r="AE4" s="21" t="s">
        <v>90</v>
      </c>
      <c r="AF4" s="21" t="s">
        <v>91</v>
      </c>
      <c r="AG4" s="21" t="s">
        <v>92</v>
      </c>
    </row>
    <row r="5">
      <c r="A5" s="20"/>
      <c r="B5" s="20"/>
      <c r="C5" s="20"/>
      <c r="D5" s="40">
        <v>0.1</v>
      </c>
      <c r="E5" s="40">
        <v>0.2</v>
      </c>
      <c r="F5" s="40">
        <v>0.2</v>
      </c>
      <c r="G5" s="40">
        <v>0.5</v>
      </c>
      <c r="H5" s="40">
        <v>1.0</v>
      </c>
      <c r="I5" s="41">
        <v>0.1</v>
      </c>
      <c r="J5" s="41">
        <v>0.2</v>
      </c>
      <c r="K5" s="40">
        <v>0.2</v>
      </c>
      <c r="L5" s="40">
        <v>0.5</v>
      </c>
      <c r="M5" s="40">
        <v>1.0</v>
      </c>
      <c r="N5" s="40">
        <v>0.1</v>
      </c>
      <c r="O5" s="40">
        <v>0.2</v>
      </c>
      <c r="P5" s="40">
        <v>0.2</v>
      </c>
      <c r="Q5" s="40">
        <v>0.5</v>
      </c>
      <c r="R5" s="40">
        <v>1.0</v>
      </c>
      <c r="S5" s="40">
        <v>0.1</v>
      </c>
      <c r="T5" s="40">
        <v>0.2</v>
      </c>
      <c r="U5" s="40">
        <v>0.2</v>
      </c>
      <c r="V5" s="40">
        <v>0.5</v>
      </c>
      <c r="W5" s="40">
        <v>1.0</v>
      </c>
      <c r="X5" s="40">
        <v>0.1</v>
      </c>
      <c r="Y5" s="40">
        <v>0.2</v>
      </c>
      <c r="Z5" s="40">
        <v>0.2</v>
      </c>
      <c r="AA5" s="40">
        <v>0.5</v>
      </c>
      <c r="AB5" s="40">
        <v>1.0</v>
      </c>
      <c r="AC5" s="40">
        <v>0.1</v>
      </c>
      <c r="AD5" s="40">
        <v>0.2</v>
      </c>
      <c r="AE5" s="40">
        <v>0.2</v>
      </c>
      <c r="AF5" s="40">
        <v>0.5</v>
      </c>
      <c r="AG5" s="40">
        <v>1.0</v>
      </c>
    </row>
    <row r="6">
      <c r="A6" s="22">
        <f>'INPUT DAFTAR PESERTA'!A3</f>
        <v>1</v>
      </c>
      <c r="B6" s="22">
        <f>'INPUT DAFTAR PESERTA'!B3</f>
        <v>2409076001</v>
      </c>
      <c r="C6" s="6" t="str">
        <f>'INPUT DAFTAR PESERTA'!C3</f>
        <v>Muhammad Jodika</v>
      </c>
      <c r="D6" s="23">
        <v>3.0</v>
      </c>
      <c r="E6" s="23">
        <v>2.0</v>
      </c>
      <c r="F6" s="23">
        <v>2.0</v>
      </c>
      <c r="G6" s="23">
        <v>3.0</v>
      </c>
      <c r="H6" s="22">
        <f t="shared" ref="H6:H59" si="1">((D6*$D$5/3)+(E6*$E$5/3)+(F6*$F$5/3)+(G6*$G$5/3))*90</f>
        <v>78</v>
      </c>
      <c r="I6" s="23">
        <v>3.0</v>
      </c>
      <c r="J6" s="23">
        <v>2.0</v>
      </c>
      <c r="K6" s="23">
        <v>3.0</v>
      </c>
      <c r="L6" s="23">
        <v>3.0</v>
      </c>
      <c r="M6" s="22">
        <f t="shared" ref="M6:M59" si="2">((I6*$D$5/3)+(J6*$E$5/3)+(K6*$F$5/3)+(L6*$G$5/3))*90</f>
        <v>84</v>
      </c>
      <c r="N6" s="23">
        <v>3.0</v>
      </c>
      <c r="O6" s="23">
        <v>3.0</v>
      </c>
      <c r="P6" s="23">
        <v>3.0</v>
      </c>
      <c r="Q6" s="23">
        <v>3.0</v>
      </c>
      <c r="R6" s="22">
        <f t="shared" ref="R6:R59" si="3">((N6*$D$5/3)+(O6*$E$5/3)+(P6*$F$5/3)+(Q6*$G$5/3))*90</f>
        <v>90</v>
      </c>
      <c r="S6" s="23">
        <v>2.0</v>
      </c>
      <c r="T6" s="23">
        <v>3.0</v>
      </c>
      <c r="U6" s="23">
        <v>2.0</v>
      </c>
      <c r="V6" s="23">
        <v>3.0</v>
      </c>
      <c r="W6" s="22">
        <f t="shared" ref="W6:W59" si="4">((S6*$D$5/3)+(T6*$E$5/3)+(U6*$F$5/3)+(V6*$G$5/3))*90</f>
        <v>81</v>
      </c>
      <c r="X6" s="23">
        <v>3.0</v>
      </c>
      <c r="Y6" s="23">
        <v>3.0</v>
      </c>
      <c r="Z6" s="23">
        <v>3.0</v>
      </c>
      <c r="AA6" s="23">
        <v>3.0</v>
      </c>
      <c r="AB6" s="22">
        <f t="shared" ref="AB6:AB59" si="5">((X6*$D$5/3)+(Y6*$E$5/3)+(Z6*$F$5/3)+(AA6*$G$5/3))*90</f>
        <v>90</v>
      </c>
      <c r="AC6" s="23">
        <v>3.0</v>
      </c>
      <c r="AD6" s="23">
        <v>3.0</v>
      </c>
      <c r="AE6" s="23">
        <v>3.0</v>
      </c>
      <c r="AF6" s="23">
        <v>3.0</v>
      </c>
      <c r="AG6" s="22">
        <f t="shared" ref="AG6:AG59" si="6">((AC6*$D$5/3)+(AD6*$E$5/3)+(AE6*$F$5/3)+(AF6*$G$5/3))*90</f>
        <v>90</v>
      </c>
    </row>
    <row r="7">
      <c r="A7" s="22">
        <f>'INPUT DAFTAR PESERTA'!A4</f>
        <v>2</v>
      </c>
      <c r="B7" s="22">
        <f>'INPUT DAFTAR PESERTA'!B4</f>
        <v>2409076002</v>
      </c>
      <c r="C7" s="6" t="str">
        <f>'INPUT DAFTAR PESERTA'!C4</f>
        <v>Muhammad Rifqi Maulana</v>
      </c>
      <c r="D7" s="23">
        <v>3.0</v>
      </c>
      <c r="E7" s="23">
        <v>3.0</v>
      </c>
      <c r="F7" s="23">
        <v>2.0</v>
      </c>
      <c r="G7" s="23">
        <v>3.0</v>
      </c>
      <c r="H7" s="22">
        <f t="shared" si="1"/>
        <v>84</v>
      </c>
      <c r="I7" s="23">
        <v>3.0</v>
      </c>
      <c r="J7" s="23">
        <v>2.0</v>
      </c>
      <c r="K7" s="23">
        <v>3.0</v>
      </c>
      <c r="L7" s="23">
        <v>2.0</v>
      </c>
      <c r="M7" s="22">
        <f t="shared" si="2"/>
        <v>69</v>
      </c>
      <c r="N7" s="23">
        <v>3.0</v>
      </c>
      <c r="O7" s="23">
        <v>3.0</v>
      </c>
      <c r="P7" s="23">
        <v>3.0</v>
      </c>
      <c r="Q7" s="23">
        <v>3.0</v>
      </c>
      <c r="R7" s="22">
        <f t="shared" si="3"/>
        <v>90</v>
      </c>
      <c r="S7" s="23">
        <v>2.0</v>
      </c>
      <c r="T7" s="23">
        <v>3.0</v>
      </c>
      <c r="U7" s="23">
        <v>2.0</v>
      </c>
      <c r="V7" s="23">
        <v>3.0</v>
      </c>
      <c r="W7" s="22">
        <f t="shared" si="4"/>
        <v>81</v>
      </c>
      <c r="X7" s="23">
        <v>3.0</v>
      </c>
      <c r="Y7" s="23">
        <v>3.0</v>
      </c>
      <c r="Z7" s="23">
        <v>3.0</v>
      </c>
      <c r="AA7" s="23">
        <v>3.0</v>
      </c>
      <c r="AB7" s="22">
        <f t="shared" si="5"/>
        <v>90</v>
      </c>
      <c r="AC7" s="23">
        <v>2.0</v>
      </c>
      <c r="AD7" s="23">
        <v>2.0</v>
      </c>
      <c r="AE7" s="23">
        <v>2.0</v>
      </c>
      <c r="AF7" s="23">
        <v>1.0</v>
      </c>
      <c r="AG7" s="22">
        <f t="shared" si="6"/>
        <v>45</v>
      </c>
    </row>
    <row r="8">
      <c r="A8" s="22">
        <f>'INPUT DAFTAR PESERTA'!A5</f>
        <v>3</v>
      </c>
      <c r="B8" s="22">
        <f>'INPUT DAFTAR PESERTA'!B5</f>
        <v>2409076003</v>
      </c>
      <c r="C8" s="6" t="str">
        <f>'INPUT DAFTAR PESERTA'!C5</f>
        <v>Andhika Pratama</v>
      </c>
      <c r="D8" s="23">
        <v>3.0</v>
      </c>
      <c r="E8" s="23">
        <v>3.0</v>
      </c>
      <c r="F8" s="23">
        <v>2.0</v>
      </c>
      <c r="G8" s="23">
        <v>3.0</v>
      </c>
      <c r="H8" s="22">
        <f t="shared" si="1"/>
        <v>84</v>
      </c>
      <c r="I8" s="23">
        <v>2.0</v>
      </c>
      <c r="J8" s="23">
        <v>3.0</v>
      </c>
      <c r="K8" s="23">
        <v>3.0</v>
      </c>
      <c r="L8" s="23">
        <v>1.0</v>
      </c>
      <c r="M8" s="22">
        <f t="shared" si="2"/>
        <v>57</v>
      </c>
      <c r="N8" s="23">
        <v>3.0</v>
      </c>
      <c r="O8" s="23">
        <v>3.0</v>
      </c>
      <c r="P8" s="23">
        <v>3.0</v>
      </c>
      <c r="Q8" s="23">
        <v>1.0</v>
      </c>
      <c r="R8" s="22">
        <f t="shared" si="3"/>
        <v>60</v>
      </c>
      <c r="S8" s="23">
        <v>2.0</v>
      </c>
      <c r="T8" s="23">
        <v>2.0</v>
      </c>
      <c r="U8" s="23">
        <v>2.0</v>
      </c>
      <c r="V8" s="23">
        <v>3.0</v>
      </c>
      <c r="W8" s="22">
        <f t="shared" si="4"/>
        <v>75</v>
      </c>
      <c r="X8" s="23">
        <v>3.0</v>
      </c>
      <c r="Y8" s="23">
        <v>3.0</v>
      </c>
      <c r="Z8" s="23">
        <v>3.0</v>
      </c>
      <c r="AA8" s="23">
        <v>3.0</v>
      </c>
      <c r="AB8" s="22">
        <f t="shared" si="5"/>
        <v>90</v>
      </c>
      <c r="AC8" s="23">
        <v>2.0</v>
      </c>
      <c r="AD8" s="23">
        <v>2.0</v>
      </c>
      <c r="AE8" s="23">
        <v>2.0</v>
      </c>
      <c r="AF8" s="23">
        <v>1.0</v>
      </c>
      <c r="AG8" s="22">
        <f t="shared" si="6"/>
        <v>45</v>
      </c>
    </row>
    <row r="9">
      <c r="A9" s="22">
        <f>'INPUT DAFTAR PESERTA'!A6</f>
        <v>4</v>
      </c>
      <c r="B9" s="22">
        <f>'INPUT DAFTAR PESERTA'!B6</f>
        <v>2409076004</v>
      </c>
      <c r="C9" s="6" t="str">
        <f>'INPUT DAFTAR PESERTA'!C6</f>
        <v>Nur Aqmarina</v>
      </c>
      <c r="D9" s="23">
        <v>3.0</v>
      </c>
      <c r="E9" s="23">
        <v>2.0</v>
      </c>
      <c r="F9" s="23">
        <v>2.0</v>
      </c>
      <c r="G9" s="23">
        <v>3.0</v>
      </c>
      <c r="H9" s="22">
        <f t="shared" si="1"/>
        <v>78</v>
      </c>
      <c r="I9" s="23">
        <v>3.0</v>
      </c>
      <c r="J9" s="23">
        <v>2.0</v>
      </c>
      <c r="K9" s="23">
        <v>3.0</v>
      </c>
      <c r="L9" s="23">
        <v>1.0</v>
      </c>
      <c r="M9" s="22">
        <f t="shared" si="2"/>
        <v>54</v>
      </c>
      <c r="N9" s="23">
        <v>3.0</v>
      </c>
      <c r="O9" s="23">
        <v>3.0</v>
      </c>
      <c r="P9" s="23">
        <v>3.0</v>
      </c>
      <c r="Q9" s="23">
        <v>3.0</v>
      </c>
      <c r="R9" s="22">
        <f t="shared" si="3"/>
        <v>90</v>
      </c>
      <c r="S9" s="23">
        <v>2.0</v>
      </c>
      <c r="T9" s="23">
        <v>3.0</v>
      </c>
      <c r="U9" s="23">
        <v>2.0</v>
      </c>
      <c r="V9" s="23">
        <v>3.0</v>
      </c>
      <c r="W9" s="22">
        <f t="shared" si="4"/>
        <v>81</v>
      </c>
      <c r="X9" s="23">
        <v>3.0</v>
      </c>
      <c r="Y9" s="23">
        <v>3.0</v>
      </c>
      <c r="Z9" s="23">
        <v>3.0</v>
      </c>
      <c r="AA9" s="23">
        <v>3.0</v>
      </c>
      <c r="AB9" s="22">
        <f t="shared" si="5"/>
        <v>90</v>
      </c>
      <c r="AC9" s="23">
        <v>3.0</v>
      </c>
      <c r="AD9" s="23">
        <v>2.0</v>
      </c>
      <c r="AE9" s="23">
        <v>2.0</v>
      </c>
      <c r="AF9" s="23">
        <v>2.0</v>
      </c>
      <c r="AG9" s="22">
        <f t="shared" si="6"/>
        <v>63</v>
      </c>
    </row>
    <row r="10">
      <c r="A10" s="22">
        <f>'INPUT DAFTAR PESERTA'!A7</f>
        <v>5</v>
      </c>
      <c r="B10" s="22">
        <f>'INPUT DAFTAR PESERTA'!B7</f>
        <v>2409076005</v>
      </c>
      <c r="C10" s="6" t="str">
        <f>'INPUT DAFTAR PESERTA'!C7</f>
        <v>Rias Prihatanto</v>
      </c>
      <c r="D10" s="23">
        <v>3.0</v>
      </c>
      <c r="E10" s="23">
        <v>3.0</v>
      </c>
      <c r="F10" s="23">
        <v>3.0</v>
      </c>
      <c r="G10" s="23">
        <v>3.0</v>
      </c>
      <c r="H10" s="22">
        <f t="shared" si="1"/>
        <v>90</v>
      </c>
      <c r="I10" s="23">
        <v>3.0</v>
      </c>
      <c r="J10" s="23">
        <v>2.0</v>
      </c>
      <c r="K10" s="23">
        <v>3.0</v>
      </c>
      <c r="L10" s="23">
        <v>1.0</v>
      </c>
      <c r="M10" s="22">
        <f t="shared" si="2"/>
        <v>54</v>
      </c>
      <c r="N10" s="23">
        <v>3.0</v>
      </c>
      <c r="O10" s="23">
        <v>3.0</v>
      </c>
      <c r="P10" s="23">
        <v>3.0</v>
      </c>
      <c r="Q10" s="23">
        <v>3.0</v>
      </c>
      <c r="R10" s="22">
        <f t="shared" si="3"/>
        <v>90</v>
      </c>
      <c r="S10" s="23">
        <v>2.0</v>
      </c>
      <c r="T10" s="23">
        <v>2.0</v>
      </c>
      <c r="U10" s="23">
        <v>3.0</v>
      </c>
      <c r="V10" s="23">
        <v>3.0</v>
      </c>
      <c r="W10" s="22">
        <f t="shared" si="4"/>
        <v>81</v>
      </c>
      <c r="X10" s="23">
        <v>3.0</v>
      </c>
      <c r="Y10" s="23">
        <v>3.0</v>
      </c>
      <c r="Z10" s="23">
        <v>3.0</v>
      </c>
      <c r="AA10" s="23">
        <v>3.0</v>
      </c>
      <c r="AB10" s="22">
        <f t="shared" si="5"/>
        <v>90</v>
      </c>
      <c r="AC10" s="23">
        <v>3.0</v>
      </c>
      <c r="AD10" s="23">
        <v>3.0</v>
      </c>
      <c r="AE10" s="23">
        <v>3.0</v>
      </c>
      <c r="AF10" s="23">
        <v>3.0</v>
      </c>
      <c r="AG10" s="22">
        <f t="shared" si="6"/>
        <v>90</v>
      </c>
    </row>
    <row r="11">
      <c r="A11" s="22">
        <f>'INPUT DAFTAR PESERTA'!A8</f>
        <v>6</v>
      </c>
      <c r="B11" s="22">
        <f>'INPUT DAFTAR PESERTA'!B8</f>
        <v>2409076006</v>
      </c>
      <c r="C11" s="6" t="str">
        <f>'INPUT DAFTAR PESERTA'!C8</f>
        <v>Muhammad Maulana Bhagaskara</v>
      </c>
      <c r="D11" s="23">
        <v>3.0</v>
      </c>
      <c r="E11" s="23">
        <v>3.0</v>
      </c>
      <c r="F11" s="23">
        <v>3.0</v>
      </c>
      <c r="G11" s="23">
        <v>3.0</v>
      </c>
      <c r="H11" s="22">
        <f t="shared" si="1"/>
        <v>90</v>
      </c>
      <c r="I11" s="23">
        <v>3.0</v>
      </c>
      <c r="J11" s="23">
        <v>2.0</v>
      </c>
      <c r="K11" s="23">
        <v>3.0</v>
      </c>
      <c r="L11" s="23">
        <v>2.0</v>
      </c>
      <c r="M11" s="22">
        <f t="shared" si="2"/>
        <v>69</v>
      </c>
      <c r="N11" s="23">
        <v>3.0</v>
      </c>
      <c r="O11" s="23">
        <v>3.0</v>
      </c>
      <c r="P11" s="23">
        <v>3.0</v>
      </c>
      <c r="Q11" s="23">
        <v>3.0</v>
      </c>
      <c r="R11" s="22">
        <f t="shared" si="3"/>
        <v>90</v>
      </c>
      <c r="S11" s="23">
        <v>2.0</v>
      </c>
      <c r="T11" s="23">
        <v>3.0</v>
      </c>
      <c r="U11" s="23">
        <v>2.0</v>
      </c>
      <c r="V11" s="23">
        <v>3.0</v>
      </c>
      <c r="W11" s="22">
        <f t="shared" si="4"/>
        <v>81</v>
      </c>
      <c r="X11" s="23">
        <v>3.0</v>
      </c>
      <c r="Y11" s="23">
        <v>3.0</v>
      </c>
      <c r="Z11" s="23">
        <v>3.0</v>
      </c>
      <c r="AA11" s="23">
        <v>3.0</v>
      </c>
      <c r="AB11" s="22">
        <f t="shared" si="5"/>
        <v>90</v>
      </c>
      <c r="AC11" s="23">
        <v>2.0</v>
      </c>
      <c r="AD11" s="23">
        <v>3.0</v>
      </c>
      <c r="AE11" s="23">
        <v>3.0</v>
      </c>
      <c r="AF11" s="23">
        <v>2.0</v>
      </c>
      <c r="AG11" s="22">
        <f t="shared" si="6"/>
        <v>72</v>
      </c>
    </row>
    <row r="12">
      <c r="A12" s="22">
        <f>'INPUT DAFTAR PESERTA'!A9</f>
        <v>7</v>
      </c>
      <c r="B12" s="22">
        <f>'INPUT DAFTAR PESERTA'!B9</f>
        <v>2409076007</v>
      </c>
      <c r="C12" s="6" t="str">
        <f>'INPUT DAFTAR PESERTA'!C9</f>
        <v>Chelsi Kamera</v>
      </c>
      <c r="D12" s="23">
        <v>3.0</v>
      </c>
      <c r="E12" s="23">
        <v>3.0</v>
      </c>
      <c r="F12" s="23">
        <v>3.0</v>
      </c>
      <c r="G12" s="23">
        <v>3.0</v>
      </c>
      <c r="H12" s="22">
        <f t="shared" si="1"/>
        <v>90</v>
      </c>
      <c r="I12" s="23">
        <v>3.0</v>
      </c>
      <c r="J12" s="23">
        <v>2.0</v>
      </c>
      <c r="K12" s="23">
        <v>3.0</v>
      </c>
      <c r="L12" s="23">
        <v>2.0</v>
      </c>
      <c r="M12" s="22">
        <f t="shared" si="2"/>
        <v>69</v>
      </c>
      <c r="N12" s="23">
        <v>3.0</v>
      </c>
      <c r="O12" s="23">
        <v>3.0</v>
      </c>
      <c r="P12" s="23">
        <v>3.0</v>
      </c>
      <c r="Q12" s="23">
        <v>3.0</v>
      </c>
      <c r="R12" s="22">
        <f t="shared" si="3"/>
        <v>90</v>
      </c>
      <c r="S12" s="23">
        <v>2.0</v>
      </c>
      <c r="T12" s="23">
        <v>3.0</v>
      </c>
      <c r="U12" s="23">
        <v>3.0</v>
      </c>
      <c r="V12" s="23">
        <v>3.0</v>
      </c>
      <c r="W12" s="22">
        <f t="shared" si="4"/>
        <v>87</v>
      </c>
      <c r="X12" s="23">
        <v>3.0</v>
      </c>
      <c r="Y12" s="23">
        <v>3.0</v>
      </c>
      <c r="Z12" s="23">
        <v>3.0</v>
      </c>
      <c r="AA12" s="23">
        <v>3.0</v>
      </c>
      <c r="AB12" s="22">
        <f t="shared" si="5"/>
        <v>90</v>
      </c>
      <c r="AC12" s="23">
        <v>3.0</v>
      </c>
      <c r="AD12" s="23">
        <v>3.0</v>
      </c>
      <c r="AE12" s="23">
        <v>3.0</v>
      </c>
      <c r="AF12" s="23">
        <v>3.0</v>
      </c>
      <c r="AG12" s="22">
        <f t="shared" si="6"/>
        <v>90</v>
      </c>
    </row>
    <row r="13">
      <c r="A13" s="22">
        <f>'INPUT DAFTAR PESERTA'!A10</f>
        <v>8</v>
      </c>
      <c r="B13" s="22">
        <f>'INPUT DAFTAR PESERTA'!B10</f>
        <v>2409076008</v>
      </c>
      <c r="C13" s="6" t="str">
        <f>'INPUT DAFTAR PESERTA'!C10</f>
        <v>Riyan Maulana</v>
      </c>
      <c r="D13" s="23">
        <v>3.0</v>
      </c>
      <c r="E13" s="23">
        <v>3.0</v>
      </c>
      <c r="F13" s="23">
        <v>3.0</v>
      </c>
      <c r="G13" s="23">
        <v>1.0</v>
      </c>
      <c r="H13" s="22">
        <f t="shared" si="1"/>
        <v>60</v>
      </c>
      <c r="I13" s="23">
        <v>3.0</v>
      </c>
      <c r="J13" s="23">
        <v>3.0</v>
      </c>
      <c r="K13" s="23">
        <v>3.0</v>
      </c>
      <c r="L13" s="23">
        <v>1.0</v>
      </c>
      <c r="M13" s="22">
        <f t="shared" si="2"/>
        <v>60</v>
      </c>
      <c r="N13" s="23">
        <v>3.0</v>
      </c>
      <c r="O13" s="23">
        <v>3.0</v>
      </c>
      <c r="P13" s="23">
        <v>3.0</v>
      </c>
      <c r="Q13" s="23">
        <v>3.0</v>
      </c>
      <c r="R13" s="22">
        <f t="shared" si="3"/>
        <v>90</v>
      </c>
      <c r="S13" s="23">
        <v>2.0</v>
      </c>
      <c r="T13" s="23">
        <v>2.0</v>
      </c>
      <c r="U13" s="23">
        <v>2.0</v>
      </c>
      <c r="V13" s="23">
        <v>3.0</v>
      </c>
      <c r="W13" s="22">
        <f t="shared" si="4"/>
        <v>75</v>
      </c>
      <c r="X13" s="23">
        <v>3.0</v>
      </c>
      <c r="Y13" s="23">
        <v>3.0</v>
      </c>
      <c r="Z13" s="23">
        <v>3.0</v>
      </c>
      <c r="AA13" s="23">
        <v>3.0</v>
      </c>
      <c r="AB13" s="22">
        <f t="shared" si="5"/>
        <v>90</v>
      </c>
      <c r="AC13" s="23">
        <v>3.0</v>
      </c>
      <c r="AD13" s="23">
        <v>3.0</v>
      </c>
      <c r="AE13" s="23">
        <v>3.0</v>
      </c>
      <c r="AF13" s="23">
        <v>2.0</v>
      </c>
      <c r="AG13" s="22">
        <f t="shared" si="6"/>
        <v>75</v>
      </c>
    </row>
    <row r="14">
      <c r="A14" s="22">
        <f>'INPUT DAFTAR PESERTA'!A11</f>
        <v>9</v>
      </c>
      <c r="B14" s="22">
        <f>'INPUT DAFTAR PESERTA'!B11</f>
        <v>2409076009</v>
      </c>
      <c r="C14" s="6" t="str">
        <f>'INPUT DAFTAR PESERTA'!C11</f>
        <v>Dimas Prasetyo Wibowo</v>
      </c>
      <c r="D14" s="23">
        <v>3.0</v>
      </c>
      <c r="E14" s="23">
        <v>3.0</v>
      </c>
      <c r="F14" s="23">
        <v>3.0</v>
      </c>
      <c r="G14" s="23">
        <v>3.0</v>
      </c>
      <c r="H14" s="22">
        <f t="shared" si="1"/>
        <v>90</v>
      </c>
      <c r="I14" s="23">
        <v>3.0</v>
      </c>
      <c r="J14" s="23">
        <v>2.0</v>
      </c>
      <c r="K14" s="23">
        <v>3.0</v>
      </c>
      <c r="L14" s="23">
        <v>2.0</v>
      </c>
      <c r="M14" s="22">
        <f t="shared" si="2"/>
        <v>69</v>
      </c>
      <c r="N14" s="23">
        <v>3.0</v>
      </c>
      <c r="O14" s="23">
        <v>3.0</v>
      </c>
      <c r="P14" s="23">
        <v>3.0</v>
      </c>
      <c r="Q14" s="23">
        <v>2.0</v>
      </c>
      <c r="R14" s="22">
        <f t="shared" si="3"/>
        <v>75</v>
      </c>
      <c r="S14" s="23">
        <v>2.0</v>
      </c>
      <c r="T14" s="23">
        <v>3.0</v>
      </c>
      <c r="U14" s="23">
        <v>2.0</v>
      </c>
      <c r="V14" s="23">
        <v>3.0</v>
      </c>
      <c r="W14" s="22">
        <f t="shared" si="4"/>
        <v>81</v>
      </c>
      <c r="X14" s="23">
        <v>3.0</v>
      </c>
      <c r="Y14" s="23">
        <v>3.0</v>
      </c>
      <c r="Z14" s="23">
        <v>3.0</v>
      </c>
      <c r="AA14" s="23">
        <v>3.0</v>
      </c>
      <c r="AB14" s="22">
        <f t="shared" si="5"/>
        <v>90</v>
      </c>
      <c r="AC14" s="23">
        <v>3.0</v>
      </c>
      <c r="AD14" s="23">
        <v>3.0</v>
      </c>
      <c r="AE14" s="23">
        <v>3.0</v>
      </c>
      <c r="AF14" s="23">
        <v>2.0</v>
      </c>
      <c r="AG14" s="22">
        <f t="shared" si="6"/>
        <v>75</v>
      </c>
    </row>
    <row r="15">
      <c r="A15" s="22">
        <f>'INPUT DAFTAR PESERTA'!A12</f>
        <v>10</v>
      </c>
      <c r="B15" s="22">
        <f>'INPUT DAFTAR PESERTA'!B12</f>
        <v>2409076010</v>
      </c>
      <c r="C15" s="6" t="str">
        <f>'INPUT DAFTAR PESERTA'!C12</f>
        <v>Najwa Dwi Maylani</v>
      </c>
      <c r="D15" s="23">
        <v>3.0</v>
      </c>
      <c r="E15" s="23">
        <v>3.0</v>
      </c>
      <c r="F15" s="23">
        <v>3.0</v>
      </c>
      <c r="G15" s="23">
        <v>3.0</v>
      </c>
      <c r="H15" s="22">
        <f t="shared" si="1"/>
        <v>90</v>
      </c>
      <c r="I15" s="23">
        <v>3.0</v>
      </c>
      <c r="J15" s="23">
        <v>2.0</v>
      </c>
      <c r="K15" s="23">
        <v>3.0</v>
      </c>
      <c r="L15" s="23">
        <v>2.0</v>
      </c>
      <c r="M15" s="22">
        <f t="shared" si="2"/>
        <v>69</v>
      </c>
      <c r="N15" s="23">
        <v>3.0</v>
      </c>
      <c r="O15" s="23">
        <v>3.0</v>
      </c>
      <c r="P15" s="23">
        <v>3.0</v>
      </c>
      <c r="Q15" s="23">
        <v>3.0</v>
      </c>
      <c r="R15" s="22">
        <f t="shared" si="3"/>
        <v>90</v>
      </c>
      <c r="S15" s="23">
        <v>2.0</v>
      </c>
      <c r="T15" s="23">
        <v>3.0</v>
      </c>
      <c r="U15" s="23">
        <v>3.0</v>
      </c>
      <c r="V15" s="23">
        <v>3.0</v>
      </c>
      <c r="W15" s="22">
        <f t="shared" si="4"/>
        <v>87</v>
      </c>
      <c r="X15" s="23">
        <v>3.0</v>
      </c>
      <c r="Y15" s="23">
        <v>3.0</v>
      </c>
      <c r="Z15" s="23">
        <v>3.0</v>
      </c>
      <c r="AA15" s="23">
        <v>3.0</v>
      </c>
      <c r="AB15" s="22">
        <f t="shared" si="5"/>
        <v>90</v>
      </c>
      <c r="AC15" s="23">
        <v>2.0</v>
      </c>
      <c r="AD15" s="23">
        <v>2.0</v>
      </c>
      <c r="AE15" s="23">
        <v>2.0</v>
      </c>
      <c r="AF15" s="23">
        <v>3.0</v>
      </c>
      <c r="AG15" s="22">
        <f t="shared" si="6"/>
        <v>75</v>
      </c>
    </row>
    <row r="16">
      <c r="A16" s="22">
        <f>'INPUT DAFTAR PESERTA'!A13</f>
        <v>11</v>
      </c>
      <c r="B16" s="22">
        <f>'INPUT DAFTAR PESERTA'!B13</f>
        <v>2409076011</v>
      </c>
      <c r="C16" s="6" t="str">
        <f>'INPUT DAFTAR PESERTA'!C13</f>
        <v>Surya Ardhian Mokodongan</v>
      </c>
      <c r="D16" s="23">
        <v>3.0</v>
      </c>
      <c r="E16" s="23">
        <v>3.0</v>
      </c>
      <c r="F16" s="23">
        <v>3.0</v>
      </c>
      <c r="G16" s="23">
        <v>3.0</v>
      </c>
      <c r="H16" s="22">
        <f t="shared" si="1"/>
        <v>90</v>
      </c>
      <c r="I16" s="23">
        <v>3.0</v>
      </c>
      <c r="J16" s="23">
        <v>3.0</v>
      </c>
      <c r="K16" s="23">
        <v>3.0</v>
      </c>
      <c r="L16" s="23">
        <v>3.0</v>
      </c>
      <c r="M16" s="22">
        <f t="shared" si="2"/>
        <v>90</v>
      </c>
      <c r="N16" s="23">
        <v>3.0</v>
      </c>
      <c r="O16" s="23">
        <v>3.0</v>
      </c>
      <c r="P16" s="23">
        <v>3.0</v>
      </c>
      <c r="Q16" s="23">
        <v>3.0</v>
      </c>
      <c r="R16" s="22">
        <f t="shared" si="3"/>
        <v>90</v>
      </c>
      <c r="S16" s="23">
        <v>2.0</v>
      </c>
      <c r="T16" s="23">
        <v>3.0</v>
      </c>
      <c r="U16" s="23">
        <v>3.0</v>
      </c>
      <c r="V16" s="23">
        <v>1.0</v>
      </c>
      <c r="W16" s="22">
        <f t="shared" si="4"/>
        <v>57</v>
      </c>
      <c r="X16" s="23">
        <v>3.0</v>
      </c>
      <c r="Y16" s="23">
        <v>3.0</v>
      </c>
      <c r="Z16" s="23">
        <v>3.0</v>
      </c>
      <c r="AA16" s="23">
        <v>3.0</v>
      </c>
      <c r="AB16" s="22">
        <f t="shared" si="5"/>
        <v>90</v>
      </c>
      <c r="AC16" s="23">
        <v>3.0</v>
      </c>
      <c r="AD16" s="23">
        <v>3.0</v>
      </c>
      <c r="AE16" s="23">
        <v>3.0</v>
      </c>
      <c r="AF16" s="23">
        <v>2.0</v>
      </c>
      <c r="AG16" s="22">
        <f t="shared" si="6"/>
        <v>75</v>
      </c>
    </row>
    <row r="17">
      <c r="A17" s="22">
        <f>'INPUT DAFTAR PESERTA'!A14</f>
        <v>12</v>
      </c>
      <c r="B17" s="22">
        <f>'INPUT DAFTAR PESERTA'!B14</f>
        <v>2409076012</v>
      </c>
      <c r="C17" s="6" t="str">
        <f>'INPUT DAFTAR PESERTA'!C14</f>
        <v>Ahmad Irfani Ananda Putra Hariawan</v>
      </c>
      <c r="D17" s="23">
        <v>3.0</v>
      </c>
      <c r="E17" s="23">
        <v>3.0</v>
      </c>
      <c r="F17" s="23">
        <v>3.0</v>
      </c>
      <c r="G17" s="23">
        <v>3.0</v>
      </c>
      <c r="H17" s="22">
        <f t="shared" si="1"/>
        <v>90</v>
      </c>
      <c r="I17" s="23">
        <v>3.0</v>
      </c>
      <c r="J17" s="23">
        <v>3.0</v>
      </c>
      <c r="K17" s="23">
        <v>3.0</v>
      </c>
      <c r="L17" s="23">
        <v>3.0</v>
      </c>
      <c r="M17" s="22">
        <f t="shared" si="2"/>
        <v>90</v>
      </c>
      <c r="N17" s="23">
        <v>3.0</v>
      </c>
      <c r="O17" s="23">
        <v>3.0</v>
      </c>
      <c r="P17" s="23">
        <v>3.0</v>
      </c>
      <c r="Q17" s="23">
        <v>2.0</v>
      </c>
      <c r="R17" s="22">
        <f t="shared" si="3"/>
        <v>75</v>
      </c>
      <c r="S17" s="23">
        <v>2.0</v>
      </c>
      <c r="T17" s="23">
        <v>3.0</v>
      </c>
      <c r="U17" s="23">
        <v>3.0</v>
      </c>
      <c r="V17" s="23">
        <v>1.0</v>
      </c>
      <c r="W17" s="22">
        <f t="shared" si="4"/>
        <v>57</v>
      </c>
      <c r="X17" s="23">
        <v>3.0</v>
      </c>
      <c r="Y17" s="23">
        <v>3.0</v>
      </c>
      <c r="Z17" s="23">
        <v>3.0</v>
      </c>
      <c r="AA17" s="23">
        <v>3.0</v>
      </c>
      <c r="AB17" s="22">
        <f t="shared" si="5"/>
        <v>90</v>
      </c>
      <c r="AC17" s="23">
        <v>3.0</v>
      </c>
      <c r="AD17" s="23">
        <v>3.0</v>
      </c>
      <c r="AE17" s="23">
        <v>3.0</v>
      </c>
      <c r="AF17" s="23">
        <v>1.0</v>
      </c>
      <c r="AG17" s="22">
        <f t="shared" si="6"/>
        <v>60</v>
      </c>
    </row>
    <row r="18">
      <c r="A18" s="22">
        <f>'INPUT DAFTAR PESERTA'!A15</f>
        <v>13</v>
      </c>
      <c r="B18" s="22">
        <f>'INPUT DAFTAR PESERTA'!B15</f>
        <v>2409076013</v>
      </c>
      <c r="C18" s="6" t="str">
        <f>'INPUT DAFTAR PESERTA'!C15</f>
        <v>Afif Rizqi Ramadhan</v>
      </c>
      <c r="D18" s="23">
        <v>3.0</v>
      </c>
      <c r="E18" s="23">
        <v>3.0</v>
      </c>
      <c r="F18" s="23">
        <v>3.0</v>
      </c>
      <c r="G18" s="23">
        <v>3.0</v>
      </c>
      <c r="H18" s="22">
        <f t="shared" si="1"/>
        <v>90</v>
      </c>
      <c r="I18" s="23">
        <v>3.0</v>
      </c>
      <c r="J18" s="23">
        <v>3.0</v>
      </c>
      <c r="K18" s="23">
        <v>3.0</v>
      </c>
      <c r="L18" s="23">
        <v>3.0</v>
      </c>
      <c r="M18" s="22">
        <f t="shared" si="2"/>
        <v>90</v>
      </c>
      <c r="N18" s="23">
        <v>3.0</v>
      </c>
      <c r="O18" s="23">
        <v>3.0</v>
      </c>
      <c r="P18" s="23">
        <v>3.0</v>
      </c>
      <c r="Q18" s="23">
        <v>3.0</v>
      </c>
      <c r="R18" s="22">
        <f t="shared" si="3"/>
        <v>90</v>
      </c>
      <c r="S18" s="23">
        <v>2.0</v>
      </c>
      <c r="T18" s="23">
        <v>3.0</v>
      </c>
      <c r="U18" s="23">
        <v>2.0</v>
      </c>
      <c r="V18" s="23">
        <v>3.0</v>
      </c>
      <c r="W18" s="22">
        <f t="shared" si="4"/>
        <v>81</v>
      </c>
      <c r="X18" s="23">
        <v>3.0</v>
      </c>
      <c r="Y18" s="23">
        <v>3.0</v>
      </c>
      <c r="Z18" s="23">
        <v>3.0</v>
      </c>
      <c r="AA18" s="23">
        <v>3.0</v>
      </c>
      <c r="AB18" s="22">
        <f t="shared" si="5"/>
        <v>90</v>
      </c>
      <c r="AC18" s="23">
        <v>3.0</v>
      </c>
      <c r="AD18" s="23">
        <v>3.0</v>
      </c>
      <c r="AE18" s="23">
        <v>3.0</v>
      </c>
      <c r="AF18" s="23">
        <v>3.0</v>
      </c>
      <c r="AG18" s="22">
        <f t="shared" si="6"/>
        <v>90</v>
      </c>
    </row>
    <row r="19">
      <c r="A19" s="22">
        <f>'INPUT DAFTAR PESERTA'!A16</f>
        <v>14</v>
      </c>
      <c r="B19" s="22">
        <f>'INPUT DAFTAR PESERTA'!B16</f>
        <v>2409076014</v>
      </c>
      <c r="C19" s="6" t="str">
        <f>'INPUT DAFTAR PESERTA'!C16</f>
        <v>Julius Simamora</v>
      </c>
      <c r="D19" s="23">
        <v>3.0</v>
      </c>
      <c r="E19" s="23">
        <v>3.0</v>
      </c>
      <c r="F19" s="23">
        <v>3.0</v>
      </c>
      <c r="G19" s="23">
        <v>3.0</v>
      </c>
      <c r="H19" s="22">
        <f t="shared" si="1"/>
        <v>90</v>
      </c>
      <c r="I19" s="23">
        <v>3.0</v>
      </c>
      <c r="J19" s="23">
        <v>3.0</v>
      </c>
      <c r="K19" s="23">
        <v>3.0</v>
      </c>
      <c r="L19" s="23">
        <v>3.0</v>
      </c>
      <c r="M19" s="22">
        <f t="shared" si="2"/>
        <v>90</v>
      </c>
      <c r="N19" s="23">
        <v>3.0</v>
      </c>
      <c r="O19" s="23">
        <v>3.0</v>
      </c>
      <c r="P19" s="23">
        <v>3.0</v>
      </c>
      <c r="Q19" s="23">
        <v>2.0</v>
      </c>
      <c r="R19" s="22">
        <f t="shared" si="3"/>
        <v>75</v>
      </c>
      <c r="S19" s="23">
        <v>2.0</v>
      </c>
      <c r="T19" s="23">
        <v>3.0</v>
      </c>
      <c r="U19" s="23">
        <v>2.0</v>
      </c>
      <c r="V19" s="23">
        <v>3.0</v>
      </c>
      <c r="W19" s="22">
        <f t="shared" si="4"/>
        <v>81</v>
      </c>
      <c r="X19" s="23">
        <v>3.0</v>
      </c>
      <c r="Y19" s="23">
        <v>3.0</v>
      </c>
      <c r="Z19" s="23">
        <v>3.0</v>
      </c>
      <c r="AA19" s="23">
        <v>3.0</v>
      </c>
      <c r="AB19" s="22">
        <f t="shared" si="5"/>
        <v>90</v>
      </c>
      <c r="AC19" s="23">
        <v>3.0</v>
      </c>
      <c r="AD19" s="23">
        <v>3.0</v>
      </c>
      <c r="AE19" s="23">
        <v>3.0</v>
      </c>
      <c r="AF19" s="23">
        <v>1.0</v>
      </c>
      <c r="AG19" s="22">
        <f t="shared" si="6"/>
        <v>60</v>
      </c>
    </row>
    <row r="20">
      <c r="A20" s="22">
        <f>'INPUT DAFTAR PESERTA'!A17</f>
        <v>15</v>
      </c>
      <c r="B20" s="22">
        <f>'INPUT DAFTAR PESERTA'!B17</f>
        <v>2409076015</v>
      </c>
      <c r="C20" s="6" t="str">
        <f>'INPUT DAFTAR PESERTA'!C17</f>
        <v>Gea Novtry</v>
      </c>
      <c r="D20" s="23">
        <v>3.0</v>
      </c>
      <c r="E20" s="23">
        <v>3.0</v>
      </c>
      <c r="F20" s="23">
        <v>3.0</v>
      </c>
      <c r="G20" s="23">
        <v>3.0</v>
      </c>
      <c r="H20" s="22">
        <f t="shared" si="1"/>
        <v>90</v>
      </c>
      <c r="I20" s="23">
        <v>3.0</v>
      </c>
      <c r="J20" s="23">
        <v>3.0</v>
      </c>
      <c r="K20" s="23">
        <v>3.0</v>
      </c>
      <c r="L20" s="23">
        <v>3.0</v>
      </c>
      <c r="M20" s="22">
        <f t="shared" si="2"/>
        <v>90</v>
      </c>
      <c r="N20" s="23">
        <v>3.0</v>
      </c>
      <c r="O20" s="23">
        <v>3.0</v>
      </c>
      <c r="P20" s="23">
        <v>3.0</v>
      </c>
      <c r="Q20" s="23">
        <v>1.0</v>
      </c>
      <c r="R20" s="22">
        <f t="shared" si="3"/>
        <v>60</v>
      </c>
      <c r="S20" s="23">
        <v>2.0</v>
      </c>
      <c r="T20" s="23">
        <v>2.0</v>
      </c>
      <c r="U20" s="23">
        <v>2.0</v>
      </c>
      <c r="V20" s="23">
        <v>1.0</v>
      </c>
      <c r="W20" s="22">
        <f t="shared" si="4"/>
        <v>45</v>
      </c>
      <c r="X20" s="23">
        <v>1.0</v>
      </c>
      <c r="Y20" s="23">
        <v>1.0</v>
      </c>
      <c r="Z20" s="23">
        <v>1.0</v>
      </c>
      <c r="AA20" s="23">
        <v>1.0</v>
      </c>
      <c r="AB20" s="22">
        <f t="shared" si="5"/>
        <v>30</v>
      </c>
      <c r="AC20" s="23">
        <v>2.0</v>
      </c>
      <c r="AD20" s="23">
        <v>2.0</v>
      </c>
      <c r="AE20" s="23">
        <v>2.0</v>
      </c>
      <c r="AF20" s="23">
        <v>1.0</v>
      </c>
      <c r="AG20" s="22">
        <f t="shared" si="6"/>
        <v>45</v>
      </c>
    </row>
    <row r="21" ht="15.75" customHeight="1">
      <c r="A21" s="22">
        <f>'INPUT DAFTAR PESERTA'!A18</f>
        <v>16</v>
      </c>
      <c r="B21" s="22">
        <f>'INPUT DAFTAR PESERTA'!B18</f>
        <v>2409076016</v>
      </c>
      <c r="C21" s="6" t="str">
        <f>'INPUT DAFTAR PESERTA'!C18</f>
        <v>Najmi habibi</v>
      </c>
      <c r="D21" s="23">
        <v>3.0</v>
      </c>
      <c r="E21" s="23">
        <v>3.0</v>
      </c>
      <c r="F21" s="23">
        <v>2.0</v>
      </c>
      <c r="G21" s="23">
        <v>3.0</v>
      </c>
      <c r="H21" s="22">
        <f t="shared" si="1"/>
        <v>84</v>
      </c>
      <c r="I21" s="23">
        <v>3.0</v>
      </c>
      <c r="J21" s="23">
        <v>3.0</v>
      </c>
      <c r="K21" s="23">
        <v>3.0</v>
      </c>
      <c r="L21" s="23">
        <v>3.0</v>
      </c>
      <c r="M21" s="22">
        <f t="shared" si="2"/>
        <v>90</v>
      </c>
      <c r="N21" s="23">
        <v>3.0</v>
      </c>
      <c r="O21" s="23">
        <v>3.0</v>
      </c>
      <c r="P21" s="23">
        <v>3.0</v>
      </c>
      <c r="Q21" s="23">
        <v>1.0</v>
      </c>
      <c r="R21" s="22">
        <f t="shared" si="3"/>
        <v>60</v>
      </c>
      <c r="S21" s="23">
        <v>2.0</v>
      </c>
      <c r="T21" s="23">
        <v>2.0</v>
      </c>
      <c r="U21" s="23">
        <v>2.0</v>
      </c>
      <c r="V21" s="23">
        <v>1.0</v>
      </c>
      <c r="W21" s="22">
        <f t="shared" si="4"/>
        <v>45</v>
      </c>
      <c r="X21" s="23">
        <v>1.0</v>
      </c>
      <c r="Y21" s="23">
        <v>1.0</v>
      </c>
      <c r="Z21" s="23">
        <v>1.0</v>
      </c>
      <c r="AA21" s="23">
        <v>1.0</v>
      </c>
      <c r="AB21" s="22">
        <f t="shared" si="5"/>
        <v>30</v>
      </c>
      <c r="AC21" s="23">
        <v>2.0</v>
      </c>
      <c r="AD21" s="23">
        <v>2.0</v>
      </c>
      <c r="AE21" s="23">
        <v>2.0</v>
      </c>
      <c r="AF21" s="23">
        <v>1.0</v>
      </c>
      <c r="AG21" s="22">
        <f t="shared" si="6"/>
        <v>45</v>
      </c>
    </row>
    <row r="22" ht="15.75" customHeight="1">
      <c r="A22" s="22">
        <f>'INPUT DAFTAR PESERTA'!A19</f>
        <v>17</v>
      </c>
      <c r="B22" s="22">
        <f>'INPUT DAFTAR PESERTA'!B19</f>
        <v>2409076017</v>
      </c>
      <c r="C22" s="6" t="str">
        <f>'INPUT DAFTAR PESERTA'!C19</f>
        <v>Muhammad Reza Aulia</v>
      </c>
      <c r="D22" s="23">
        <v>3.0</v>
      </c>
      <c r="E22" s="23">
        <v>2.0</v>
      </c>
      <c r="F22" s="23">
        <v>3.0</v>
      </c>
      <c r="G22" s="23">
        <v>3.0</v>
      </c>
      <c r="H22" s="22">
        <f t="shared" si="1"/>
        <v>84</v>
      </c>
      <c r="I22" s="23">
        <v>3.0</v>
      </c>
      <c r="J22" s="23">
        <v>3.0</v>
      </c>
      <c r="K22" s="23">
        <v>3.0</v>
      </c>
      <c r="L22" s="23">
        <v>3.0</v>
      </c>
      <c r="M22" s="22">
        <f t="shared" si="2"/>
        <v>90</v>
      </c>
      <c r="N22" s="23">
        <v>3.0</v>
      </c>
      <c r="O22" s="23">
        <v>3.0</v>
      </c>
      <c r="P22" s="23">
        <v>3.0</v>
      </c>
      <c r="Q22" s="23">
        <v>3.0</v>
      </c>
      <c r="R22" s="22">
        <f t="shared" si="3"/>
        <v>90</v>
      </c>
      <c r="S22" s="23">
        <v>2.0</v>
      </c>
      <c r="T22" s="23">
        <v>3.0</v>
      </c>
      <c r="U22" s="23">
        <v>2.0</v>
      </c>
      <c r="V22" s="23">
        <v>3.0</v>
      </c>
      <c r="W22" s="22">
        <f t="shared" si="4"/>
        <v>81</v>
      </c>
      <c r="X22" s="23">
        <v>3.0</v>
      </c>
      <c r="Y22" s="23">
        <v>3.0</v>
      </c>
      <c r="Z22" s="23">
        <v>3.0</v>
      </c>
      <c r="AA22" s="23">
        <v>3.0</v>
      </c>
      <c r="AB22" s="22">
        <f t="shared" si="5"/>
        <v>90</v>
      </c>
      <c r="AC22" s="23">
        <v>2.0</v>
      </c>
      <c r="AD22" s="23">
        <v>3.0</v>
      </c>
      <c r="AE22" s="23">
        <v>3.0</v>
      </c>
      <c r="AF22" s="23">
        <v>1.0</v>
      </c>
      <c r="AG22" s="22">
        <f t="shared" si="6"/>
        <v>57</v>
      </c>
    </row>
    <row r="23" ht="15.75" customHeight="1">
      <c r="A23" s="22">
        <f>'INPUT DAFTAR PESERTA'!A20</f>
        <v>18</v>
      </c>
      <c r="B23" s="22">
        <f>'INPUT DAFTAR PESERTA'!B20</f>
        <v>2409076018</v>
      </c>
      <c r="C23" s="6" t="str">
        <f>'INPUT DAFTAR PESERTA'!C20</f>
        <v>Omar maulana ibnu rahman</v>
      </c>
      <c r="D23" s="23">
        <v>3.0</v>
      </c>
      <c r="E23" s="23">
        <v>2.0</v>
      </c>
      <c r="F23" s="23">
        <v>3.0</v>
      </c>
      <c r="G23" s="23">
        <v>1.0</v>
      </c>
      <c r="H23" s="22">
        <f t="shared" si="1"/>
        <v>54</v>
      </c>
      <c r="I23" s="23">
        <v>3.0</v>
      </c>
      <c r="J23" s="23">
        <v>3.0</v>
      </c>
      <c r="K23" s="23">
        <v>3.0</v>
      </c>
      <c r="L23" s="23">
        <v>3.0</v>
      </c>
      <c r="M23" s="22">
        <f t="shared" si="2"/>
        <v>90</v>
      </c>
      <c r="N23" s="23">
        <v>3.0</v>
      </c>
      <c r="O23" s="23">
        <v>3.0</v>
      </c>
      <c r="P23" s="23">
        <v>3.0</v>
      </c>
      <c r="Q23" s="23">
        <v>3.0</v>
      </c>
      <c r="R23" s="22">
        <f t="shared" si="3"/>
        <v>90</v>
      </c>
      <c r="S23" s="23">
        <v>2.0</v>
      </c>
      <c r="T23" s="23">
        <v>2.0</v>
      </c>
      <c r="U23" s="23">
        <v>2.0</v>
      </c>
      <c r="V23" s="23">
        <v>3.0</v>
      </c>
      <c r="W23" s="22">
        <f t="shared" si="4"/>
        <v>75</v>
      </c>
      <c r="X23" s="23">
        <v>3.0</v>
      </c>
      <c r="Y23" s="23">
        <v>3.0</v>
      </c>
      <c r="Z23" s="23">
        <v>3.0</v>
      </c>
      <c r="AA23" s="23">
        <v>3.0</v>
      </c>
      <c r="AB23" s="22">
        <f t="shared" si="5"/>
        <v>90</v>
      </c>
      <c r="AC23" s="23">
        <v>2.0</v>
      </c>
      <c r="AD23" s="23">
        <v>3.0</v>
      </c>
      <c r="AE23" s="23">
        <v>3.0</v>
      </c>
      <c r="AF23" s="23">
        <v>1.0</v>
      </c>
      <c r="AG23" s="22">
        <f t="shared" si="6"/>
        <v>57</v>
      </c>
    </row>
    <row r="24" ht="15.75" customHeight="1">
      <c r="A24" s="22">
        <f>'INPUT DAFTAR PESERTA'!A21</f>
        <v>19</v>
      </c>
      <c r="B24" s="22">
        <f>'INPUT DAFTAR PESERTA'!B21</f>
        <v>2409076019</v>
      </c>
      <c r="C24" s="6" t="str">
        <f>'INPUT DAFTAR PESERTA'!C21</f>
        <v>F. Agung Setyawan. L</v>
      </c>
      <c r="D24" s="23">
        <v>3.0</v>
      </c>
      <c r="E24" s="23">
        <v>3.0</v>
      </c>
      <c r="F24" s="23">
        <v>2.0</v>
      </c>
      <c r="G24" s="23">
        <v>3.0</v>
      </c>
      <c r="H24" s="22">
        <f t="shared" si="1"/>
        <v>84</v>
      </c>
      <c r="I24" s="23">
        <v>3.0</v>
      </c>
      <c r="J24" s="23">
        <v>3.0</v>
      </c>
      <c r="K24" s="23">
        <v>3.0</v>
      </c>
      <c r="L24" s="23">
        <v>3.0</v>
      </c>
      <c r="M24" s="22">
        <f t="shared" si="2"/>
        <v>90</v>
      </c>
      <c r="N24" s="23">
        <v>3.0</v>
      </c>
      <c r="O24" s="23">
        <v>3.0</v>
      </c>
      <c r="P24" s="23">
        <v>3.0</v>
      </c>
      <c r="Q24" s="23">
        <v>3.0</v>
      </c>
      <c r="R24" s="22">
        <f t="shared" si="3"/>
        <v>90</v>
      </c>
      <c r="S24" s="23">
        <v>2.0</v>
      </c>
      <c r="T24" s="23">
        <v>3.0</v>
      </c>
      <c r="U24" s="23">
        <v>2.0</v>
      </c>
      <c r="V24" s="23">
        <v>3.0</v>
      </c>
      <c r="W24" s="22">
        <f t="shared" si="4"/>
        <v>81</v>
      </c>
      <c r="X24" s="23">
        <v>3.0</v>
      </c>
      <c r="Y24" s="23">
        <v>3.0</v>
      </c>
      <c r="Z24" s="23">
        <v>3.0</v>
      </c>
      <c r="AA24" s="23">
        <v>3.0</v>
      </c>
      <c r="AB24" s="22">
        <f t="shared" si="5"/>
        <v>90</v>
      </c>
      <c r="AC24" s="23">
        <v>2.0</v>
      </c>
      <c r="AD24" s="23">
        <v>3.0</v>
      </c>
      <c r="AE24" s="23">
        <v>3.0</v>
      </c>
      <c r="AF24" s="23">
        <v>1.0</v>
      </c>
      <c r="AG24" s="22">
        <f t="shared" si="6"/>
        <v>57</v>
      </c>
    </row>
    <row r="25" ht="15.75" customHeight="1">
      <c r="A25" s="22">
        <f>'INPUT DAFTAR PESERTA'!A22</f>
        <v>20</v>
      </c>
      <c r="B25" s="22">
        <f>'INPUT DAFTAR PESERTA'!B22</f>
        <v>2409076020</v>
      </c>
      <c r="C25" s="6" t="str">
        <f>'INPUT DAFTAR PESERTA'!C22</f>
        <v>Muhammad Rafi Ramadhan</v>
      </c>
      <c r="D25" s="23">
        <v>3.0</v>
      </c>
      <c r="E25" s="23">
        <v>2.0</v>
      </c>
      <c r="F25" s="23">
        <v>3.0</v>
      </c>
      <c r="G25" s="23">
        <v>3.0</v>
      </c>
      <c r="H25" s="22">
        <f t="shared" si="1"/>
        <v>84</v>
      </c>
      <c r="I25" s="23">
        <v>3.0</v>
      </c>
      <c r="J25" s="23">
        <v>3.0</v>
      </c>
      <c r="K25" s="23">
        <v>3.0</v>
      </c>
      <c r="L25" s="23">
        <v>2.0</v>
      </c>
      <c r="M25" s="22">
        <f t="shared" si="2"/>
        <v>75</v>
      </c>
      <c r="N25" s="23">
        <v>3.0</v>
      </c>
      <c r="O25" s="23">
        <v>3.0</v>
      </c>
      <c r="P25" s="23">
        <v>3.0</v>
      </c>
      <c r="Q25" s="23">
        <v>3.0</v>
      </c>
      <c r="R25" s="22">
        <f t="shared" si="3"/>
        <v>90</v>
      </c>
      <c r="S25" s="23">
        <v>2.0</v>
      </c>
      <c r="T25" s="23">
        <v>3.0</v>
      </c>
      <c r="U25" s="23">
        <v>2.0</v>
      </c>
      <c r="V25" s="23">
        <v>3.0</v>
      </c>
      <c r="W25" s="22">
        <f t="shared" si="4"/>
        <v>81</v>
      </c>
      <c r="X25" s="23">
        <v>1.0</v>
      </c>
      <c r="Y25" s="23">
        <v>1.0</v>
      </c>
      <c r="Z25" s="23">
        <v>1.0</v>
      </c>
      <c r="AA25" s="23">
        <v>1.0</v>
      </c>
      <c r="AB25" s="22">
        <f t="shared" si="5"/>
        <v>30</v>
      </c>
      <c r="AC25" s="23">
        <v>2.0</v>
      </c>
      <c r="AD25" s="23">
        <v>2.0</v>
      </c>
      <c r="AE25" s="23">
        <v>2.0</v>
      </c>
      <c r="AF25" s="23">
        <v>1.0</v>
      </c>
      <c r="AG25" s="22">
        <f t="shared" si="6"/>
        <v>45</v>
      </c>
    </row>
    <row r="26" ht="15.75" customHeight="1">
      <c r="A26" s="22">
        <f>'INPUT DAFTAR PESERTA'!A23</f>
        <v>21</v>
      </c>
      <c r="B26" s="22">
        <f>'INPUT DAFTAR PESERTA'!B23</f>
        <v>2409076021</v>
      </c>
      <c r="C26" s="6" t="str">
        <f>'INPUT DAFTAR PESERTA'!C23</f>
        <v>Farras Alwan Putra Setyo</v>
      </c>
      <c r="D26" s="23">
        <v>3.0</v>
      </c>
      <c r="E26" s="23">
        <v>2.0</v>
      </c>
      <c r="F26" s="23">
        <v>3.0</v>
      </c>
      <c r="G26" s="23">
        <v>3.0</v>
      </c>
      <c r="H26" s="22">
        <f t="shared" si="1"/>
        <v>84</v>
      </c>
      <c r="I26" s="23">
        <v>3.0</v>
      </c>
      <c r="J26" s="23">
        <v>3.0</v>
      </c>
      <c r="K26" s="23">
        <v>3.0</v>
      </c>
      <c r="L26" s="23">
        <v>2.0</v>
      </c>
      <c r="M26" s="22">
        <f t="shared" si="2"/>
        <v>75</v>
      </c>
      <c r="N26" s="23">
        <v>3.0</v>
      </c>
      <c r="O26" s="23">
        <v>3.0</v>
      </c>
      <c r="P26" s="23">
        <v>3.0</v>
      </c>
      <c r="Q26" s="23">
        <v>3.0</v>
      </c>
      <c r="R26" s="22">
        <f t="shared" si="3"/>
        <v>90</v>
      </c>
      <c r="S26" s="23">
        <v>2.0</v>
      </c>
      <c r="T26" s="23">
        <v>3.0</v>
      </c>
      <c r="U26" s="23">
        <v>2.0</v>
      </c>
      <c r="V26" s="23">
        <v>3.0</v>
      </c>
      <c r="W26" s="22">
        <f t="shared" si="4"/>
        <v>81</v>
      </c>
      <c r="X26" s="23">
        <v>2.0</v>
      </c>
      <c r="Y26" s="23">
        <v>2.0</v>
      </c>
      <c r="Z26" s="23">
        <v>2.0</v>
      </c>
      <c r="AA26" s="23">
        <v>2.0</v>
      </c>
      <c r="AB26" s="22">
        <f t="shared" si="5"/>
        <v>60</v>
      </c>
      <c r="AC26" s="23">
        <v>3.0</v>
      </c>
      <c r="AD26" s="23">
        <v>3.0</v>
      </c>
      <c r="AE26" s="23">
        <v>2.0</v>
      </c>
      <c r="AF26" s="23">
        <v>1.0</v>
      </c>
      <c r="AG26" s="22">
        <f t="shared" si="6"/>
        <v>54</v>
      </c>
    </row>
    <row r="27" ht="15.75" customHeight="1">
      <c r="A27" s="22">
        <f>'INPUT DAFTAR PESERTA'!A24</f>
        <v>22</v>
      </c>
      <c r="B27" s="22">
        <f>'INPUT DAFTAR PESERTA'!B24</f>
        <v>2409076022</v>
      </c>
      <c r="C27" s="6" t="str">
        <f>'INPUT DAFTAR PESERTA'!C24</f>
        <v>Dewo Dzaki</v>
      </c>
      <c r="D27" s="23">
        <v>3.0</v>
      </c>
      <c r="E27" s="23">
        <v>2.0</v>
      </c>
      <c r="F27" s="23">
        <v>3.0</v>
      </c>
      <c r="G27" s="23">
        <v>2.0</v>
      </c>
      <c r="H27" s="22">
        <f t="shared" si="1"/>
        <v>69</v>
      </c>
      <c r="I27" s="23">
        <v>3.0</v>
      </c>
      <c r="J27" s="23">
        <v>3.0</v>
      </c>
      <c r="K27" s="23">
        <v>3.0</v>
      </c>
      <c r="L27" s="23">
        <v>3.0</v>
      </c>
      <c r="M27" s="22">
        <f t="shared" si="2"/>
        <v>90</v>
      </c>
      <c r="N27" s="23">
        <v>3.0</v>
      </c>
      <c r="O27" s="23">
        <v>3.0</v>
      </c>
      <c r="P27" s="23">
        <v>3.0</v>
      </c>
      <c r="Q27" s="23">
        <v>3.0</v>
      </c>
      <c r="R27" s="22">
        <f t="shared" si="3"/>
        <v>90</v>
      </c>
      <c r="S27" s="23">
        <v>2.0</v>
      </c>
      <c r="T27" s="23">
        <v>3.0</v>
      </c>
      <c r="U27" s="23">
        <v>3.0</v>
      </c>
      <c r="V27" s="23">
        <v>3.0</v>
      </c>
      <c r="W27" s="22">
        <f t="shared" si="4"/>
        <v>87</v>
      </c>
      <c r="X27" s="23">
        <v>3.0</v>
      </c>
      <c r="Y27" s="23">
        <v>3.0</v>
      </c>
      <c r="Z27" s="23">
        <v>3.0</v>
      </c>
      <c r="AA27" s="23">
        <v>3.0</v>
      </c>
      <c r="AB27" s="22">
        <f t="shared" si="5"/>
        <v>90</v>
      </c>
      <c r="AC27" s="23">
        <v>2.0</v>
      </c>
      <c r="AD27" s="23">
        <v>3.0</v>
      </c>
      <c r="AE27" s="23">
        <v>3.0</v>
      </c>
      <c r="AF27" s="23">
        <v>1.0</v>
      </c>
      <c r="AG27" s="22">
        <f t="shared" si="6"/>
        <v>57</v>
      </c>
    </row>
    <row r="28" ht="15.75" customHeight="1">
      <c r="A28" s="22">
        <f>'INPUT DAFTAR PESERTA'!A25</f>
        <v>23</v>
      </c>
      <c r="B28" s="22">
        <f>'INPUT DAFTAR PESERTA'!B25</f>
        <v>2409076023</v>
      </c>
      <c r="C28" s="6" t="str">
        <f>'INPUT DAFTAR PESERTA'!C25</f>
        <v>Yusr Gavrila</v>
      </c>
      <c r="D28" s="23">
        <v>3.0</v>
      </c>
      <c r="E28" s="23">
        <v>2.0</v>
      </c>
      <c r="F28" s="23">
        <v>3.0</v>
      </c>
      <c r="G28" s="23">
        <v>3.0</v>
      </c>
      <c r="H28" s="22">
        <f t="shared" si="1"/>
        <v>84</v>
      </c>
      <c r="I28" s="23">
        <v>3.0</v>
      </c>
      <c r="J28" s="23">
        <v>3.0</v>
      </c>
      <c r="K28" s="23">
        <v>3.0</v>
      </c>
      <c r="L28" s="23">
        <v>3.0</v>
      </c>
      <c r="M28" s="22">
        <f t="shared" si="2"/>
        <v>90</v>
      </c>
      <c r="N28" s="23">
        <v>3.0</v>
      </c>
      <c r="O28" s="23">
        <v>3.0</v>
      </c>
      <c r="P28" s="23">
        <v>3.0</v>
      </c>
      <c r="Q28" s="23">
        <v>3.0</v>
      </c>
      <c r="R28" s="22">
        <f t="shared" si="3"/>
        <v>90</v>
      </c>
      <c r="S28" s="23">
        <v>2.0</v>
      </c>
      <c r="T28" s="23">
        <v>3.0</v>
      </c>
      <c r="U28" s="23">
        <v>3.0</v>
      </c>
      <c r="V28" s="23">
        <v>3.0</v>
      </c>
      <c r="W28" s="22">
        <f t="shared" si="4"/>
        <v>87</v>
      </c>
      <c r="X28" s="23">
        <v>3.0</v>
      </c>
      <c r="Y28" s="23">
        <v>3.0</v>
      </c>
      <c r="Z28" s="23">
        <v>3.0</v>
      </c>
      <c r="AA28" s="23">
        <v>3.0</v>
      </c>
      <c r="AB28" s="22">
        <f t="shared" si="5"/>
        <v>90</v>
      </c>
      <c r="AC28" s="23">
        <v>2.0</v>
      </c>
      <c r="AD28" s="23">
        <v>3.0</v>
      </c>
      <c r="AE28" s="23">
        <v>3.0</v>
      </c>
      <c r="AF28" s="23">
        <v>1.0</v>
      </c>
      <c r="AG28" s="22">
        <f t="shared" si="6"/>
        <v>57</v>
      </c>
    </row>
    <row r="29" ht="15.75" customHeight="1">
      <c r="A29" s="22">
        <f>'INPUT DAFTAR PESERTA'!A26</f>
        <v>24</v>
      </c>
      <c r="B29" s="22">
        <f>'INPUT DAFTAR PESERTA'!B26</f>
        <v>2409076025</v>
      </c>
      <c r="C29" s="6" t="str">
        <f>'INPUT DAFTAR PESERTA'!C26</f>
        <v>Fahrizal Prasetya</v>
      </c>
      <c r="D29" s="23">
        <v>3.0</v>
      </c>
      <c r="E29" s="23">
        <v>3.0</v>
      </c>
      <c r="F29" s="23">
        <v>3.0</v>
      </c>
      <c r="G29" s="23">
        <v>2.0</v>
      </c>
      <c r="H29" s="22">
        <f t="shared" si="1"/>
        <v>75</v>
      </c>
      <c r="I29" s="23">
        <v>3.0</v>
      </c>
      <c r="J29" s="23">
        <v>3.0</v>
      </c>
      <c r="K29" s="23">
        <v>3.0</v>
      </c>
      <c r="L29" s="23">
        <v>3.0</v>
      </c>
      <c r="M29" s="22">
        <f t="shared" si="2"/>
        <v>90</v>
      </c>
      <c r="N29" s="23">
        <v>3.0</v>
      </c>
      <c r="O29" s="23">
        <v>3.0</v>
      </c>
      <c r="P29" s="23">
        <v>3.0</v>
      </c>
      <c r="Q29" s="23">
        <v>1.0</v>
      </c>
      <c r="R29" s="22">
        <f t="shared" si="3"/>
        <v>60</v>
      </c>
      <c r="S29" s="23">
        <v>2.0</v>
      </c>
      <c r="T29" s="23">
        <v>3.0</v>
      </c>
      <c r="U29" s="23">
        <v>3.0</v>
      </c>
      <c r="V29" s="23">
        <v>1.0</v>
      </c>
      <c r="W29" s="22">
        <f t="shared" si="4"/>
        <v>57</v>
      </c>
      <c r="X29" s="23">
        <v>3.0</v>
      </c>
      <c r="Y29" s="23">
        <v>3.0</v>
      </c>
      <c r="Z29" s="23">
        <v>3.0</v>
      </c>
      <c r="AA29" s="23">
        <v>3.0</v>
      </c>
      <c r="AB29" s="22">
        <f t="shared" si="5"/>
        <v>90</v>
      </c>
      <c r="AC29" s="23">
        <v>3.0</v>
      </c>
      <c r="AD29" s="23">
        <v>2.0</v>
      </c>
      <c r="AE29" s="23">
        <v>2.0</v>
      </c>
      <c r="AF29" s="23">
        <v>1.0</v>
      </c>
      <c r="AG29" s="22">
        <f t="shared" si="6"/>
        <v>48</v>
      </c>
    </row>
    <row r="30" ht="15.75" customHeight="1">
      <c r="A30" s="22">
        <f>'INPUT DAFTAR PESERTA'!A27</f>
        <v>25</v>
      </c>
      <c r="B30" s="22">
        <f>'INPUT DAFTAR PESERTA'!B27</f>
        <v>2409076026</v>
      </c>
      <c r="C30" s="6" t="str">
        <f>'INPUT DAFTAR PESERTA'!C27</f>
        <v>Ariya Kema Maulana</v>
      </c>
      <c r="D30" s="23">
        <v>3.0</v>
      </c>
      <c r="E30" s="23">
        <v>3.0</v>
      </c>
      <c r="F30" s="23">
        <v>3.0</v>
      </c>
      <c r="G30" s="23">
        <v>2.0</v>
      </c>
      <c r="H30" s="22">
        <f t="shared" si="1"/>
        <v>75</v>
      </c>
      <c r="I30" s="23">
        <v>3.0</v>
      </c>
      <c r="J30" s="23">
        <v>3.0</v>
      </c>
      <c r="K30" s="23">
        <v>3.0</v>
      </c>
      <c r="L30" s="23">
        <v>2.0</v>
      </c>
      <c r="M30" s="22">
        <f t="shared" si="2"/>
        <v>75</v>
      </c>
      <c r="N30" s="23">
        <v>3.0</v>
      </c>
      <c r="O30" s="23">
        <v>3.0</v>
      </c>
      <c r="P30" s="23">
        <v>3.0</v>
      </c>
      <c r="Q30" s="23">
        <v>3.0</v>
      </c>
      <c r="R30" s="22">
        <f t="shared" si="3"/>
        <v>90</v>
      </c>
      <c r="S30" s="23">
        <v>2.0</v>
      </c>
      <c r="T30" s="23">
        <v>3.0</v>
      </c>
      <c r="U30" s="23">
        <v>2.0</v>
      </c>
      <c r="V30" s="23">
        <v>1.0</v>
      </c>
      <c r="W30" s="22">
        <f t="shared" si="4"/>
        <v>51</v>
      </c>
      <c r="X30" s="23">
        <v>3.0</v>
      </c>
      <c r="Y30" s="23">
        <v>3.0</v>
      </c>
      <c r="Z30" s="23">
        <v>3.0</v>
      </c>
      <c r="AA30" s="23">
        <v>3.0</v>
      </c>
      <c r="AB30" s="22">
        <f t="shared" si="5"/>
        <v>90</v>
      </c>
      <c r="AC30" s="23">
        <v>2.0</v>
      </c>
      <c r="AD30" s="23">
        <v>2.0</v>
      </c>
      <c r="AE30" s="23">
        <v>2.0</v>
      </c>
      <c r="AF30" s="23">
        <v>1.0</v>
      </c>
      <c r="AG30" s="22">
        <f t="shared" si="6"/>
        <v>45</v>
      </c>
    </row>
    <row r="31" ht="15.75" customHeight="1">
      <c r="A31" s="22">
        <f>'INPUT DAFTAR PESERTA'!A28</f>
        <v>26</v>
      </c>
      <c r="B31" s="22">
        <f>'INPUT DAFTAR PESERTA'!B28</f>
        <v>2409076027</v>
      </c>
      <c r="C31" s="6" t="str">
        <f>'INPUT DAFTAR PESERTA'!C28</f>
        <v>Muhammad Afdal</v>
      </c>
      <c r="D31" s="23">
        <v>3.0</v>
      </c>
      <c r="E31" s="23">
        <v>3.0</v>
      </c>
      <c r="F31" s="23">
        <v>3.0</v>
      </c>
      <c r="G31" s="23">
        <v>2.0</v>
      </c>
      <c r="H31" s="22">
        <f t="shared" si="1"/>
        <v>75</v>
      </c>
      <c r="I31" s="23">
        <v>3.0</v>
      </c>
      <c r="J31" s="23">
        <v>3.0</v>
      </c>
      <c r="K31" s="23">
        <v>3.0</v>
      </c>
      <c r="L31" s="23">
        <v>1.0</v>
      </c>
      <c r="M31" s="22">
        <f t="shared" si="2"/>
        <v>60</v>
      </c>
      <c r="N31" s="23">
        <v>3.0</v>
      </c>
      <c r="O31" s="23">
        <v>3.0</v>
      </c>
      <c r="P31" s="23">
        <v>3.0</v>
      </c>
      <c r="Q31" s="23">
        <v>3.0</v>
      </c>
      <c r="R31" s="22">
        <f t="shared" si="3"/>
        <v>90</v>
      </c>
      <c r="S31" s="23">
        <v>2.0</v>
      </c>
      <c r="T31" s="23">
        <v>3.0</v>
      </c>
      <c r="U31" s="23">
        <v>2.0</v>
      </c>
      <c r="V31" s="23">
        <v>1.0</v>
      </c>
      <c r="W31" s="22">
        <f t="shared" si="4"/>
        <v>51</v>
      </c>
      <c r="X31" s="23">
        <v>3.0</v>
      </c>
      <c r="Y31" s="23">
        <v>3.0</v>
      </c>
      <c r="Z31" s="23">
        <v>3.0</v>
      </c>
      <c r="AA31" s="23">
        <v>3.0</v>
      </c>
      <c r="AB31" s="22">
        <f t="shared" si="5"/>
        <v>90</v>
      </c>
      <c r="AC31" s="23">
        <v>3.0</v>
      </c>
      <c r="AD31" s="23">
        <v>3.0</v>
      </c>
      <c r="AE31" s="23">
        <v>2.0</v>
      </c>
      <c r="AF31" s="23">
        <v>1.0</v>
      </c>
      <c r="AG31" s="22">
        <f t="shared" si="6"/>
        <v>54</v>
      </c>
    </row>
    <row r="32" ht="15.75" customHeight="1">
      <c r="A32" s="22">
        <f>'INPUT DAFTAR PESERTA'!A29</f>
        <v>27</v>
      </c>
      <c r="B32" s="22">
        <f>'INPUT DAFTAR PESERTA'!B29</f>
        <v>2409076028</v>
      </c>
      <c r="C32" s="6" t="str">
        <f>'INPUT DAFTAR PESERTA'!C29</f>
        <v>Carlos Immanuel Simanjuntak</v>
      </c>
      <c r="D32" s="23">
        <v>3.0</v>
      </c>
      <c r="E32" s="23">
        <v>3.0</v>
      </c>
      <c r="F32" s="23">
        <v>3.0</v>
      </c>
      <c r="G32" s="23">
        <v>2.0</v>
      </c>
      <c r="H32" s="22">
        <f t="shared" si="1"/>
        <v>75</v>
      </c>
      <c r="I32" s="23">
        <v>3.0</v>
      </c>
      <c r="J32" s="23">
        <v>3.0</v>
      </c>
      <c r="K32" s="23">
        <v>3.0</v>
      </c>
      <c r="L32" s="23">
        <v>3.0</v>
      </c>
      <c r="M32" s="22">
        <f t="shared" si="2"/>
        <v>90</v>
      </c>
      <c r="N32" s="23">
        <v>3.0</v>
      </c>
      <c r="O32" s="23">
        <v>3.0</v>
      </c>
      <c r="P32" s="23">
        <v>3.0</v>
      </c>
      <c r="Q32" s="23">
        <v>2.0</v>
      </c>
      <c r="R32" s="22">
        <f t="shared" si="3"/>
        <v>75</v>
      </c>
      <c r="S32" s="23">
        <v>2.0</v>
      </c>
      <c r="T32" s="23">
        <v>3.0</v>
      </c>
      <c r="U32" s="23">
        <v>2.0</v>
      </c>
      <c r="V32" s="23">
        <v>3.0</v>
      </c>
      <c r="W32" s="22">
        <f t="shared" si="4"/>
        <v>81</v>
      </c>
      <c r="X32" s="23">
        <v>3.0</v>
      </c>
      <c r="Y32" s="23">
        <v>3.0</v>
      </c>
      <c r="Z32" s="23">
        <v>3.0</v>
      </c>
      <c r="AA32" s="23">
        <v>3.0</v>
      </c>
      <c r="AB32" s="22">
        <f t="shared" si="5"/>
        <v>90</v>
      </c>
      <c r="AC32" s="23">
        <v>2.0</v>
      </c>
      <c r="AD32" s="23">
        <v>2.0</v>
      </c>
      <c r="AE32" s="23">
        <v>2.0</v>
      </c>
      <c r="AF32" s="23">
        <v>1.0</v>
      </c>
      <c r="AG32" s="22">
        <f t="shared" si="6"/>
        <v>45</v>
      </c>
    </row>
    <row r="33" ht="15.75" customHeight="1">
      <c r="A33" s="22">
        <f>'INPUT DAFTAR PESERTA'!A30</f>
        <v>28</v>
      </c>
      <c r="B33" s="22">
        <f>'INPUT DAFTAR PESERTA'!B30</f>
        <v>2409076029</v>
      </c>
      <c r="C33" s="6" t="str">
        <f>'INPUT DAFTAR PESERTA'!C30</f>
        <v>Ardhian Arif Ananda</v>
      </c>
      <c r="D33" s="23">
        <v>3.0</v>
      </c>
      <c r="E33" s="23">
        <v>3.0</v>
      </c>
      <c r="F33" s="23">
        <v>3.0</v>
      </c>
      <c r="G33" s="23">
        <v>2.0</v>
      </c>
      <c r="H33" s="22">
        <f t="shared" si="1"/>
        <v>75</v>
      </c>
      <c r="I33" s="23">
        <v>3.0</v>
      </c>
      <c r="J33" s="23">
        <v>3.0</v>
      </c>
      <c r="K33" s="23">
        <v>3.0</v>
      </c>
      <c r="L33" s="23">
        <v>3.0</v>
      </c>
      <c r="M33" s="22">
        <f t="shared" si="2"/>
        <v>90</v>
      </c>
      <c r="N33" s="23">
        <v>3.0</v>
      </c>
      <c r="O33" s="23">
        <v>3.0</v>
      </c>
      <c r="P33" s="23">
        <v>3.0</v>
      </c>
      <c r="Q33" s="23">
        <v>2.0</v>
      </c>
      <c r="R33" s="22">
        <f t="shared" si="3"/>
        <v>75</v>
      </c>
      <c r="S33" s="23">
        <v>0.0</v>
      </c>
      <c r="T33" s="23">
        <v>0.0</v>
      </c>
      <c r="U33" s="23">
        <v>0.0</v>
      </c>
      <c r="V33" s="23">
        <v>0.0</v>
      </c>
      <c r="W33" s="22">
        <f t="shared" si="4"/>
        <v>0</v>
      </c>
      <c r="X33" s="23">
        <v>1.0</v>
      </c>
      <c r="Y33" s="23">
        <v>1.0</v>
      </c>
      <c r="Z33" s="23">
        <v>1.0</v>
      </c>
      <c r="AA33" s="23">
        <v>1.0</v>
      </c>
      <c r="AB33" s="22">
        <f t="shared" si="5"/>
        <v>30</v>
      </c>
      <c r="AC33" s="23">
        <v>2.0</v>
      </c>
      <c r="AD33" s="23">
        <v>2.0</v>
      </c>
      <c r="AE33" s="23">
        <v>2.0</v>
      </c>
      <c r="AF33" s="23">
        <v>1.0</v>
      </c>
      <c r="AG33" s="22">
        <f t="shared" si="6"/>
        <v>45</v>
      </c>
    </row>
    <row r="34" ht="15.75" customHeight="1">
      <c r="A34" s="22">
        <f>'INPUT DAFTAR PESERTA'!A31</f>
        <v>29</v>
      </c>
      <c r="B34" s="22">
        <f>'INPUT DAFTAR PESERTA'!B31</f>
        <v>2409076030</v>
      </c>
      <c r="C34" s="6" t="str">
        <f>'INPUT DAFTAR PESERTA'!C31</f>
        <v>Ahmad Fikri Tri Utomo</v>
      </c>
      <c r="D34" s="23">
        <v>3.0</v>
      </c>
      <c r="E34" s="23">
        <v>3.0</v>
      </c>
      <c r="F34" s="23">
        <v>3.0</v>
      </c>
      <c r="G34" s="23">
        <v>3.0</v>
      </c>
      <c r="H34" s="22">
        <f t="shared" si="1"/>
        <v>90</v>
      </c>
      <c r="I34" s="23">
        <v>2.0</v>
      </c>
      <c r="J34" s="23">
        <v>3.0</v>
      </c>
      <c r="K34" s="23">
        <v>3.0</v>
      </c>
      <c r="L34" s="23">
        <v>2.0</v>
      </c>
      <c r="M34" s="22">
        <f t="shared" si="2"/>
        <v>72</v>
      </c>
      <c r="N34" s="23">
        <v>3.0</v>
      </c>
      <c r="O34" s="23">
        <v>3.0</v>
      </c>
      <c r="P34" s="23">
        <v>3.0</v>
      </c>
      <c r="Q34" s="23">
        <v>1.0</v>
      </c>
      <c r="R34" s="22">
        <f t="shared" si="3"/>
        <v>60</v>
      </c>
      <c r="S34" s="23">
        <v>3.0</v>
      </c>
      <c r="T34" s="23">
        <v>3.0</v>
      </c>
      <c r="U34" s="23">
        <v>1.0</v>
      </c>
      <c r="V34" s="23">
        <v>1.0</v>
      </c>
      <c r="W34" s="22">
        <f t="shared" si="4"/>
        <v>48</v>
      </c>
      <c r="X34" s="23">
        <v>3.0</v>
      </c>
      <c r="Y34" s="23">
        <v>3.0</v>
      </c>
      <c r="Z34" s="23">
        <v>3.0</v>
      </c>
      <c r="AA34" s="23">
        <v>3.0</v>
      </c>
      <c r="AB34" s="22">
        <f t="shared" si="5"/>
        <v>90</v>
      </c>
      <c r="AC34" s="23">
        <v>2.0</v>
      </c>
      <c r="AD34" s="23">
        <v>3.0</v>
      </c>
      <c r="AE34" s="23">
        <v>2.0</v>
      </c>
      <c r="AF34" s="23">
        <v>1.0</v>
      </c>
      <c r="AG34" s="22">
        <f t="shared" si="6"/>
        <v>51</v>
      </c>
    </row>
    <row r="35" ht="15.75" customHeight="1">
      <c r="A35" s="22">
        <f>'INPUT DAFTAR PESERTA'!A32</f>
        <v>30</v>
      </c>
      <c r="B35" s="22">
        <f>'INPUT DAFTAR PESERTA'!B32</f>
        <v>2409076031</v>
      </c>
      <c r="C35" s="6" t="str">
        <f>'INPUT DAFTAR PESERTA'!C32</f>
        <v>Muhammad Alfin Alfanfa</v>
      </c>
      <c r="D35" s="23">
        <v>3.0</v>
      </c>
      <c r="E35" s="23">
        <v>3.0</v>
      </c>
      <c r="F35" s="23">
        <v>3.0</v>
      </c>
      <c r="G35" s="23">
        <v>3.0</v>
      </c>
      <c r="H35" s="22">
        <f t="shared" si="1"/>
        <v>90</v>
      </c>
      <c r="I35" s="23">
        <v>2.0</v>
      </c>
      <c r="J35" s="23">
        <v>3.0</v>
      </c>
      <c r="K35" s="23">
        <v>3.0</v>
      </c>
      <c r="L35" s="23">
        <v>2.0</v>
      </c>
      <c r="M35" s="22">
        <f t="shared" si="2"/>
        <v>72</v>
      </c>
      <c r="N35" s="23">
        <v>3.0</v>
      </c>
      <c r="O35" s="23">
        <v>3.0</v>
      </c>
      <c r="P35" s="23">
        <v>3.0</v>
      </c>
      <c r="Q35" s="23">
        <v>3.0</v>
      </c>
      <c r="R35" s="22">
        <f t="shared" si="3"/>
        <v>90</v>
      </c>
      <c r="S35" s="23">
        <v>2.0</v>
      </c>
      <c r="T35" s="23">
        <v>3.0</v>
      </c>
      <c r="U35" s="23">
        <v>3.0</v>
      </c>
      <c r="V35" s="23">
        <v>3.0</v>
      </c>
      <c r="W35" s="22">
        <f t="shared" si="4"/>
        <v>87</v>
      </c>
      <c r="X35" s="23">
        <v>3.0</v>
      </c>
      <c r="Y35" s="23">
        <v>3.0</v>
      </c>
      <c r="Z35" s="23">
        <v>3.0</v>
      </c>
      <c r="AA35" s="23">
        <v>3.0</v>
      </c>
      <c r="AB35" s="22">
        <f t="shared" si="5"/>
        <v>90</v>
      </c>
      <c r="AC35" s="23">
        <v>2.0</v>
      </c>
      <c r="AD35" s="23">
        <v>2.0</v>
      </c>
      <c r="AE35" s="23">
        <v>2.0</v>
      </c>
      <c r="AF35" s="23">
        <v>1.0</v>
      </c>
      <c r="AG35" s="22">
        <f t="shared" si="6"/>
        <v>45</v>
      </c>
    </row>
    <row r="36" ht="15.75" customHeight="1">
      <c r="A36" s="22">
        <f>'INPUT DAFTAR PESERTA'!A33</f>
        <v>31</v>
      </c>
      <c r="B36" s="22">
        <f>'INPUT DAFTAR PESERTA'!B33</f>
        <v>2409076032</v>
      </c>
      <c r="C36" s="6" t="str">
        <f>'INPUT DAFTAR PESERTA'!C33</f>
        <v>Faizal Haqi</v>
      </c>
      <c r="D36" s="23">
        <v>3.0</v>
      </c>
      <c r="E36" s="23">
        <v>3.0</v>
      </c>
      <c r="F36" s="23">
        <v>3.0</v>
      </c>
      <c r="G36" s="23">
        <v>3.0</v>
      </c>
      <c r="H36" s="22">
        <f t="shared" si="1"/>
        <v>90</v>
      </c>
      <c r="I36" s="23">
        <v>2.0</v>
      </c>
      <c r="J36" s="23">
        <v>3.0</v>
      </c>
      <c r="K36" s="23">
        <v>3.0</v>
      </c>
      <c r="L36" s="23">
        <v>1.0</v>
      </c>
      <c r="M36" s="22">
        <f t="shared" si="2"/>
        <v>57</v>
      </c>
      <c r="N36" s="23">
        <v>3.0</v>
      </c>
      <c r="O36" s="23">
        <v>3.0</v>
      </c>
      <c r="P36" s="23">
        <v>3.0</v>
      </c>
      <c r="Q36" s="23">
        <v>2.0</v>
      </c>
      <c r="R36" s="22">
        <f t="shared" si="3"/>
        <v>75</v>
      </c>
      <c r="S36" s="23">
        <v>2.0</v>
      </c>
      <c r="T36" s="23">
        <v>3.0</v>
      </c>
      <c r="U36" s="23">
        <v>3.0</v>
      </c>
      <c r="V36" s="23">
        <v>3.0</v>
      </c>
      <c r="W36" s="22">
        <f t="shared" si="4"/>
        <v>87</v>
      </c>
      <c r="X36" s="23">
        <v>3.0</v>
      </c>
      <c r="Y36" s="23">
        <v>3.0</v>
      </c>
      <c r="Z36" s="23">
        <v>3.0</v>
      </c>
      <c r="AA36" s="23">
        <v>3.0</v>
      </c>
      <c r="AB36" s="22">
        <f t="shared" si="5"/>
        <v>90</v>
      </c>
      <c r="AC36" s="23">
        <v>2.0</v>
      </c>
      <c r="AD36" s="23">
        <v>3.0</v>
      </c>
      <c r="AE36" s="23">
        <v>3.0</v>
      </c>
      <c r="AF36" s="23">
        <v>2.0</v>
      </c>
      <c r="AG36" s="22">
        <f t="shared" si="6"/>
        <v>72</v>
      </c>
    </row>
    <row r="37" ht="15.75" customHeight="1">
      <c r="A37" s="22">
        <f>'INPUT DAFTAR PESERTA'!A34</f>
        <v>32</v>
      </c>
      <c r="B37" s="22">
        <f>'INPUT DAFTAR PESERTA'!B34</f>
        <v>2409076033</v>
      </c>
      <c r="C37" s="6" t="str">
        <f>'INPUT DAFTAR PESERTA'!C34</f>
        <v>Joinicius Pasalin</v>
      </c>
      <c r="D37" s="23">
        <v>3.0</v>
      </c>
      <c r="E37" s="23">
        <v>3.0</v>
      </c>
      <c r="F37" s="23">
        <v>3.0</v>
      </c>
      <c r="G37" s="23">
        <v>3.0</v>
      </c>
      <c r="H37" s="22">
        <f t="shared" si="1"/>
        <v>90</v>
      </c>
      <c r="I37" s="23">
        <v>2.0</v>
      </c>
      <c r="J37" s="23">
        <v>3.0</v>
      </c>
      <c r="K37" s="23">
        <v>3.0</v>
      </c>
      <c r="L37" s="23">
        <v>2.0</v>
      </c>
      <c r="M37" s="22">
        <f t="shared" si="2"/>
        <v>72</v>
      </c>
      <c r="N37" s="23">
        <v>3.0</v>
      </c>
      <c r="O37" s="23">
        <v>3.0</v>
      </c>
      <c r="P37" s="23">
        <v>3.0</v>
      </c>
      <c r="Q37" s="23">
        <v>3.0</v>
      </c>
      <c r="R37" s="22">
        <f t="shared" si="3"/>
        <v>90</v>
      </c>
      <c r="S37" s="23">
        <v>2.0</v>
      </c>
      <c r="T37" s="23">
        <v>3.0</v>
      </c>
      <c r="U37" s="23">
        <v>3.0</v>
      </c>
      <c r="V37" s="23">
        <v>3.0</v>
      </c>
      <c r="W37" s="22">
        <f t="shared" si="4"/>
        <v>87</v>
      </c>
      <c r="X37" s="23">
        <v>3.0</v>
      </c>
      <c r="Y37" s="23">
        <v>3.0</v>
      </c>
      <c r="Z37" s="23">
        <v>3.0</v>
      </c>
      <c r="AA37" s="23">
        <v>3.0</v>
      </c>
      <c r="AB37" s="22">
        <f t="shared" si="5"/>
        <v>90</v>
      </c>
      <c r="AC37" s="23">
        <v>2.0</v>
      </c>
      <c r="AD37" s="23">
        <v>2.0</v>
      </c>
      <c r="AE37" s="23">
        <v>2.0</v>
      </c>
      <c r="AF37" s="23">
        <v>2.0</v>
      </c>
      <c r="AG37" s="22">
        <f t="shared" si="6"/>
        <v>60</v>
      </c>
    </row>
    <row r="38" ht="15.75" customHeight="1">
      <c r="A38" s="22">
        <f>'INPUT DAFTAR PESERTA'!A35</f>
        <v>33</v>
      </c>
      <c r="B38" s="22">
        <f>'INPUT DAFTAR PESERTA'!B35</f>
        <v>2409076034</v>
      </c>
      <c r="C38" s="6" t="str">
        <f>'INPUT DAFTAR PESERTA'!C35</f>
        <v>Alwi Rudiansyah</v>
      </c>
      <c r="D38" s="23">
        <v>3.0</v>
      </c>
      <c r="E38" s="23">
        <v>3.0</v>
      </c>
      <c r="F38" s="23">
        <v>3.0</v>
      </c>
      <c r="G38" s="23">
        <v>3.0</v>
      </c>
      <c r="H38" s="22">
        <f t="shared" si="1"/>
        <v>90</v>
      </c>
      <c r="I38" s="23">
        <v>2.0</v>
      </c>
      <c r="J38" s="23">
        <v>3.0</v>
      </c>
      <c r="K38" s="23">
        <v>3.0</v>
      </c>
      <c r="L38" s="23">
        <v>3.0</v>
      </c>
      <c r="M38" s="22">
        <f t="shared" si="2"/>
        <v>87</v>
      </c>
      <c r="N38" s="23">
        <v>3.0</v>
      </c>
      <c r="O38" s="23">
        <v>3.0</v>
      </c>
      <c r="P38" s="23">
        <v>3.0</v>
      </c>
      <c r="Q38" s="23">
        <v>2.0</v>
      </c>
      <c r="R38" s="22">
        <f t="shared" si="3"/>
        <v>75</v>
      </c>
      <c r="S38" s="23">
        <v>3.0</v>
      </c>
      <c r="T38" s="23">
        <v>3.0</v>
      </c>
      <c r="U38" s="23">
        <v>3.0</v>
      </c>
      <c r="V38" s="23">
        <v>3.0</v>
      </c>
      <c r="W38" s="22">
        <f t="shared" si="4"/>
        <v>90</v>
      </c>
      <c r="X38" s="23">
        <v>3.0</v>
      </c>
      <c r="Y38" s="23">
        <v>3.0</v>
      </c>
      <c r="Z38" s="23">
        <v>3.0</v>
      </c>
      <c r="AA38" s="23">
        <v>3.0</v>
      </c>
      <c r="AB38" s="22">
        <f t="shared" si="5"/>
        <v>90</v>
      </c>
      <c r="AC38" s="23">
        <v>2.0</v>
      </c>
      <c r="AD38" s="23">
        <v>2.0</v>
      </c>
      <c r="AE38" s="23">
        <v>2.0</v>
      </c>
      <c r="AF38" s="23">
        <v>1.0</v>
      </c>
      <c r="AG38" s="22">
        <f t="shared" si="6"/>
        <v>45</v>
      </c>
    </row>
    <row r="39" ht="15.75" customHeight="1">
      <c r="A39" s="22">
        <f>'INPUT DAFTAR PESERTA'!A36</f>
        <v>34</v>
      </c>
      <c r="B39" s="22">
        <f>'INPUT DAFTAR PESERTA'!B36</f>
        <v>2409076035</v>
      </c>
      <c r="C39" s="6" t="str">
        <f>'INPUT DAFTAR PESERTA'!C36</f>
        <v>Muhammad Rizki Nauval Alim</v>
      </c>
      <c r="D39" s="23">
        <v>3.0</v>
      </c>
      <c r="E39" s="23">
        <v>3.0</v>
      </c>
      <c r="F39" s="23">
        <v>3.0</v>
      </c>
      <c r="G39" s="23">
        <v>3.0</v>
      </c>
      <c r="H39" s="22">
        <f t="shared" si="1"/>
        <v>90</v>
      </c>
      <c r="I39" s="23">
        <v>2.0</v>
      </c>
      <c r="J39" s="23">
        <v>3.0</v>
      </c>
      <c r="K39" s="23">
        <v>3.0</v>
      </c>
      <c r="L39" s="23">
        <v>2.0</v>
      </c>
      <c r="M39" s="22">
        <f t="shared" si="2"/>
        <v>72</v>
      </c>
      <c r="N39" s="23">
        <v>3.0</v>
      </c>
      <c r="O39" s="23">
        <v>3.0</v>
      </c>
      <c r="P39" s="23">
        <v>3.0</v>
      </c>
      <c r="Q39" s="23">
        <v>3.0</v>
      </c>
      <c r="R39" s="22">
        <f t="shared" si="3"/>
        <v>90</v>
      </c>
      <c r="S39" s="23">
        <v>3.0</v>
      </c>
      <c r="T39" s="23">
        <v>3.0</v>
      </c>
      <c r="U39" s="23">
        <v>3.0</v>
      </c>
      <c r="V39" s="23">
        <v>3.0</v>
      </c>
      <c r="W39" s="22">
        <f t="shared" si="4"/>
        <v>90</v>
      </c>
      <c r="X39" s="23">
        <v>3.0</v>
      </c>
      <c r="Y39" s="23">
        <v>3.0</v>
      </c>
      <c r="Z39" s="23">
        <v>3.0</v>
      </c>
      <c r="AA39" s="23">
        <v>3.0</v>
      </c>
      <c r="AB39" s="22">
        <f t="shared" si="5"/>
        <v>90</v>
      </c>
      <c r="AC39" s="23">
        <v>2.0</v>
      </c>
      <c r="AD39" s="23">
        <v>3.0</v>
      </c>
      <c r="AE39" s="23">
        <v>3.0</v>
      </c>
      <c r="AF39" s="23">
        <v>2.0</v>
      </c>
      <c r="AG39" s="22">
        <f t="shared" si="6"/>
        <v>72</v>
      </c>
    </row>
    <row r="40" ht="15.75" customHeight="1">
      <c r="A40" s="22">
        <f>'INPUT DAFTAR PESERTA'!A37</f>
        <v>35</v>
      </c>
      <c r="B40" s="22">
        <f>'INPUT DAFTAR PESERTA'!B37</f>
        <v>2409076036</v>
      </c>
      <c r="C40" s="6" t="str">
        <f>'INPUT DAFTAR PESERTA'!C37</f>
        <v>Muhammad Rico Setiawan</v>
      </c>
      <c r="D40" s="23">
        <v>3.0</v>
      </c>
      <c r="E40" s="23">
        <v>3.0</v>
      </c>
      <c r="F40" s="23">
        <v>3.0</v>
      </c>
      <c r="G40" s="23">
        <v>3.0</v>
      </c>
      <c r="H40" s="22">
        <f t="shared" si="1"/>
        <v>90</v>
      </c>
      <c r="I40" s="22"/>
      <c r="J40" s="22"/>
      <c r="K40" s="22"/>
      <c r="L40" s="22"/>
      <c r="M40" s="22">
        <f t="shared" si="2"/>
        <v>0</v>
      </c>
      <c r="N40" s="22"/>
      <c r="O40" s="22"/>
      <c r="P40" s="22"/>
      <c r="Q40" s="22"/>
      <c r="R40" s="22">
        <f t="shared" si="3"/>
        <v>0</v>
      </c>
      <c r="S40" s="22"/>
      <c r="T40" s="22"/>
      <c r="U40" s="22"/>
      <c r="V40" s="22"/>
      <c r="W40" s="22">
        <f t="shared" si="4"/>
        <v>0</v>
      </c>
      <c r="X40" s="22"/>
      <c r="Y40" s="22"/>
      <c r="Z40" s="22"/>
      <c r="AA40" s="22"/>
      <c r="AB40" s="22">
        <f t="shared" si="5"/>
        <v>0</v>
      </c>
      <c r="AC40" s="22"/>
      <c r="AD40" s="22"/>
      <c r="AE40" s="22"/>
      <c r="AF40" s="22"/>
      <c r="AG40" s="22">
        <f t="shared" si="6"/>
        <v>0</v>
      </c>
    </row>
    <row r="41" ht="15.75" customHeight="1">
      <c r="A41" s="22">
        <f>'INPUT DAFTAR PESERTA'!A38</f>
        <v>36</v>
      </c>
      <c r="B41" s="22">
        <f>'INPUT DAFTAR PESERTA'!B38</f>
        <v>2409076037</v>
      </c>
      <c r="C41" s="6" t="str">
        <f>'INPUT DAFTAR PESERTA'!C38</f>
        <v>Muhammad Ananda Ryan Nur Rahman</v>
      </c>
      <c r="D41" s="23">
        <v>3.0</v>
      </c>
      <c r="E41" s="23">
        <v>3.0</v>
      </c>
      <c r="F41" s="23">
        <v>3.0</v>
      </c>
      <c r="G41" s="23">
        <v>3.0</v>
      </c>
      <c r="H41" s="22">
        <f t="shared" si="1"/>
        <v>90</v>
      </c>
      <c r="I41" s="23">
        <v>2.0</v>
      </c>
      <c r="J41" s="23">
        <v>3.0</v>
      </c>
      <c r="K41" s="23">
        <v>3.0</v>
      </c>
      <c r="L41" s="23">
        <v>2.0</v>
      </c>
      <c r="M41" s="22">
        <f t="shared" si="2"/>
        <v>72</v>
      </c>
      <c r="N41" s="23">
        <v>3.0</v>
      </c>
      <c r="O41" s="23">
        <v>3.0</v>
      </c>
      <c r="P41" s="23">
        <v>3.0</v>
      </c>
      <c r="Q41" s="23">
        <v>1.0</v>
      </c>
      <c r="R41" s="22">
        <f t="shared" si="3"/>
        <v>60</v>
      </c>
      <c r="S41" s="23">
        <v>2.0</v>
      </c>
      <c r="T41" s="23">
        <v>3.0</v>
      </c>
      <c r="U41" s="23">
        <v>3.0</v>
      </c>
      <c r="V41" s="23">
        <v>2.0</v>
      </c>
      <c r="W41" s="22">
        <f t="shared" si="4"/>
        <v>72</v>
      </c>
      <c r="X41" s="23">
        <v>1.0</v>
      </c>
      <c r="Y41" s="23">
        <v>1.0</v>
      </c>
      <c r="Z41" s="23">
        <v>1.0</v>
      </c>
      <c r="AA41" s="23">
        <v>1.0</v>
      </c>
      <c r="AB41" s="22">
        <f t="shared" si="5"/>
        <v>30</v>
      </c>
      <c r="AC41" s="23">
        <v>3.0</v>
      </c>
      <c r="AD41" s="23">
        <v>3.0</v>
      </c>
      <c r="AE41" s="23">
        <v>2.0</v>
      </c>
      <c r="AF41" s="23">
        <v>1.0</v>
      </c>
      <c r="AG41" s="22">
        <f t="shared" si="6"/>
        <v>54</v>
      </c>
    </row>
    <row r="42" ht="15.75" customHeight="1">
      <c r="A42" s="22">
        <f>'INPUT DAFTAR PESERTA'!A39</f>
        <v>37</v>
      </c>
      <c r="B42" s="22">
        <f>'INPUT DAFTAR PESERTA'!B39</f>
        <v>2409076038</v>
      </c>
      <c r="C42" s="6" t="str">
        <f>'INPUT DAFTAR PESERTA'!C39</f>
        <v>Muhammad Alif Rahmat Syakir</v>
      </c>
      <c r="D42" s="22"/>
      <c r="E42" s="22"/>
      <c r="F42" s="22"/>
      <c r="G42" s="22"/>
      <c r="H42" s="22">
        <f t="shared" si="1"/>
        <v>0</v>
      </c>
      <c r="I42" s="23">
        <v>3.0</v>
      </c>
      <c r="J42" s="23">
        <v>3.0</v>
      </c>
      <c r="K42" s="23">
        <v>3.0</v>
      </c>
      <c r="L42" s="23">
        <v>1.0</v>
      </c>
      <c r="M42" s="22">
        <f t="shared" si="2"/>
        <v>60</v>
      </c>
      <c r="N42" s="22"/>
      <c r="O42" s="22"/>
      <c r="P42" s="22"/>
      <c r="Q42" s="22"/>
      <c r="R42" s="22">
        <f t="shared" si="3"/>
        <v>0</v>
      </c>
      <c r="S42" s="22"/>
      <c r="T42" s="22"/>
      <c r="U42" s="22"/>
      <c r="V42" s="22"/>
      <c r="W42" s="22">
        <f t="shared" si="4"/>
        <v>0</v>
      </c>
      <c r="X42" s="22"/>
      <c r="Y42" s="22"/>
      <c r="Z42" s="22"/>
      <c r="AA42" s="22"/>
      <c r="AB42" s="22">
        <f t="shared" si="5"/>
        <v>0</v>
      </c>
      <c r="AC42" s="22"/>
      <c r="AD42" s="22"/>
      <c r="AE42" s="22"/>
      <c r="AF42" s="22"/>
      <c r="AG42" s="22">
        <f t="shared" si="6"/>
        <v>0</v>
      </c>
    </row>
    <row r="43" ht="15.75" customHeight="1">
      <c r="A43" s="22">
        <f>'INPUT DAFTAR PESERTA'!A40</f>
        <v>38</v>
      </c>
      <c r="B43" s="22">
        <f>'INPUT DAFTAR PESERTA'!B40</f>
        <v>2409076039</v>
      </c>
      <c r="C43" s="6" t="str">
        <f>'INPUT DAFTAR PESERTA'!C40</f>
        <v>Christopher Mahesa Aditama</v>
      </c>
      <c r="D43" s="23">
        <v>3.0</v>
      </c>
      <c r="E43" s="23">
        <v>3.0</v>
      </c>
      <c r="F43" s="23">
        <v>3.0</v>
      </c>
      <c r="G43" s="23">
        <v>3.0</v>
      </c>
      <c r="H43" s="22">
        <f t="shared" si="1"/>
        <v>90</v>
      </c>
      <c r="I43" s="23">
        <v>3.0</v>
      </c>
      <c r="J43" s="23">
        <v>3.0</v>
      </c>
      <c r="K43" s="23">
        <v>3.0</v>
      </c>
      <c r="L43" s="23">
        <v>3.0</v>
      </c>
      <c r="M43" s="22">
        <f t="shared" si="2"/>
        <v>90</v>
      </c>
      <c r="N43" s="23">
        <v>3.0</v>
      </c>
      <c r="O43" s="23">
        <v>3.0</v>
      </c>
      <c r="P43" s="23">
        <v>3.0</v>
      </c>
      <c r="Q43" s="23">
        <v>3.0</v>
      </c>
      <c r="R43" s="22">
        <f t="shared" si="3"/>
        <v>90</v>
      </c>
      <c r="S43" s="23">
        <v>2.0</v>
      </c>
      <c r="T43" s="23">
        <v>3.0</v>
      </c>
      <c r="U43" s="23">
        <v>2.0</v>
      </c>
      <c r="V43" s="23">
        <v>3.0</v>
      </c>
      <c r="W43" s="22">
        <f t="shared" si="4"/>
        <v>81</v>
      </c>
      <c r="X43" s="23">
        <v>3.0</v>
      </c>
      <c r="Y43" s="23">
        <v>3.0</v>
      </c>
      <c r="Z43" s="23">
        <v>3.0</v>
      </c>
      <c r="AA43" s="23">
        <v>3.0</v>
      </c>
      <c r="AB43" s="22">
        <f t="shared" si="5"/>
        <v>90</v>
      </c>
      <c r="AC43" s="23">
        <v>3.0</v>
      </c>
      <c r="AD43" s="23">
        <v>3.0</v>
      </c>
      <c r="AE43" s="23">
        <v>3.0</v>
      </c>
      <c r="AF43" s="23">
        <v>1.0</v>
      </c>
      <c r="AG43" s="22">
        <f t="shared" si="6"/>
        <v>60</v>
      </c>
    </row>
    <row r="44" ht="15.75" customHeight="1">
      <c r="A44" s="22">
        <f>'INPUT DAFTAR PESERTA'!A41</f>
        <v>39</v>
      </c>
      <c r="B44" s="22">
        <f>'INPUT DAFTAR PESERTA'!B41</f>
        <v>2409076040</v>
      </c>
      <c r="C44" s="6" t="str">
        <f>'INPUT DAFTAR PESERTA'!C41</f>
        <v>Muhammad Rafli Ramadhani</v>
      </c>
      <c r="D44" s="23">
        <v>3.0</v>
      </c>
      <c r="E44" s="23">
        <v>3.0</v>
      </c>
      <c r="F44" s="23">
        <v>3.0</v>
      </c>
      <c r="G44" s="23">
        <v>3.0</v>
      </c>
      <c r="H44" s="22">
        <f t="shared" si="1"/>
        <v>90</v>
      </c>
      <c r="I44" s="23">
        <v>3.0</v>
      </c>
      <c r="J44" s="23">
        <v>3.0</v>
      </c>
      <c r="K44" s="23">
        <v>3.0</v>
      </c>
      <c r="L44" s="23">
        <v>3.0</v>
      </c>
      <c r="M44" s="22">
        <f t="shared" si="2"/>
        <v>90</v>
      </c>
      <c r="N44" s="23">
        <v>3.0</v>
      </c>
      <c r="O44" s="23">
        <v>3.0</v>
      </c>
      <c r="P44" s="23">
        <v>3.0</v>
      </c>
      <c r="Q44" s="23">
        <v>3.0</v>
      </c>
      <c r="R44" s="22">
        <f t="shared" si="3"/>
        <v>90</v>
      </c>
      <c r="S44" s="23">
        <v>3.0</v>
      </c>
      <c r="T44" s="23">
        <v>2.0</v>
      </c>
      <c r="U44" s="23">
        <v>3.0</v>
      </c>
      <c r="V44" s="23">
        <v>3.0</v>
      </c>
      <c r="W44" s="22">
        <f t="shared" si="4"/>
        <v>84</v>
      </c>
      <c r="X44" s="23">
        <v>3.0</v>
      </c>
      <c r="Y44" s="23">
        <v>3.0</v>
      </c>
      <c r="Z44" s="23">
        <v>3.0</v>
      </c>
      <c r="AA44" s="23">
        <v>3.0</v>
      </c>
      <c r="AB44" s="22">
        <f t="shared" si="5"/>
        <v>90</v>
      </c>
      <c r="AC44" s="23">
        <v>3.0</v>
      </c>
      <c r="AD44" s="23">
        <v>3.0</v>
      </c>
      <c r="AE44" s="23">
        <v>3.0</v>
      </c>
      <c r="AF44" s="23">
        <v>1.0</v>
      </c>
      <c r="AG44" s="22">
        <f t="shared" si="6"/>
        <v>60</v>
      </c>
    </row>
    <row r="45" ht="15.75" customHeight="1">
      <c r="A45" s="22">
        <f>'INPUT DAFTAR PESERTA'!A42</f>
        <v>40</v>
      </c>
      <c r="B45" s="22">
        <f>'INPUT DAFTAR PESERTA'!B42</f>
        <v>2409076041</v>
      </c>
      <c r="C45" s="6" t="str">
        <f>'INPUT DAFTAR PESERTA'!C42</f>
        <v>Muhammad Rindhan Amarna</v>
      </c>
      <c r="D45" s="23">
        <v>3.0</v>
      </c>
      <c r="E45" s="23">
        <v>3.0</v>
      </c>
      <c r="F45" s="23">
        <v>3.0</v>
      </c>
      <c r="G45" s="23">
        <v>3.0</v>
      </c>
      <c r="H45" s="22">
        <f t="shared" si="1"/>
        <v>90</v>
      </c>
      <c r="I45" s="23">
        <v>3.0</v>
      </c>
      <c r="J45" s="23">
        <v>3.0</v>
      </c>
      <c r="K45" s="23">
        <v>3.0</v>
      </c>
      <c r="L45" s="23">
        <v>2.0</v>
      </c>
      <c r="M45" s="22">
        <f t="shared" si="2"/>
        <v>75</v>
      </c>
      <c r="N45" s="23">
        <v>3.0</v>
      </c>
      <c r="O45" s="23">
        <v>2.0</v>
      </c>
      <c r="P45" s="23">
        <v>3.0</v>
      </c>
      <c r="Q45" s="23">
        <v>1.0</v>
      </c>
      <c r="R45" s="22">
        <f t="shared" si="3"/>
        <v>54</v>
      </c>
      <c r="S45" s="23">
        <v>3.0</v>
      </c>
      <c r="T45" s="23">
        <v>3.0</v>
      </c>
      <c r="U45" s="23">
        <v>3.0</v>
      </c>
      <c r="V45" s="23">
        <v>3.0</v>
      </c>
      <c r="W45" s="22">
        <f t="shared" si="4"/>
        <v>90</v>
      </c>
      <c r="X45" s="23">
        <v>3.0</v>
      </c>
      <c r="Y45" s="23">
        <v>3.0</v>
      </c>
      <c r="Z45" s="23">
        <v>3.0</v>
      </c>
      <c r="AA45" s="23">
        <v>3.0</v>
      </c>
      <c r="AB45" s="22">
        <f t="shared" si="5"/>
        <v>90</v>
      </c>
      <c r="AC45" s="23">
        <v>3.0</v>
      </c>
      <c r="AD45" s="23">
        <v>3.0</v>
      </c>
      <c r="AE45" s="23">
        <v>3.0</v>
      </c>
      <c r="AF45" s="23">
        <v>1.0</v>
      </c>
      <c r="AG45" s="22">
        <f t="shared" si="6"/>
        <v>60</v>
      </c>
    </row>
    <row r="46" ht="15.75" customHeight="1">
      <c r="A46" s="22">
        <f>'INPUT DAFTAR PESERTA'!A43</f>
        <v>41</v>
      </c>
      <c r="B46" s="22">
        <f>'INPUT DAFTAR PESERTA'!B43</f>
        <v>2409076043</v>
      </c>
      <c r="C46" s="6" t="str">
        <f>'INPUT DAFTAR PESERTA'!C43</f>
        <v>Bima Angga Pratama</v>
      </c>
      <c r="D46" s="23">
        <v>3.0</v>
      </c>
      <c r="E46" s="23">
        <v>3.0</v>
      </c>
      <c r="F46" s="23">
        <v>3.0</v>
      </c>
      <c r="G46" s="23">
        <v>1.0</v>
      </c>
      <c r="H46" s="22">
        <f t="shared" si="1"/>
        <v>60</v>
      </c>
      <c r="I46" s="23">
        <v>3.0</v>
      </c>
      <c r="J46" s="23">
        <v>3.0</v>
      </c>
      <c r="K46" s="23">
        <v>3.0</v>
      </c>
      <c r="L46" s="23">
        <v>1.0</v>
      </c>
      <c r="M46" s="22">
        <f t="shared" si="2"/>
        <v>60</v>
      </c>
      <c r="N46" s="22"/>
      <c r="O46" s="22"/>
      <c r="P46" s="22"/>
      <c r="Q46" s="22"/>
      <c r="R46" s="22">
        <f t="shared" si="3"/>
        <v>0</v>
      </c>
      <c r="S46" s="22"/>
      <c r="T46" s="22"/>
      <c r="U46" s="22"/>
      <c r="V46" s="22"/>
      <c r="W46" s="22">
        <f t="shared" si="4"/>
        <v>0</v>
      </c>
      <c r="X46" s="22"/>
      <c r="Y46" s="22"/>
      <c r="Z46" s="22"/>
      <c r="AA46" s="22"/>
      <c r="AB46" s="22">
        <f t="shared" si="5"/>
        <v>0</v>
      </c>
      <c r="AC46" s="22"/>
      <c r="AD46" s="22"/>
      <c r="AE46" s="22"/>
      <c r="AF46" s="22"/>
      <c r="AG46" s="22">
        <f t="shared" si="6"/>
        <v>0</v>
      </c>
    </row>
    <row r="47" ht="15.75" customHeight="1">
      <c r="A47" s="22">
        <f>'INPUT DAFTAR PESERTA'!A44</f>
        <v>42</v>
      </c>
      <c r="B47" s="22">
        <f>'INPUT DAFTAR PESERTA'!B44</f>
        <v>2409076044</v>
      </c>
      <c r="C47" s="6" t="str">
        <f>'INPUT DAFTAR PESERTA'!C44</f>
        <v>Muhammad Daffa Dzakwan</v>
      </c>
      <c r="D47" s="23">
        <v>3.0</v>
      </c>
      <c r="E47" s="23">
        <v>3.0</v>
      </c>
      <c r="F47" s="23">
        <v>3.0</v>
      </c>
      <c r="G47" s="23">
        <v>2.0</v>
      </c>
      <c r="H47" s="22">
        <f t="shared" si="1"/>
        <v>75</v>
      </c>
      <c r="I47" s="23">
        <v>2.0</v>
      </c>
      <c r="J47" s="23">
        <v>3.0</v>
      </c>
      <c r="K47" s="23">
        <v>3.0</v>
      </c>
      <c r="L47" s="23">
        <v>2.0</v>
      </c>
      <c r="M47" s="22">
        <f t="shared" si="2"/>
        <v>72</v>
      </c>
      <c r="N47" s="23">
        <v>3.0</v>
      </c>
      <c r="O47" s="23">
        <v>3.0</v>
      </c>
      <c r="P47" s="23">
        <v>3.0</v>
      </c>
      <c r="Q47" s="23">
        <v>2.0</v>
      </c>
      <c r="R47" s="22">
        <f t="shared" si="3"/>
        <v>75</v>
      </c>
      <c r="S47" s="23">
        <v>2.0</v>
      </c>
      <c r="T47" s="23">
        <v>3.0</v>
      </c>
      <c r="U47" s="23">
        <v>3.0</v>
      </c>
      <c r="V47" s="23">
        <v>2.0</v>
      </c>
      <c r="W47" s="22">
        <f t="shared" si="4"/>
        <v>72</v>
      </c>
      <c r="X47" s="23">
        <v>3.0</v>
      </c>
      <c r="Y47" s="23">
        <v>3.0</v>
      </c>
      <c r="Z47" s="23">
        <v>3.0</v>
      </c>
      <c r="AA47" s="23">
        <v>2.0</v>
      </c>
      <c r="AB47" s="22">
        <f t="shared" si="5"/>
        <v>75</v>
      </c>
      <c r="AC47" s="23">
        <v>0.0</v>
      </c>
      <c r="AD47" s="23">
        <v>0.0</v>
      </c>
      <c r="AE47" s="23">
        <v>0.0</v>
      </c>
      <c r="AF47" s="23">
        <v>0.0</v>
      </c>
      <c r="AG47" s="22">
        <f t="shared" si="6"/>
        <v>0</v>
      </c>
    </row>
    <row r="48" ht="15.75" customHeight="1">
      <c r="A48" s="22">
        <f>'INPUT DAFTAR PESERTA'!A45</f>
        <v>43</v>
      </c>
      <c r="B48" s="22">
        <f>'INPUT DAFTAR PESERTA'!B45</f>
        <v>2409076045</v>
      </c>
      <c r="C48" s="6" t="str">
        <f>'INPUT DAFTAR PESERTA'!C45</f>
        <v>Ahmad Purwono Aji</v>
      </c>
      <c r="D48" s="23">
        <v>3.0</v>
      </c>
      <c r="E48" s="23">
        <v>3.0</v>
      </c>
      <c r="F48" s="23">
        <v>3.0</v>
      </c>
      <c r="G48" s="23">
        <v>2.0</v>
      </c>
      <c r="H48" s="22">
        <f t="shared" si="1"/>
        <v>75</v>
      </c>
      <c r="I48" s="23">
        <v>2.0</v>
      </c>
      <c r="J48" s="23">
        <v>3.0</v>
      </c>
      <c r="K48" s="23">
        <v>3.0</v>
      </c>
      <c r="L48" s="23">
        <v>1.0</v>
      </c>
      <c r="M48" s="22">
        <f t="shared" si="2"/>
        <v>57</v>
      </c>
      <c r="N48" s="23">
        <v>3.0</v>
      </c>
      <c r="O48" s="23">
        <v>3.0</v>
      </c>
      <c r="P48" s="23">
        <v>2.0</v>
      </c>
      <c r="Q48" s="23">
        <v>1.0</v>
      </c>
      <c r="R48" s="22">
        <f t="shared" si="3"/>
        <v>54</v>
      </c>
      <c r="S48" s="23">
        <v>2.0</v>
      </c>
      <c r="T48" s="23">
        <v>3.0</v>
      </c>
      <c r="U48" s="23">
        <v>2.0</v>
      </c>
      <c r="V48" s="23">
        <v>2.0</v>
      </c>
      <c r="W48" s="22">
        <f t="shared" si="4"/>
        <v>66</v>
      </c>
      <c r="X48" s="23">
        <v>1.0</v>
      </c>
      <c r="Y48" s="23">
        <v>1.0</v>
      </c>
      <c r="Z48" s="23">
        <v>1.0</v>
      </c>
      <c r="AA48" s="23">
        <v>1.0</v>
      </c>
      <c r="AB48" s="22">
        <f t="shared" si="5"/>
        <v>30</v>
      </c>
      <c r="AC48" s="23">
        <v>0.0</v>
      </c>
      <c r="AD48" s="23">
        <v>0.0</v>
      </c>
      <c r="AE48" s="23">
        <v>0.0</v>
      </c>
      <c r="AF48" s="23">
        <v>0.0</v>
      </c>
      <c r="AG48" s="22">
        <f t="shared" si="6"/>
        <v>0</v>
      </c>
    </row>
    <row r="49" ht="15.75" customHeight="1">
      <c r="A49" s="22">
        <f>'INPUT DAFTAR PESERTA'!A46</f>
        <v>44</v>
      </c>
      <c r="B49" s="22">
        <f>'INPUT DAFTAR PESERTA'!B46</f>
        <v>2409076046</v>
      </c>
      <c r="C49" s="6" t="str">
        <f>'INPUT DAFTAR PESERTA'!C46</f>
        <v>Muhammad Hasan Hanif</v>
      </c>
      <c r="D49" s="23">
        <v>3.0</v>
      </c>
      <c r="E49" s="23">
        <v>3.0</v>
      </c>
      <c r="F49" s="23">
        <v>3.0</v>
      </c>
      <c r="G49" s="23">
        <v>2.0</v>
      </c>
      <c r="H49" s="22">
        <f t="shared" si="1"/>
        <v>75</v>
      </c>
      <c r="I49" s="23">
        <v>2.0</v>
      </c>
      <c r="J49" s="23">
        <v>3.0</v>
      </c>
      <c r="K49" s="23">
        <v>3.0</v>
      </c>
      <c r="L49" s="23">
        <v>0.0</v>
      </c>
      <c r="M49" s="22">
        <f t="shared" si="2"/>
        <v>42</v>
      </c>
      <c r="N49" s="23">
        <v>2.0</v>
      </c>
      <c r="O49" s="23">
        <v>2.0</v>
      </c>
      <c r="P49" s="23">
        <v>2.0</v>
      </c>
      <c r="Q49" s="23">
        <v>2.0</v>
      </c>
      <c r="R49" s="22">
        <f t="shared" si="3"/>
        <v>60</v>
      </c>
      <c r="S49" s="23">
        <v>2.0</v>
      </c>
      <c r="T49" s="23">
        <v>2.0</v>
      </c>
      <c r="U49" s="23">
        <v>3.0</v>
      </c>
      <c r="V49" s="23">
        <v>1.0</v>
      </c>
      <c r="W49" s="22">
        <f t="shared" si="4"/>
        <v>51</v>
      </c>
      <c r="X49" s="23">
        <v>1.0</v>
      </c>
      <c r="Y49" s="23">
        <v>1.0</v>
      </c>
      <c r="Z49" s="23">
        <v>1.0</v>
      </c>
      <c r="AA49" s="23">
        <v>1.0</v>
      </c>
      <c r="AB49" s="22">
        <f t="shared" si="5"/>
        <v>30</v>
      </c>
      <c r="AC49" s="23">
        <v>0.0</v>
      </c>
      <c r="AD49" s="23">
        <v>0.0</v>
      </c>
      <c r="AE49" s="23">
        <v>0.0</v>
      </c>
      <c r="AF49" s="23">
        <v>0.0</v>
      </c>
      <c r="AG49" s="22">
        <f t="shared" si="6"/>
        <v>0</v>
      </c>
    </row>
    <row r="50" ht="15.75" customHeight="1">
      <c r="A50" s="22">
        <f>'INPUT DAFTAR PESERTA'!A47</f>
        <v>45</v>
      </c>
      <c r="B50" s="22">
        <f>'INPUT DAFTAR PESERTA'!B47</f>
        <v>2409076047</v>
      </c>
      <c r="C50" s="6" t="str">
        <f>'INPUT DAFTAR PESERTA'!C47</f>
        <v>Gilbert Pasolon</v>
      </c>
      <c r="D50" s="23">
        <v>3.0</v>
      </c>
      <c r="E50" s="23">
        <v>3.0</v>
      </c>
      <c r="F50" s="23">
        <v>3.0</v>
      </c>
      <c r="G50" s="23">
        <v>2.0</v>
      </c>
      <c r="H50" s="22">
        <f t="shared" si="1"/>
        <v>75</v>
      </c>
      <c r="I50" s="23">
        <v>2.0</v>
      </c>
      <c r="J50" s="23">
        <v>3.0</v>
      </c>
      <c r="K50" s="23">
        <v>3.0</v>
      </c>
      <c r="L50" s="23">
        <v>2.0</v>
      </c>
      <c r="M50" s="22">
        <f t="shared" si="2"/>
        <v>72</v>
      </c>
      <c r="N50" s="23">
        <v>3.0</v>
      </c>
      <c r="O50" s="23">
        <v>3.0</v>
      </c>
      <c r="P50" s="23">
        <v>3.0</v>
      </c>
      <c r="Q50" s="23">
        <v>2.0</v>
      </c>
      <c r="R50" s="22">
        <f t="shared" si="3"/>
        <v>75</v>
      </c>
      <c r="S50" s="23">
        <v>2.0</v>
      </c>
      <c r="T50" s="23">
        <v>3.0</v>
      </c>
      <c r="U50" s="23">
        <v>3.0</v>
      </c>
      <c r="V50" s="23">
        <v>2.0</v>
      </c>
      <c r="W50" s="22">
        <f t="shared" si="4"/>
        <v>72</v>
      </c>
      <c r="X50" s="23">
        <v>3.0</v>
      </c>
      <c r="Y50" s="23">
        <v>3.0</v>
      </c>
      <c r="Z50" s="23">
        <v>3.0</v>
      </c>
      <c r="AA50" s="23">
        <v>2.0</v>
      </c>
      <c r="AB50" s="22">
        <f t="shared" si="5"/>
        <v>75</v>
      </c>
      <c r="AC50" s="23">
        <v>0.0</v>
      </c>
      <c r="AD50" s="23">
        <v>0.0</v>
      </c>
      <c r="AE50" s="23">
        <v>0.0</v>
      </c>
      <c r="AF50" s="23">
        <v>0.0</v>
      </c>
      <c r="AG50" s="22">
        <f t="shared" si="6"/>
        <v>0</v>
      </c>
    </row>
    <row r="51" ht="15.75" customHeight="1">
      <c r="A51" s="22">
        <f>'INPUT DAFTAR PESERTA'!A48</f>
        <v>46</v>
      </c>
      <c r="B51" s="22">
        <f>'INPUT DAFTAR PESERTA'!B48</f>
        <v>2409076048</v>
      </c>
      <c r="C51" s="6" t="str">
        <f>'INPUT DAFTAR PESERTA'!C48</f>
        <v>Achmad Fauzan At-Tamimi</v>
      </c>
      <c r="D51" s="23">
        <v>3.0</v>
      </c>
      <c r="E51" s="23">
        <v>2.0</v>
      </c>
      <c r="F51" s="23">
        <v>3.0</v>
      </c>
      <c r="G51" s="23">
        <v>3.0</v>
      </c>
      <c r="H51" s="22">
        <f t="shared" si="1"/>
        <v>84</v>
      </c>
      <c r="I51" s="23">
        <v>3.0</v>
      </c>
      <c r="J51" s="23">
        <v>3.0</v>
      </c>
      <c r="K51" s="23">
        <v>3.0</v>
      </c>
      <c r="L51" s="23">
        <v>3.0</v>
      </c>
      <c r="M51" s="22">
        <f t="shared" si="2"/>
        <v>90</v>
      </c>
      <c r="N51" s="23">
        <v>3.0</v>
      </c>
      <c r="O51" s="23">
        <v>3.0</v>
      </c>
      <c r="P51" s="23">
        <v>3.0</v>
      </c>
      <c r="Q51" s="23">
        <v>3.0</v>
      </c>
      <c r="R51" s="22">
        <f t="shared" si="3"/>
        <v>90</v>
      </c>
      <c r="S51" s="23">
        <v>3.0</v>
      </c>
      <c r="T51" s="23">
        <v>3.0</v>
      </c>
      <c r="U51" s="23">
        <v>3.0</v>
      </c>
      <c r="V51" s="23">
        <v>3.0</v>
      </c>
      <c r="W51" s="22">
        <f t="shared" si="4"/>
        <v>90</v>
      </c>
      <c r="X51" s="23">
        <v>3.0</v>
      </c>
      <c r="Y51" s="23">
        <v>3.0</v>
      </c>
      <c r="Z51" s="23">
        <v>3.0</v>
      </c>
      <c r="AA51" s="23">
        <v>3.0</v>
      </c>
      <c r="AB51" s="22">
        <f t="shared" si="5"/>
        <v>90</v>
      </c>
      <c r="AC51" s="23">
        <v>1.0</v>
      </c>
      <c r="AD51" s="23">
        <v>2.0</v>
      </c>
      <c r="AE51" s="23">
        <v>2.0</v>
      </c>
      <c r="AF51" s="23">
        <v>1.0</v>
      </c>
      <c r="AG51" s="22">
        <f t="shared" si="6"/>
        <v>42</v>
      </c>
    </row>
    <row r="52" ht="15.75" customHeight="1">
      <c r="A52" s="22">
        <f>'INPUT DAFTAR PESERTA'!A49</f>
        <v>47</v>
      </c>
      <c r="B52" s="22">
        <f>'INPUT DAFTAR PESERTA'!B49</f>
        <v>2409076049</v>
      </c>
      <c r="C52" s="6" t="str">
        <f>'INPUT DAFTAR PESERTA'!C49</f>
        <v>Mahmud Abdul Aziz Qoby</v>
      </c>
      <c r="D52" s="23">
        <v>3.0</v>
      </c>
      <c r="E52" s="23">
        <v>2.0</v>
      </c>
      <c r="F52" s="23">
        <v>3.0</v>
      </c>
      <c r="G52" s="23">
        <v>3.0</v>
      </c>
      <c r="H52" s="22">
        <f t="shared" si="1"/>
        <v>84</v>
      </c>
      <c r="I52" s="23">
        <v>3.0</v>
      </c>
      <c r="J52" s="23">
        <v>3.0</v>
      </c>
      <c r="K52" s="23">
        <v>3.0</v>
      </c>
      <c r="L52" s="23">
        <v>1.0</v>
      </c>
      <c r="M52" s="22">
        <f t="shared" si="2"/>
        <v>60</v>
      </c>
      <c r="N52" s="23">
        <v>3.0</v>
      </c>
      <c r="O52" s="23">
        <v>3.0</v>
      </c>
      <c r="P52" s="23">
        <v>3.0</v>
      </c>
      <c r="Q52" s="23">
        <v>2.0</v>
      </c>
      <c r="R52" s="22">
        <f t="shared" si="3"/>
        <v>75</v>
      </c>
      <c r="S52" s="23">
        <v>2.0</v>
      </c>
      <c r="T52" s="23">
        <v>3.0</v>
      </c>
      <c r="U52" s="23">
        <v>2.0</v>
      </c>
      <c r="V52" s="23">
        <v>3.0</v>
      </c>
      <c r="W52" s="22">
        <f t="shared" si="4"/>
        <v>81</v>
      </c>
      <c r="X52" s="23">
        <v>1.0</v>
      </c>
      <c r="Y52" s="23">
        <v>1.0</v>
      </c>
      <c r="Z52" s="23">
        <v>1.0</v>
      </c>
      <c r="AA52" s="23">
        <v>1.0</v>
      </c>
      <c r="AB52" s="22">
        <f t="shared" si="5"/>
        <v>30</v>
      </c>
      <c r="AC52" s="23">
        <v>2.0</v>
      </c>
      <c r="AD52" s="23">
        <v>3.0</v>
      </c>
      <c r="AE52" s="23">
        <v>2.0</v>
      </c>
      <c r="AF52" s="23">
        <v>1.0</v>
      </c>
      <c r="AG52" s="22">
        <f t="shared" si="6"/>
        <v>51</v>
      </c>
    </row>
    <row r="53" ht="15.75" customHeight="1">
      <c r="A53" s="22">
        <f>'INPUT DAFTAR PESERTA'!A50</f>
        <v>48</v>
      </c>
      <c r="B53" s="22">
        <f>'INPUT DAFTAR PESERTA'!B50</f>
        <v>2409076050</v>
      </c>
      <c r="C53" s="6" t="str">
        <f>'INPUT DAFTAR PESERTA'!C50</f>
        <v>Gde Nookie Carl Arya Susila</v>
      </c>
      <c r="D53" s="23">
        <v>3.0</v>
      </c>
      <c r="E53" s="23">
        <v>2.0</v>
      </c>
      <c r="F53" s="23">
        <v>3.0</v>
      </c>
      <c r="G53" s="23">
        <v>3.0</v>
      </c>
      <c r="H53" s="22">
        <f t="shared" si="1"/>
        <v>84</v>
      </c>
      <c r="I53" s="23">
        <v>3.0</v>
      </c>
      <c r="J53" s="23">
        <v>3.0</v>
      </c>
      <c r="K53" s="23">
        <v>3.0</v>
      </c>
      <c r="L53" s="23">
        <v>2.0</v>
      </c>
      <c r="M53" s="22">
        <f t="shared" si="2"/>
        <v>75</v>
      </c>
      <c r="N53" s="23">
        <v>3.0</v>
      </c>
      <c r="O53" s="23">
        <v>3.0</v>
      </c>
      <c r="P53" s="23">
        <v>3.0</v>
      </c>
      <c r="Q53" s="23">
        <v>3.0</v>
      </c>
      <c r="R53" s="22">
        <f t="shared" si="3"/>
        <v>90</v>
      </c>
      <c r="S53" s="23">
        <v>2.0</v>
      </c>
      <c r="T53" s="23">
        <v>3.0</v>
      </c>
      <c r="U53" s="23">
        <v>2.0</v>
      </c>
      <c r="V53" s="23">
        <v>3.0</v>
      </c>
      <c r="W53" s="22">
        <f t="shared" si="4"/>
        <v>81</v>
      </c>
      <c r="X53" s="23">
        <v>3.0</v>
      </c>
      <c r="Y53" s="23">
        <v>3.0</v>
      </c>
      <c r="Z53" s="23">
        <v>3.0</v>
      </c>
      <c r="AA53" s="23">
        <v>3.0</v>
      </c>
      <c r="AB53" s="22">
        <f t="shared" si="5"/>
        <v>90</v>
      </c>
      <c r="AC53" s="23">
        <v>2.0</v>
      </c>
      <c r="AD53" s="23">
        <v>3.0</v>
      </c>
      <c r="AE53" s="23">
        <v>3.0</v>
      </c>
      <c r="AF53" s="23">
        <v>1.0</v>
      </c>
      <c r="AG53" s="22">
        <f t="shared" si="6"/>
        <v>57</v>
      </c>
    </row>
    <row r="54" ht="15.75" customHeight="1">
      <c r="A54" s="22">
        <f>'INPUT DAFTAR PESERTA'!A51</f>
        <v>49</v>
      </c>
      <c r="B54" s="22">
        <f>'INPUT DAFTAR PESERTA'!B51</f>
        <v>2409076051</v>
      </c>
      <c r="C54" s="6" t="str">
        <f>'INPUT DAFTAR PESERTA'!C51</f>
        <v>Muhammad Afrizal</v>
      </c>
      <c r="D54" s="22"/>
      <c r="E54" s="22"/>
      <c r="F54" s="22"/>
      <c r="G54" s="22"/>
      <c r="H54" s="22">
        <f t="shared" si="1"/>
        <v>0</v>
      </c>
      <c r="I54" s="22"/>
      <c r="J54" s="22"/>
      <c r="K54" s="22"/>
      <c r="L54" s="22"/>
      <c r="M54" s="22">
        <f t="shared" si="2"/>
        <v>0</v>
      </c>
      <c r="N54" s="22"/>
      <c r="O54" s="22"/>
      <c r="P54" s="22"/>
      <c r="Q54" s="22"/>
      <c r="R54" s="22">
        <f t="shared" si="3"/>
        <v>0</v>
      </c>
      <c r="S54" s="22"/>
      <c r="T54" s="22"/>
      <c r="U54" s="22"/>
      <c r="V54" s="22"/>
      <c r="W54" s="22">
        <f t="shared" si="4"/>
        <v>0</v>
      </c>
      <c r="X54" s="22"/>
      <c r="Y54" s="22"/>
      <c r="Z54" s="22"/>
      <c r="AA54" s="22"/>
      <c r="AB54" s="22">
        <f t="shared" si="5"/>
        <v>0</v>
      </c>
      <c r="AC54" s="23"/>
      <c r="AD54" s="23"/>
      <c r="AE54" s="23"/>
      <c r="AF54" s="23"/>
      <c r="AG54" s="22">
        <f t="shared" si="6"/>
        <v>0</v>
      </c>
    </row>
    <row r="55" ht="15.75" customHeight="1">
      <c r="A55" s="22">
        <f>'INPUT DAFTAR PESERTA'!A52</f>
        <v>50</v>
      </c>
      <c r="B55" s="22">
        <f>'INPUT DAFTAR PESERTA'!B52</f>
        <v>2409076052</v>
      </c>
      <c r="C55" s="6" t="str">
        <f>'INPUT DAFTAR PESERTA'!C52</f>
        <v>Rezky Yutabse</v>
      </c>
      <c r="D55" s="23">
        <v>3.0</v>
      </c>
      <c r="E55" s="23">
        <v>3.0</v>
      </c>
      <c r="F55" s="23">
        <v>3.0</v>
      </c>
      <c r="G55" s="23">
        <v>3.0</v>
      </c>
      <c r="H55" s="22">
        <f t="shared" si="1"/>
        <v>90</v>
      </c>
      <c r="I55" s="23">
        <v>3.0</v>
      </c>
      <c r="J55" s="23">
        <v>3.0</v>
      </c>
      <c r="K55" s="23">
        <v>3.0</v>
      </c>
      <c r="L55" s="23">
        <v>2.0</v>
      </c>
      <c r="M55" s="22">
        <f t="shared" si="2"/>
        <v>75</v>
      </c>
      <c r="N55" s="23">
        <v>3.0</v>
      </c>
      <c r="O55" s="23">
        <v>3.0</v>
      </c>
      <c r="P55" s="23">
        <v>3.0</v>
      </c>
      <c r="Q55" s="23">
        <v>2.0</v>
      </c>
      <c r="R55" s="22">
        <f t="shared" si="3"/>
        <v>75</v>
      </c>
      <c r="S55" s="23">
        <v>2.0</v>
      </c>
      <c r="T55" s="23">
        <v>3.0</v>
      </c>
      <c r="U55" s="23">
        <v>3.0</v>
      </c>
      <c r="V55" s="23">
        <v>3.0</v>
      </c>
      <c r="W55" s="22">
        <f t="shared" si="4"/>
        <v>87</v>
      </c>
      <c r="X55" s="23">
        <v>3.0</v>
      </c>
      <c r="Y55" s="23">
        <v>3.0</v>
      </c>
      <c r="Z55" s="23">
        <v>3.0</v>
      </c>
      <c r="AA55" s="23">
        <v>3.0</v>
      </c>
      <c r="AB55" s="22">
        <f t="shared" si="5"/>
        <v>90</v>
      </c>
      <c r="AC55" s="23">
        <v>3.0</v>
      </c>
      <c r="AD55" s="23">
        <v>3.0</v>
      </c>
      <c r="AE55" s="23">
        <v>2.0</v>
      </c>
      <c r="AF55" s="23">
        <v>1.0</v>
      </c>
      <c r="AG55" s="22">
        <f t="shared" si="6"/>
        <v>54</v>
      </c>
    </row>
    <row r="56" ht="15.75" customHeight="1">
      <c r="A56" s="22">
        <f>'INPUT DAFTAR PESERTA'!A53</f>
        <v>51</v>
      </c>
      <c r="B56" s="22">
        <f>'INPUT DAFTAR PESERTA'!B53</f>
        <v>2409076053</v>
      </c>
      <c r="C56" s="6" t="str">
        <f>'INPUT DAFTAR PESERTA'!C53</f>
        <v>Dimas Wijaya Muliangto</v>
      </c>
      <c r="D56" s="23">
        <v>3.0</v>
      </c>
      <c r="E56" s="23">
        <v>3.0</v>
      </c>
      <c r="F56" s="23">
        <v>3.0</v>
      </c>
      <c r="G56" s="23">
        <v>3.0</v>
      </c>
      <c r="H56" s="22">
        <f t="shared" si="1"/>
        <v>90</v>
      </c>
      <c r="I56" s="23">
        <v>3.0</v>
      </c>
      <c r="J56" s="23">
        <v>3.0</v>
      </c>
      <c r="K56" s="23">
        <v>3.0</v>
      </c>
      <c r="L56" s="23">
        <v>2.0</v>
      </c>
      <c r="M56" s="22">
        <f t="shared" si="2"/>
        <v>75</v>
      </c>
      <c r="N56" s="23">
        <v>3.0</v>
      </c>
      <c r="O56" s="23">
        <v>3.0</v>
      </c>
      <c r="P56" s="23">
        <v>3.0</v>
      </c>
      <c r="Q56" s="23">
        <v>3.0</v>
      </c>
      <c r="R56" s="22">
        <f t="shared" si="3"/>
        <v>90</v>
      </c>
      <c r="S56" s="23">
        <v>2.0</v>
      </c>
      <c r="T56" s="23">
        <v>3.0</v>
      </c>
      <c r="U56" s="23">
        <v>2.0</v>
      </c>
      <c r="V56" s="23">
        <v>3.0</v>
      </c>
      <c r="W56" s="22">
        <f t="shared" si="4"/>
        <v>81</v>
      </c>
      <c r="X56" s="23">
        <v>3.0</v>
      </c>
      <c r="Y56" s="23">
        <v>3.0</v>
      </c>
      <c r="Z56" s="23">
        <v>3.0</v>
      </c>
      <c r="AA56" s="23">
        <v>3.0</v>
      </c>
      <c r="AB56" s="22">
        <f t="shared" si="5"/>
        <v>90</v>
      </c>
      <c r="AC56" s="23">
        <v>3.0</v>
      </c>
      <c r="AD56" s="23">
        <v>3.0</v>
      </c>
      <c r="AE56" s="23">
        <v>2.0</v>
      </c>
      <c r="AF56" s="23">
        <v>1.0</v>
      </c>
      <c r="AG56" s="22">
        <f t="shared" si="6"/>
        <v>54</v>
      </c>
    </row>
    <row r="57" ht="15.75" customHeight="1">
      <c r="A57" s="22">
        <f>'INPUT DAFTAR PESERTA'!A54</f>
        <v>52</v>
      </c>
      <c r="B57" s="22">
        <f>'INPUT DAFTAR PESERTA'!B54</f>
        <v>2409076054</v>
      </c>
      <c r="C57" s="6" t="str">
        <f>'INPUT DAFTAR PESERTA'!C54</f>
        <v>Muhammad Aldi</v>
      </c>
      <c r="D57" s="23">
        <v>3.0</v>
      </c>
      <c r="E57" s="23">
        <v>3.0</v>
      </c>
      <c r="F57" s="23">
        <v>3.0</v>
      </c>
      <c r="G57" s="23">
        <v>3.0</v>
      </c>
      <c r="H57" s="22">
        <f t="shared" si="1"/>
        <v>90</v>
      </c>
      <c r="I57" s="23">
        <v>3.0</v>
      </c>
      <c r="J57" s="23">
        <v>3.0</v>
      </c>
      <c r="K57" s="23">
        <v>3.0</v>
      </c>
      <c r="L57" s="23">
        <v>3.0</v>
      </c>
      <c r="M57" s="22">
        <f t="shared" si="2"/>
        <v>90</v>
      </c>
      <c r="N57" s="23">
        <v>3.0</v>
      </c>
      <c r="O57" s="23">
        <v>3.0</v>
      </c>
      <c r="P57" s="23">
        <v>3.0</v>
      </c>
      <c r="Q57" s="23">
        <v>3.0</v>
      </c>
      <c r="R57" s="22">
        <f t="shared" si="3"/>
        <v>90</v>
      </c>
      <c r="S57" s="23">
        <v>2.0</v>
      </c>
      <c r="T57" s="23">
        <v>3.0</v>
      </c>
      <c r="U57" s="23">
        <v>3.0</v>
      </c>
      <c r="V57" s="23">
        <v>2.0</v>
      </c>
      <c r="W57" s="22">
        <f t="shared" si="4"/>
        <v>72</v>
      </c>
      <c r="X57" s="23">
        <v>3.0</v>
      </c>
      <c r="Y57" s="23">
        <v>3.0</v>
      </c>
      <c r="Z57" s="23">
        <v>3.0</v>
      </c>
      <c r="AA57" s="23">
        <v>3.0</v>
      </c>
      <c r="AB57" s="22">
        <f t="shared" si="5"/>
        <v>90</v>
      </c>
      <c r="AC57" s="23">
        <v>2.0</v>
      </c>
      <c r="AD57" s="23">
        <v>2.0</v>
      </c>
      <c r="AE57" s="23">
        <v>3.0</v>
      </c>
      <c r="AF57" s="23">
        <v>1.0</v>
      </c>
      <c r="AG57" s="22">
        <f t="shared" si="6"/>
        <v>51</v>
      </c>
    </row>
    <row r="58" ht="15.75" customHeight="1">
      <c r="A58" s="22">
        <f>'INPUT DAFTAR PESERTA'!A55</f>
        <v>53</v>
      </c>
      <c r="B58" s="22">
        <f>'INPUT DAFTAR PESERTA'!B55</f>
        <v>2409076056</v>
      </c>
      <c r="C58" s="6" t="str">
        <f>'INPUT DAFTAR PESERTA'!C55</f>
        <v>Rivaldy Paredanun</v>
      </c>
      <c r="D58" s="23">
        <v>3.0</v>
      </c>
      <c r="E58" s="23">
        <v>3.0</v>
      </c>
      <c r="F58" s="23">
        <v>3.0</v>
      </c>
      <c r="G58" s="23">
        <v>3.0</v>
      </c>
      <c r="H58" s="22">
        <f t="shared" si="1"/>
        <v>90</v>
      </c>
      <c r="I58" s="23">
        <v>3.0</v>
      </c>
      <c r="J58" s="23">
        <v>3.0</v>
      </c>
      <c r="K58" s="23">
        <v>3.0</v>
      </c>
      <c r="L58" s="23">
        <v>2.0</v>
      </c>
      <c r="M58" s="22">
        <f t="shared" si="2"/>
        <v>75</v>
      </c>
      <c r="N58" s="23">
        <v>3.0</v>
      </c>
      <c r="O58" s="23">
        <v>3.0</v>
      </c>
      <c r="P58" s="23">
        <v>3.0</v>
      </c>
      <c r="Q58" s="23">
        <v>1.0</v>
      </c>
      <c r="R58" s="22">
        <f t="shared" si="3"/>
        <v>60</v>
      </c>
      <c r="S58" s="23">
        <v>2.0</v>
      </c>
      <c r="T58" s="23">
        <v>2.0</v>
      </c>
      <c r="U58" s="23">
        <v>2.0</v>
      </c>
      <c r="V58" s="23">
        <v>2.0</v>
      </c>
      <c r="W58" s="22">
        <f t="shared" si="4"/>
        <v>60</v>
      </c>
      <c r="X58" s="23">
        <v>1.0</v>
      </c>
      <c r="Y58" s="23">
        <v>1.0</v>
      </c>
      <c r="Z58" s="23">
        <v>1.0</v>
      </c>
      <c r="AA58" s="23">
        <v>1.0</v>
      </c>
      <c r="AB58" s="22">
        <f t="shared" si="5"/>
        <v>30</v>
      </c>
      <c r="AC58" s="23">
        <v>1.0</v>
      </c>
      <c r="AD58" s="23">
        <v>2.0</v>
      </c>
      <c r="AE58" s="23">
        <v>2.0</v>
      </c>
      <c r="AF58" s="23">
        <v>1.0</v>
      </c>
      <c r="AG58" s="22">
        <f t="shared" si="6"/>
        <v>42</v>
      </c>
    </row>
    <row r="59" ht="15.75" customHeight="1">
      <c r="A59" s="22">
        <f>'INPUT DAFTAR PESERTA'!A56</f>
        <v>54</v>
      </c>
      <c r="B59" s="22">
        <f>'INPUT DAFTAR PESERTA'!B56</f>
        <v>2409076024</v>
      </c>
      <c r="C59" s="6" t="str">
        <f>'INPUT DAFTAR PESERTA'!C56</f>
        <v>Muhammad Zacky</v>
      </c>
      <c r="D59" s="23">
        <v>3.0</v>
      </c>
      <c r="E59" s="23">
        <v>3.0</v>
      </c>
      <c r="F59" s="23">
        <v>3.0</v>
      </c>
      <c r="G59" s="23">
        <v>3.0</v>
      </c>
      <c r="H59" s="22">
        <f t="shared" si="1"/>
        <v>90</v>
      </c>
      <c r="I59" s="23">
        <v>3.0</v>
      </c>
      <c r="J59" s="23">
        <v>3.0</v>
      </c>
      <c r="K59" s="23">
        <v>3.0</v>
      </c>
      <c r="L59" s="23">
        <v>3.0</v>
      </c>
      <c r="M59" s="22">
        <f t="shared" si="2"/>
        <v>90</v>
      </c>
      <c r="N59" s="23">
        <v>3.0</v>
      </c>
      <c r="O59" s="23">
        <v>3.0</v>
      </c>
      <c r="P59" s="23">
        <v>3.0</v>
      </c>
      <c r="Q59" s="23">
        <v>3.0</v>
      </c>
      <c r="R59" s="22">
        <f t="shared" si="3"/>
        <v>90</v>
      </c>
      <c r="S59" s="23">
        <v>2.0</v>
      </c>
      <c r="T59" s="23">
        <v>3.0</v>
      </c>
      <c r="U59" s="23">
        <v>2.0</v>
      </c>
      <c r="V59" s="23">
        <v>3.0</v>
      </c>
      <c r="W59" s="22">
        <f t="shared" si="4"/>
        <v>81</v>
      </c>
      <c r="X59" s="23">
        <v>3.0</v>
      </c>
      <c r="Y59" s="23">
        <v>3.0</v>
      </c>
      <c r="Z59" s="23">
        <v>3.0</v>
      </c>
      <c r="AA59" s="23">
        <v>3.0</v>
      </c>
      <c r="AB59" s="22">
        <f t="shared" si="5"/>
        <v>90</v>
      </c>
      <c r="AC59" s="23">
        <v>3.0</v>
      </c>
      <c r="AD59" s="23">
        <v>3.0</v>
      </c>
      <c r="AE59" s="23">
        <v>2.0</v>
      </c>
      <c r="AF59" s="23">
        <v>2.0</v>
      </c>
      <c r="AG59" s="22">
        <f t="shared" si="6"/>
        <v>69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X3:AB3"/>
    <mergeCell ref="AC3:AG3"/>
    <mergeCell ref="A3:A5"/>
    <mergeCell ref="B3:B5"/>
    <mergeCell ref="C3:C5"/>
    <mergeCell ref="D3:H3"/>
    <mergeCell ref="I3:M3"/>
    <mergeCell ref="N3:R3"/>
    <mergeCell ref="S3:W3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8" width="7.29"/>
    <col customWidth="1" min="9" max="9" width="6.43"/>
    <col customWidth="1" min="10" max="10" width="12.86"/>
    <col customWidth="1" min="11" max="11" width="10.71"/>
    <col customWidth="1" min="12" max="17" width="7.29"/>
    <col customWidth="1" min="18" max="18" width="10.71"/>
    <col customWidth="1" min="19" max="24" width="7.29"/>
    <col customWidth="1" min="25" max="25" width="10.71"/>
    <col customWidth="1" min="26" max="31" width="7.29"/>
    <col customWidth="1" min="32" max="32" width="10.71"/>
  </cols>
  <sheetData>
    <row r="1">
      <c r="A1" s="30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ht="18.75" customHeight="1">
      <c r="A3" s="16" t="s">
        <v>1</v>
      </c>
      <c r="B3" s="16" t="s">
        <v>2</v>
      </c>
      <c r="C3" s="16" t="s">
        <v>77</v>
      </c>
      <c r="D3" s="31" t="s">
        <v>93</v>
      </c>
      <c r="E3" s="18"/>
      <c r="F3" s="18"/>
      <c r="G3" s="18"/>
      <c r="H3" s="18"/>
      <c r="I3" s="18"/>
      <c r="J3" s="18"/>
      <c r="K3" s="19"/>
      <c r="L3" s="31" t="s">
        <v>94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42"/>
      <c r="Z3" s="31" t="s">
        <v>95</v>
      </c>
      <c r="AA3" s="18"/>
      <c r="AB3" s="18"/>
      <c r="AC3" s="18"/>
      <c r="AD3" s="18"/>
      <c r="AE3" s="18"/>
      <c r="AF3" s="19"/>
    </row>
    <row r="4" ht="17.25" customHeight="1">
      <c r="A4" s="39"/>
      <c r="B4" s="39"/>
      <c r="C4" s="39"/>
      <c r="D4" s="31" t="s">
        <v>96</v>
      </c>
      <c r="E4" s="18"/>
      <c r="F4" s="18"/>
      <c r="G4" s="18"/>
      <c r="H4" s="18"/>
      <c r="I4" s="18"/>
      <c r="J4" s="19"/>
      <c r="K4" s="21" t="s">
        <v>97</v>
      </c>
      <c r="L4" s="31" t="s">
        <v>98</v>
      </c>
      <c r="M4" s="18"/>
      <c r="N4" s="18"/>
      <c r="O4" s="18"/>
      <c r="P4" s="18"/>
      <c r="Q4" s="18"/>
      <c r="R4" s="19"/>
      <c r="S4" s="31" t="s">
        <v>99</v>
      </c>
      <c r="T4" s="18"/>
      <c r="U4" s="18"/>
      <c r="V4" s="18"/>
      <c r="W4" s="18"/>
      <c r="X4" s="18"/>
      <c r="Y4" s="19"/>
      <c r="Z4" s="31" t="s">
        <v>100</v>
      </c>
      <c r="AA4" s="18"/>
      <c r="AB4" s="18"/>
      <c r="AC4" s="18"/>
      <c r="AD4" s="18"/>
      <c r="AE4" s="18"/>
      <c r="AF4" s="19"/>
    </row>
    <row r="5">
      <c r="A5" s="20"/>
      <c r="B5" s="20"/>
      <c r="C5" s="20"/>
      <c r="D5" s="43">
        <v>1.0</v>
      </c>
      <c r="E5" s="43">
        <v>2.0</v>
      </c>
      <c r="F5" s="43">
        <v>3.0</v>
      </c>
      <c r="G5" s="43">
        <v>4.0</v>
      </c>
      <c r="H5" s="43">
        <v>5.0</v>
      </c>
      <c r="I5" s="43">
        <v>6.0</v>
      </c>
      <c r="J5" s="43" t="s">
        <v>78</v>
      </c>
      <c r="K5" s="43" t="s">
        <v>78</v>
      </c>
      <c r="L5" s="43">
        <v>1.0</v>
      </c>
      <c r="M5" s="43">
        <v>2.0</v>
      </c>
      <c r="N5" s="43">
        <v>3.0</v>
      </c>
      <c r="O5" s="43">
        <v>4.0</v>
      </c>
      <c r="P5" s="43">
        <v>5.0</v>
      </c>
      <c r="Q5" s="43">
        <v>6.0</v>
      </c>
      <c r="R5" s="43" t="s">
        <v>78</v>
      </c>
      <c r="S5" s="43">
        <v>1.0</v>
      </c>
      <c r="T5" s="43">
        <v>2.0</v>
      </c>
      <c r="U5" s="43">
        <v>3.0</v>
      </c>
      <c r="V5" s="43">
        <v>4.0</v>
      </c>
      <c r="W5" s="43">
        <v>5.0</v>
      </c>
      <c r="X5" s="43">
        <v>6.0</v>
      </c>
      <c r="Y5" s="43" t="s">
        <v>78</v>
      </c>
      <c r="Z5" s="43">
        <v>1.0</v>
      </c>
      <c r="AA5" s="43">
        <v>2.0</v>
      </c>
      <c r="AB5" s="43">
        <v>3.0</v>
      </c>
      <c r="AC5" s="43">
        <v>4.0</v>
      </c>
      <c r="AD5" s="43">
        <v>5.0</v>
      </c>
      <c r="AE5" s="43">
        <v>6.0</v>
      </c>
      <c r="AF5" s="43" t="s">
        <v>78</v>
      </c>
    </row>
    <row r="6">
      <c r="A6" s="22">
        <f>'INPUT DAFTAR PESERTA'!A3</f>
        <v>1</v>
      </c>
      <c r="B6" s="22">
        <f>'INPUT DAFTAR PESERTA'!B3</f>
        <v>2409076001</v>
      </c>
      <c r="C6" s="6" t="str">
        <f>'INPUT DAFTAR PESERTA'!C3</f>
        <v>Muhammad Jodika</v>
      </c>
      <c r="D6" s="23">
        <v>100.0</v>
      </c>
      <c r="E6" s="23">
        <v>100.0</v>
      </c>
      <c r="F6" s="23">
        <v>100.0</v>
      </c>
      <c r="G6" s="23">
        <v>100.0</v>
      </c>
      <c r="H6" s="23">
        <v>100.0</v>
      </c>
      <c r="I6" s="23">
        <v>100.0</v>
      </c>
      <c r="J6" s="24">
        <f t="shared" ref="J6:J59" si="1">(D6+E6+F6+G6+H6+I6)/6</f>
        <v>100</v>
      </c>
      <c r="K6" s="33">
        <f>'PENULISAN LAPORAN'!L5</f>
        <v>91.33333333</v>
      </c>
      <c r="L6" s="44">
        <v>94.0</v>
      </c>
      <c r="M6" s="44">
        <v>94.0</v>
      </c>
      <c r="N6" s="44">
        <v>94.0</v>
      </c>
      <c r="O6" s="44">
        <v>94.0</v>
      </c>
      <c r="P6" s="44">
        <v>94.0</v>
      </c>
      <c r="Q6" s="44">
        <v>94.0</v>
      </c>
      <c r="R6" s="22">
        <f t="shared" ref="R6:R59" si="2">(L6+M6+N6+O6+P6+Q6)/6</f>
        <v>94</v>
      </c>
      <c r="S6" s="23">
        <v>80.0</v>
      </c>
      <c r="T6" s="23">
        <v>80.0</v>
      </c>
      <c r="U6" s="23">
        <v>100.0</v>
      </c>
      <c r="V6" s="23">
        <v>30.0</v>
      </c>
      <c r="W6" s="23">
        <v>80.0</v>
      </c>
      <c r="X6" s="23">
        <v>80.0</v>
      </c>
      <c r="Y6" s="24">
        <f t="shared" ref="Y6:Y59" si="3">(S6+T6+U6+V6+X6+W6)/6</f>
        <v>75</v>
      </c>
      <c r="Z6" s="22">
        <f> 'KEMAMPUAN PRAKTIKUM'!H6</f>
        <v>78</v>
      </c>
      <c r="AA6" s="22">
        <f> 'KEMAMPUAN PRAKTIKUM'!M6</f>
        <v>84</v>
      </c>
      <c r="AB6" s="22">
        <f> 'KEMAMPUAN PRAKTIKUM'!R6</f>
        <v>90</v>
      </c>
      <c r="AC6" s="22">
        <f> 'KEMAMPUAN PRAKTIKUM'!W6</f>
        <v>81</v>
      </c>
      <c r="AD6" s="23">
        <f> 'KEMAMPUAN PRAKTIKUM'!AB6</f>
        <v>90</v>
      </c>
      <c r="AE6" s="22">
        <f> 'KEMAMPUAN PRAKTIKUM'!AG6</f>
        <v>90</v>
      </c>
      <c r="AF6" s="24">
        <f t="shared" ref="AF6:AF59" si="4">AVERAGE(Z6:AE6)</f>
        <v>85.5</v>
      </c>
    </row>
    <row r="7">
      <c r="A7" s="22">
        <f>'INPUT DAFTAR PESERTA'!A4</f>
        <v>2</v>
      </c>
      <c r="B7" s="22">
        <f>'INPUT DAFTAR PESERTA'!B4</f>
        <v>2409076002</v>
      </c>
      <c r="C7" s="6" t="str">
        <f>'INPUT DAFTAR PESERTA'!C4</f>
        <v>Muhammad Rifqi Maulana</v>
      </c>
      <c r="D7" s="23">
        <v>100.0</v>
      </c>
      <c r="E7" s="23">
        <v>100.0</v>
      </c>
      <c r="F7" s="23">
        <v>100.0</v>
      </c>
      <c r="G7" s="23">
        <v>100.0</v>
      </c>
      <c r="H7" s="23">
        <v>100.0</v>
      </c>
      <c r="I7" s="23">
        <v>100.0</v>
      </c>
      <c r="J7" s="24">
        <f t="shared" si="1"/>
        <v>100</v>
      </c>
      <c r="K7" s="33">
        <f>'PENULISAN LAPORAN'!L6</f>
        <v>80.125</v>
      </c>
      <c r="L7" s="45">
        <v>54.0</v>
      </c>
      <c r="M7" s="45">
        <v>54.0</v>
      </c>
      <c r="N7" s="45">
        <v>54.0</v>
      </c>
      <c r="O7" s="45">
        <v>54.0</v>
      </c>
      <c r="P7" s="45">
        <v>54.0</v>
      </c>
      <c r="Q7" s="45">
        <v>54.0</v>
      </c>
      <c r="R7" s="22">
        <f t="shared" si="2"/>
        <v>54</v>
      </c>
      <c r="S7" s="23">
        <v>70.0</v>
      </c>
      <c r="T7" s="23">
        <v>70.0</v>
      </c>
      <c r="U7" s="23">
        <v>100.0</v>
      </c>
      <c r="V7" s="23">
        <v>60.0</v>
      </c>
      <c r="W7" s="23">
        <v>70.0</v>
      </c>
      <c r="X7" s="23">
        <v>70.0</v>
      </c>
      <c r="Y7" s="24">
        <f t="shared" si="3"/>
        <v>73.33333333</v>
      </c>
      <c r="Z7" s="22">
        <f> 'KEMAMPUAN PRAKTIKUM'!H7</f>
        <v>84</v>
      </c>
      <c r="AA7" s="22">
        <f> 'KEMAMPUAN PRAKTIKUM'!M7</f>
        <v>69</v>
      </c>
      <c r="AB7" s="22">
        <f> 'KEMAMPUAN PRAKTIKUM'!R7</f>
        <v>90</v>
      </c>
      <c r="AC7" s="22">
        <f> 'KEMAMPUAN PRAKTIKUM'!W7</f>
        <v>81</v>
      </c>
      <c r="AD7" s="23">
        <f> 'KEMAMPUAN PRAKTIKUM'!AB7</f>
        <v>90</v>
      </c>
      <c r="AE7" s="22">
        <f> 'KEMAMPUAN PRAKTIKUM'!AG7</f>
        <v>45</v>
      </c>
      <c r="AF7" s="24">
        <f t="shared" si="4"/>
        <v>76.5</v>
      </c>
    </row>
    <row r="8">
      <c r="A8" s="22">
        <f>'INPUT DAFTAR PESERTA'!A5</f>
        <v>3</v>
      </c>
      <c r="B8" s="22">
        <f>'INPUT DAFTAR PESERTA'!B5</f>
        <v>2409076003</v>
      </c>
      <c r="C8" s="6" t="str">
        <f>'INPUT DAFTAR PESERTA'!C5</f>
        <v>Andhika Pratama</v>
      </c>
      <c r="D8" s="23">
        <v>100.0</v>
      </c>
      <c r="E8" s="23">
        <v>100.0</v>
      </c>
      <c r="F8" s="23">
        <v>100.0</v>
      </c>
      <c r="G8" s="23">
        <v>100.0</v>
      </c>
      <c r="H8" s="23">
        <v>100.0</v>
      </c>
      <c r="I8" s="23">
        <v>100.0</v>
      </c>
      <c r="J8" s="24">
        <f t="shared" si="1"/>
        <v>100</v>
      </c>
      <c r="K8" s="33">
        <f>'PENULISAN LAPORAN'!L7</f>
        <v>69.41666667</v>
      </c>
      <c r="L8" s="45">
        <v>86.0</v>
      </c>
      <c r="M8" s="45">
        <v>86.0</v>
      </c>
      <c r="N8" s="45">
        <v>86.0</v>
      </c>
      <c r="O8" s="45">
        <v>86.0</v>
      </c>
      <c r="P8" s="45">
        <v>86.0</v>
      </c>
      <c r="Q8" s="45">
        <v>86.0</v>
      </c>
      <c r="R8" s="22">
        <f t="shared" si="2"/>
        <v>86</v>
      </c>
      <c r="S8" s="23">
        <v>70.0</v>
      </c>
      <c r="T8" s="23">
        <v>0.0</v>
      </c>
      <c r="U8" s="23">
        <v>80.0</v>
      </c>
      <c r="V8" s="23">
        <v>30.0</v>
      </c>
      <c r="W8" s="23">
        <v>70.0</v>
      </c>
      <c r="X8" s="23">
        <v>30.0</v>
      </c>
      <c r="Y8" s="24">
        <f t="shared" si="3"/>
        <v>46.66666667</v>
      </c>
      <c r="Z8" s="22">
        <f> 'KEMAMPUAN PRAKTIKUM'!H8</f>
        <v>84</v>
      </c>
      <c r="AA8" s="22">
        <f> 'KEMAMPUAN PRAKTIKUM'!M8</f>
        <v>57</v>
      </c>
      <c r="AB8" s="22">
        <f> 'KEMAMPUAN PRAKTIKUM'!R8</f>
        <v>60</v>
      </c>
      <c r="AC8" s="22">
        <f> 'KEMAMPUAN PRAKTIKUM'!W8</f>
        <v>75</v>
      </c>
      <c r="AD8" s="23">
        <f> 'KEMAMPUAN PRAKTIKUM'!AB8</f>
        <v>90</v>
      </c>
      <c r="AE8" s="22">
        <f> 'KEMAMPUAN PRAKTIKUM'!AG8</f>
        <v>45</v>
      </c>
      <c r="AF8" s="24">
        <f t="shared" si="4"/>
        <v>68.5</v>
      </c>
    </row>
    <row r="9">
      <c r="A9" s="22">
        <f>'INPUT DAFTAR PESERTA'!A6</f>
        <v>4</v>
      </c>
      <c r="B9" s="22">
        <f>'INPUT DAFTAR PESERTA'!B6</f>
        <v>2409076004</v>
      </c>
      <c r="C9" s="6" t="str">
        <f>'INPUT DAFTAR PESERTA'!C6</f>
        <v>Nur Aqmarina</v>
      </c>
      <c r="D9" s="23">
        <v>100.0</v>
      </c>
      <c r="E9" s="23">
        <v>100.0</v>
      </c>
      <c r="F9" s="23">
        <v>100.0</v>
      </c>
      <c r="G9" s="23">
        <v>100.0</v>
      </c>
      <c r="H9" s="23">
        <v>100.0</v>
      </c>
      <c r="I9" s="23">
        <v>100.0</v>
      </c>
      <c r="J9" s="24">
        <f t="shared" si="1"/>
        <v>100</v>
      </c>
      <c r="K9" s="33">
        <f>'PENULISAN LAPORAN'!L8</f>
        <v>87.58333333</v>
      </c>
      <c r="L9" s="45">
        <v>94.0</v>
      </c>
      <c r="M9" s="45">
        <v>94.0</v>
      </c>
      <c r="N9" s="45">
        <v>94.0</v>
      </c>
      <c r="O9" s="45">
        <v>94.0</v>
      </c>
      <c r="P9" s="45">
        <v>94.0</v>
      </c>
      <c r="Q9" s="45">
        <v>94.0</v>
      </c>
      <c r="R9" s="22">
        <f t="shared" si="2"/>
        <v>94</v>
      </c>
      <c r="S9" s="23">
        <v>80.0</v>
      </c>
      <c r="T9" s="23">
        <v>80.0</v>
      </c>
      <c r="U9" s="23">
        <v>80.0</v>
      </c>
      <c r="V9" s="23">
        <v>70.0</v>
      </c>
      <c r="W9" s="23">
        <v>80.0</v>
      </c>
      <c r="X9" s="23">
        <v>80.0</v>
      </c>
      <c r="Y9" s="24">
        <f t="shared" si="3"/>
        <v>78.33333333</v>
      </c>
      <c r="Z9" s="22">
        <f> 'KEMAMPUAN PRAKTIKUM'!H9</f>
        <v>78</v>
      </c>
      <c r="AA9" s="22">
        <f> 'KEMAMPUAN PRAKTIKUM'!M9</f>
        <v>54</v>
      </c>
      <c r="AB9" s="22">
        <f> 'KEMAMPUAN PRAKTIKUM'!R9</f>
        <v>90</v>
      </c>
      <c r="AC9" s="22">
        <f> 'KEMAMPUAN PRAKTIKUM'!W9</f>
        <v>81</v>
      </c>
      <c r="AD9" s="23">
        <f> 'KEMAMPUAN PRAKTIKUM'!AB9</f>
        <v>90</v>
      </c>
      <c r="AE9" s="22">
        <f> 'KEMAMPUAN PRAKTIKUM'!AG9</f>
        <v>63</v>
      </c>
      <c r="AF9" s="24">
        <f t="shared" si="4"/>
        <v>76</v>
      </c>
    </row>
    <row r="10">
      <c r="A10" s="22">
        <f>'INPUT DAFTAR PESERTA'!A7</f>
        <v>5</v>
      </c>
      <c r="B10" s="22">
        <f>'INPUT DAFTAR PESERTA'!B7</f>
        <v>2409076005</v>
      </c>
      <c r="C10" s="6" t="str">
        <f>'INPUT DAFTAR PESERTA'!C7</f>
        <v>Rias Prihatanto</v>
      </c>
      <c r="D10" s="23">
        <v>100.0</v>
      </c>
      <c r="E10" s="23">
        <v>100.0</v>
      </c>
      <c r="F10" s="23">
        <v>100.0</v>
      </c>
      <c r="G10" s="23">
        <v>100.0</v>
      </c>
      <c r="H10" s="23">
        <v>100.0</v>
      </c>
      <c r="I10" s="23">
        <v>100.0</v>
      </c>
      <c r="J10" s="24">
        <f t="shared" si="1"/>
        <v>100</v>
      </c>
      <c r="K10" s="33">
        <f>'PENULISAN LAPORAN'!L9</f>
        <v>87.33333333</v>
      </c>
      <c r="L10" s="45">
        <v>88.0</v>
      </c>
      <c r="M10" s="45">
        <v>88.0</v>
      </c>
      <c r="N10" s="45">
        <v>88.0</v>
      </c>
      <c r="O10" s="45">
        <v>88.0</v>
      </c>
      <c r="P10" s="45">
        <v>88.0</v>
      </c>
      <c r="Q10" s="45">
        <v>88.0</v>
      </c>
      <c r="R10" s="22">
        <f t="shared" si="2"/>
        <v>88</v>
      </c>
      <c r="S10" s="23">
        <v>80.0</v>
      </c>
      <c r="T10" s="23">
        <v>70.0</v>
      </c>
      <c r="U10" s="23">
        <v>80.0</v>
      </c>
      <c r="V10" s="23">
        <v>70.0</v>
      </c>
      <c r="W10" s="23">
        <v>80.0</v>
      </c>
      <c r="X10" s="23">
        <v>80.0</v>
      </c>
      <c r="Y10" s="24">
        <f t="shared" si="3"/>
        <v>76.66666667</v>
      </c>
      <c r="Z10" s="22">
        <f> 'KEMAMPUAN PRAKTIKUM'!H10</f>
        <v>90</v>
      </c>
      <c r="AA10" s="22">
        <f> 'KEMAMPUAN PRAKTIKUM'!M10</f>
        <v>54</v>
      </c>
      <c r="AB10" s="22">
        <f> 'KEMAMPUAN PRAKTIKUM'!R10</f>
        <v>90</v>
      </c>
      <c r="AC10" s="22">
        <f> 'KEMAMPUAN PRAKTIKUM'!W10</f>
        <v>81</v>
      </c>
      <c r="AD10" s="23">
        <f> 'KEMAMPUAN PRAKTIKUM'!AB10</f>
        <v>90</v>
      </c>
      <c r="AE10" s="22">
        <f> 'KEMAMPUAN PRAKTIKUM'!AG10</f>
        <v>90</v>
      </c>
      <c r="AF10" s="24">
        <f t="shared" si="4"/>
        <v>82.5</v>
      </c>
    </row>
    <row r="11">
      <c r="A11" s="22">
        <f>'INPUT DAFTAR PESERTA'!A8</f>
        <v>6</v>
      </c>
      <c r="B11" s="22">
        <f>'INPUT DAFTAR PESERTA'!B8</f>
        <v>2409076006</v>
      </c>
      <c r="C11" s="6" t="str">
        <f>'INPUT DAFTAR PESERTA'!C8</f>
        <v>Muhammad Maulana Bhagaskara</v>
      </c>
      <c r="D11" s="23">
        <v>100.0</v>
      </c>
      <c r="E11" s="23">
        <v>100.0</v>
      </c>
      <c r="F11" s="23">
        <v>100.0</v>
      </c>
      <c r="G11" s="23">
        <v>100.0</v>
      </c>
      <c r="H11" s="23">
        <v>100.0</v>
      </c>
      <c r="I11" s="23">
        <v>100.0</v>
      </c>
      <c r="J11" s="24">
        <f t="shared" si="1"/>
        <v>100</v>
      </c>
      <c r="K11" s="33">
        <f>'PENULISAN LAPORAN'!L10</f>
        <v>85.125</v>
      </c>
      <c r="L11" s="45">
        <v>64.0</v>
      </c>
      <c r="M11" s="45">
        <v>64.0</v>
      </c>
      <c r="N11" s="45">
        <v>64.0</v>
      </c>
      <c r="O11" s="45">
        <v>64.0</v>
      </c>
      <c r="P11" s="45">
        <v>64.0</v>
      </c>
      <c r="Q11" s="45">
        <v>64.0</v>
      </c>
      <c r="R11" s="22">
        <f t="shared" si="2"/>
        <v>64</v>
      </c>
      <c r="S11" s="23">
        <v>80.0</v>
      </c>
      <c r="T11" s="23">
        <v>80.0</v>
      </c>
      <c r="U11" s="23">
        <v>80.0</v>
      </c>
      <c r="V11" s="23">
        <v>60.0</v>
      </c>
      <c r="W11" s="23">
        <v>80.0</v>
      </c>
      <c r="X11" s="23">
        <v>70.0</v>
      </c>
      <c r="Y11" s="24">
        <f t="shared" si="3"/>
        <v>75</v>
      </c>
      <c r="Z11" s="22">
        <f> 'KEMAMPUAN PRAKTIKUM'!H11</f>
        <v>90</v>
      </c>
      <c r="AA11" s="22">
        <f> 'KEMAMPUAN PRAKTIKUM'!M11</f>
        <v>69</v>
      </c>
      <c r="AB11" s="22">
        <f> 'KEMAMPUAN PRAKTIKUM'!R11</f>
        <v>90</v>
      </c>
      <c r="AC11" s="22">
        <f> 'KEMAMPUAN PRAKTIKUM'!W11</f>
        <v>81</v>
      </c>
      <c r="AD11" s="23">
        <f> 'KEMAMPUAN PRAKTIKUM'!AB11</f>
        <v>90</v>
      </c>
      <c r="AE11" s="22">
        <f> 'KEMAMPUAN PRAKTIKUM'!AG11</f>
        <v>72</v>
      </c>
      <c r="AF11" s="24">
        <f t="shared" si="4"/>
        <v>82</v>
      </c>
    </row>
    <row r="12">
      <c r="A12" s="22">
        <f>'INPUT DAFTAR PESERTA'!A9</f>
        <v>7</v>
      </c>
      <c r="B12" s="22">
        <f>'INPUT DAFTAR PESERTA'!B9</f>
        <v>2409076007</v>
      </c>
      <c r="C12" s="6" t="str">
        <f>'INPUT DAFTAR PESERTA'!C9</f>
        <v>Chelsi Kamera</v>
      </c>
      <c r="D12" s="23">
        <v>100.0</v>
      </c>
      <c r="E12" s="23">
        <v>100.0</v>
      </c>
      <c r="F12" s="23">
        <v>100.0</v>
      </c>
      <c r="G12" s="23">
        <v>100.0</v>
      </c>
      <c r="H12" s="23">
        <v>100.0</v>
      </c>
      <c r="I12" s="23">
        <v>100.0</v>
      </c>
      <c r="J12" s="24">
        <f t="shared" si="1"/>
        <v>100</v>
      </c>
      <c r="K12" s="33">
        <f>'PENULISAN LAPORAN'!L11</f>
        <v>88</v>
      </c>
      <c r="L12" s="45">
        <v>92.0</v>
      </c>
      <c r="M12" s="45">
        <v>92.0</v>
      </c>
      <c r="N12" s="45">
        <v>92.0</v>
      </c>
      <c r="O12" s="45">
        <v>92.0</v>
      </c>
      <c r="P12" s="45">
        <v>92.0</v>
      </c>
      <c r="Q12" s="45">
        <v>92.0</v>
      </c>
      <c r="R12" s="22">
        <f t="shared" si="2"/>
        <v>92</v>
      </c>
      <c r="S12" s="23">
        <v>80.0</v>
      </c>
      <c r="T12" s="23">
        <v>80.0</v>
      </c>
      <c r="U12" s="23">
        <v>80.0</v>
      </c>
      <c r="V12" s="23">
        <v>60.0</v>
      </c>
      <c r="W12" s="23">
        <v>80.0</v>
      </c>
      <c r="X12" s="23">
        <v>80.0</v>
      </c>
      <c r="Y12" s="24">
        <f t="shared" si="3"/>
        <v>76.66666667</v>
      </c>
      <c r="Z12" s="22">
        <f> 'KEMAMPUAN PRAKTIKUM'!H12</f>
        <v>90</v>
      </c>
      <c r="AA12" s="22">
        <f> 'KEMAMPUAN PRAKTIKUM'!M12</f>
        <v>69</v>
      </c>
      <c r="AB12" s="22">
        <f> 'KEMAMPUAN PRAKTIKUM'!R12</f>
        <v>90</v>
      </c>
      <c r="AC12" s="22">
        <f> 'KEMAMPUAN PRAKTIKUM'!W12</f>
        <v>87</v>
      </c>
      <c r="AD12" s="23">
        <f> 'KEMAMPUAN PRAKTIKUM'!AB12</f>
        <v>90</v>
      </c>
      <c r="AE12" s="22">
        <f> 'KEMAMPUAN PRAKTIKUM'!AG12</f>
        <v>90</v>
      </c>
      <c r="AF12" s="24">
        <f t="shared" si="4"/>
        <v>86</v>
      </c>
    </row>
    <row r="13">
      <c r="A13" s="22">
        <f>'INPUT DAFTAR PESERTA'!A10</f>
        <v>8</v>
      </c>
      <c r="B13" s="22">
        <f>'INPUT DAFTAR PESERTA'!B10</f>
        <v>2409076008</v>
      </c>
      <c r="C13" s="6" t="str">
        <f>'INPUT DAFTAR PESERTA'!C10</f>
        <v>Riyan Maulana</v>
      </c>
      <c r="D13" s="23">
        <v>100.0</v>
      </c>
      <c r="E13" s="23">
        <v>100.0</v>
      </c>
      <c r="F13" s="23">
        <v>100.0</v>
      </c>
      <c r="G13" s="23">
        <v>100.0</v>
      </c>
      <c r="H13" s="23">
        <v>100.0</v>
      </c>
      <c r="I13" s="23">
        <v>100.0</v>
      </c>
      <c r="J13" s="24">
        <f t="shared" si="1"/>
        <v>100</v>
      </c>
      <c r="K13" s="33">
        <f>'PENULISAN LAPORAN'!L12</f>
        <v>75.79166667</v>
      </c>
      <c r="L13" s="45">
        <v>92.0</v>
      </c>
      <c r="M13" s="45">
        <v>92.0</v>
      </c>
      <c r="N13" s="45">
        <v>92.0</v>
      </c>
      <c r="O13" s="45">
        <v>92.0</v>
      </c>
      <c r="P13" s="45">
        <v>92.0</v>
      </c>
      <c r="Q13" s="45">
        <v>92.0</v>
      </c>
      <c r="R13" s="22">
        <f t="shared" si="2"/>
        <v>92</v>
      </c>
      <c r="S13" s="23">
        <v>80.0</v>
      </c>
      <c r="T13" s="23">
        <v>80.0</v>
      </c>
      <c r="U13" s="23">
        <v>80.0</v>
      </c>
      <c r="V13" s="23">
        <v>60.0</v>
      </c>
      <c r="W13" s="23">
        <v>70.0</v>
      </c>
      <c r="X13" s="23">
        <v>30.0</v>
      </c>
      <c r="Y13" s="24">
        <f t="shared" si="3"/>
        <v>66.66666667</v>
      </c>
      <c r="Z13" s="22">
        <f> 'KEMAMPUAN PRAKTIKUM'!H13</f>
        <v>60</v>
      </c>
      <c r="AA13" s="22">
        <f> 'KEMAMPUAN PRAKTIKUM'!M13</f>
        <v>60</v>
      </c>
      <c r="AB13" s="22">
        <f> 'KEMAMPUAN PRAKTIKUM'!R13</f>
        <v>90</v>
      </c>
      <c r="AC13" s="22">
        <f> 'KEMAMPUAN PRAKTIKUM'!W13</f>
        <v>75</v>
      </c>
      <c r="AD13" s="23">
        <f> 'KEMAMPUAN PRAKTIKUM'!AB13</f>
        <v>90</v>
      </c>
      <c r="AE13" s="22">
        <f> 'KEMAMPUAN PRAKTIKUM'!AG13</f>
        <v>75</v>
      </c>
      <c r="AF13" s="24">
        <f t="shared" si="4"/>
        <v>75</v>
      </c>
    </row>
    <row r="14">
      <c r="A14" s="22">
        <f>'INPUT DAFTAR PESERTA'!A11</f>
        <v>9</v>
      </c>
      <c r="B14" s="22">
        <f>'INPUT DAFTAR PESERTA'!B11</f>
        <v>2409076009</v>
      </c>
      <c r="C14" s="6" t="str">
        <f>'INPUT DAFTAR PESERTA'!C11</f>
        <v>Dimas Prasetyo Wibowo</v>
      </c>
      <c r="D14" s="23">
        <v>100.0</v>
      </c>
      <c r="E14" s="23">
        <v>100.0</v>
      </c>
      <c r="F14" s="23">
        <v>100.0</v>
      </c>
      <c r="G14" s="23">
        <v>100.0</v>
      </c>
      <c r="H14" s="23">
        <v>100.0</v>
      </c>
      <c r="I14" s="23">
        <v>100.0</v>
      </c>
      <c r="J14" s="24">
        <f t="shared" si="1"/>
        <v>100</v>
      </c>
      <c r="K14" s="33">
        <f>'PENULISAN LAPORAN'!L13</f>
        <v>83.29166667</v>
      </c>
      <c r="L14" s="45">
        <v>94.0</v>
      </c>
      <c r="M14" s="45">
        <v>94.0</v>
      </c>
      <c r="N14" s="45">
        <v>94.0</v>
      </c>
      <c r="O14" s="45">
        <v>94.0</v>
      </c>
      <c r="P14" s="45">
        <v>94.0</v>
      </c>
      <c r="Q14" s="45">
        <v>94.0</v>
      </c>
      <c r="R14" s="22">
        <f t="shared" si="2"/>
        <v>94</v>
      </c>
      <c r="S14" s="23">
        <v>80.0</v>
      </c>
      <c r="T14" s="23">
        <v>70.0</v>
      </c>
      <c r="U14" s="23">
        <v>80.0</v>
      </c>
      <c r="V14" s="23">
        <v>60.0</v>
      </c>
      <c r="W14" s="23">
        <v>80.0</v>
      </c>
      <c r="X14" s="23">
        <v>80.0</v>
      </c>
      <c r="Y14" s="24">
        <f t="shared" si="3"/>
        <v>75</v>
      </c>
      <c r="Z14" s="22">
        <f> 'KEMAMPUAN PRAKTIKUM'!H14</f>
        <v>90</v>
      </c>
      <c r="AA14" s="22">
        <f> 'KEMAMPUAN PRAKTIKUM'!M14</f>
        <v>69</v>
      </c>
      <c r="AB14" s="22">
        <f> 'KEMAMPUAN PRAKTIKUM'!R14</f>
        <v>75</v>
      </c>
      <c r="AC14" s="22">
        <f> 'KEMAMPUAN PRAKTIKUM'!W14</f>
        <v>81</v>
      </c>
      <c r="AD14" s="23">
        <f> 'KEMAMPUAN PRAKTIKUM'!AB14</f>
        <v>90</v>
      </c>
      <c r="AE14" s="22">
        <f> 'KEMAMPUAN PRAKTIKUM'!AG14</f>
        <v>75</v>
      </c>
      <c r="AF14" s="24">
        <f t="shared" si="4"/>
        <v>80</v>
      </c>
    </row>
    <row r="15">
      <c r="A15" s="22">
        <f>'INPUT DAFTAR PESERTA'!A12</f>
        <v>10</v>
      </c>
      <c r="B15" s="22">
        <f>'INPUT DAFTAR PESERTA'!B12</f>
        <v>2409076010</v>
      </c>
      <c r="C15" s="6" t="str">
        <f>'INPUT DAFTAR PESERTA'!C12</f>
        <v>Najwa Dwi Maylani</v>
      </c>
      <c r="D15" s="23">
        <v>100.0</v>
      </c>
      <c r="E15" s="23">
        <v>100.0</v>
      </c>
      <c r="F15" s="23">
        <v>100.0</v>
      </c>
      <c r="G15" s="23">
        <v>100.0</v>
      </c>
      <c r="H15" s="23">
        <v>100.0</v>
      </c>
      <c r="I15" s="23">
        <v>100.0</v>
      </c>
      <c r="J15" s="24">
        <f t="shared" si="1"/>
        <v>100</v>
      </c>
      <c r="K15" s="33">
        <f>'PENULISAN LAPORAN'!L14</f>
        <v>85.125</v>
      </c>
      <c r="L15" s="45">
        <v>80.0</v>
      </c>
      <c r="M15" s="45">
        <v>80.0</v>
      </c>
      <c r="N15" s="45">
        <v>80.0</v>
      </c>
      <c r="O15" s="45">
        <v>80.0</v>
      </c>
      <c r="P15" s="45">
        <v>80.0</v>
      </c>
      <c r="Q15" s="45">
        <v>80.0</v>
      </c>
      <c r="R15" s="22">
        <f t="shared" si="2"/>
        <v>80</v>
      </c>
      <c r="S15" s="23">
        <v>80.0</v>
      </c>
      <c r="T15" s="23">
        <v>70.0</v>
      </c>
      <c r="U15" s="23">
        <v>80.0</v>
      </c>
      <c r="V15" s="23">
        <v>70.0</v>
      </c>
      <c r="W15" s="23">
        <v>80.0</v>
      </c>
      <c r="X15" s="23">
        <v>80.0</v>
      </c>
      <c r="Y15" s="24">
        <f t="shared" si="3"/>
        <v>76.66666667</v>
      </c>
      <c r="Z15" s="22">
        <f> 'KEMAMPUAN PRAKTIKUM'!H15</f>
        <v>90</v>
      </c>
      <c r="AA15" s="22">
        <f> 'KEMAMPUAN PRAKTIKUM'!M15</f>
        <v>69</v>
      </c>
      <c r="AB15" s="22">
        <f> 'KEMAMPUAN PRAKTIKUM'!R15</f>
        <v>90</v>
      </c>
      <c r="AC15" s="22">
        <f> 'KEMAMPUAN PRAKTIKUM'!W15</f>
        <v>87</v>
      </c>
      <c r="AD15" s="23">
        <f> 'KEMAMPUAN PRAKTIKUM'!AB15</f>
        <v>90</v>
      </c>
      <c r="AE15" s="22">
        <f> 'KEMAMPUAN PRAKTIKUM'!AG15</f>
        <v>75</v>
      </c>
      <c r="AF15" s="24">
        <f t="shared" si="4"/>
        <v>83.5</v>
      </c>
    </row>
    <row r="16">
      <c r="A16" s="22">
        <f>'INPUT DAFTAR PESERTA'!A13</f>
        <v>11</v>
      </c>
      <c r="B16" s="22">
        <f>'INPUT DAFTAR PESERTA'!B13</f>
        <v>2409076011</v>
      </c>
      <c r="C16" s="6" t="str">
        <f>'INPUT DAFTAR PESERTA'!C13</f>
        <v>Surya Ardhian Mokodongan</v>
      </c>
      <c r="D16" s="23">
        <v>100.0</v>
      </c>
      <c r="E16" s="23">
        <v>100.0</v>
      </c>
      <c r="F16" s="23">
        <v>100.0</v>
      </c>
      <c r="G16" s="23">
        <v>100.0</v>
      </c>
      <c r="H16" s="23">
        <v>100.0</v>
      </c>
      <c r="I16" s="23">
        <v>100.0</v>
      </c>
      <c r="J16" s="24">
        <f t="shared" si="1"/>
        <v>100</v>
      </c>
      <c r="K16" s="33">
        <f>'PENULISAN LAPORAN'!L15</f>
        <v>85.20833333</v>
      </c>
      <c r="L16" s="46">
        <v>92.0</v>
      </c>
      <c r="M16" s="46">
        <v>92.0</v>
      </c>
      <c r="N16" s="46">
        <v>92.0</v>
      </c>
      <c r="O16" s="46">
        <v>92.0</v>
      </c>
      <c r="P16" s="46">
        <v>92.0</v>
      </c>
      <c r="Q16" s="46">
        <v>92.0</v>
      </c>
      <c r="R16" s="22">
        <f t="shared" si="2"/>
        <v>92</v>
      </c>
      <c r="S16" s="23">
        <v>80.0</v>
      </c>
      <c r="T16" s="23">
        <v>80.0</v>
      </c>
      <c r="U16" s="23">
        <v>80.0</v>
      </c>
      <c r="V16" s="23">
        <v>70.0</v>
      </c>
      <c r="W16" s="23">
        <v>80.0</v>
      </c>
      <c r="X16" s="23">
        <v>80.0</v>
      </c>
      <c r="Y16" s="24">
        <f t="shared" si="3"/>
        <v>78.33333333</v>
      </c>
      <c r="Z16" s="22">
        <f> 'KEMAMPUAN PRAKTIKUM'!H16</f>
        <v>90</v>
      </c>
      <c r="AA16" s="22">
        <f> 'KEMAMPUAN PRAKTIKUM'!M16</f>
        <v>90</v>
      </c>
      <c r="AB16" s="22">
        <f> 'KEMAMPUAN PRAKTIKUM'!R16</f>
        <v>90</v>
      </c>
      <c r="AC16" s="22">
        <f> 'KEMAMPUAN PRAKTIKUM'!W16</f>
        <v>57</v>
      </c>
      <c r="AD16" s="23">
        <f> 'KEMAMPUAN PRAKTIKUM'!AB16</f>
        <v>90</v>
      </c>
      <c r="AE16" s="22">
        <f> 'KEMAMPUAN PRAKTIKUM'!AG16</f>
        <v>75</v>
      </c>
      <c r="AF16" s="24">
        <f t="shared" si="4"/>
        <v>82</v>
      </c>
    </row>
    <row r="17">
      <c r="A17" s="22">
        <f>'INPUT DAFTAR PESERTA'!A14</f>
        <v>12</v>
      </c>
      <c r="B17" s="22">
        <f>'INPUT DAFTAR PESERTA'!B14</f>
        <v>2409076012</v>
      </c>
      <c r="C17" s="6" t="str">
        <f>'INPUT DAFTAR PESERTA'!C14</f>
        <v>Ahmad Irfani Ananda Putra Hariawan</v>
      </c>
      <c r="D17" s="23">
        <v>100.0</v>
      </c>
      <c r="E17" s="23">
        <v>100.0</v>
      </c>
      <c r="F17" s="23">
        <v>100.0</v>
      </c>
      <c r="G17" s="23">
        <v>100.0</v>
      </c>
      <c r="H17" s="23">
        <v>100.0</v>
      </c>
      <c r="I17" s="23">
        <v>100.0</v>
      </c>
      <c r="J17" s="24">
        <f t="shared" si="1"/>
        <v>100</v>
      </c>
      <c r="K17" s="33">
        <f>'PENULISAN LAPORAN'!L16</f>
        <v>80.16666667</v>
      </c>
      <c r="L17" s="46">
        <v>76.0</v>
      </c>
      <c r="M17" s="46">
        <v>76.0</v>
      </c>
      <c r="N17" s="46">
        <v>76.0</v>
      </c>
      <c r="O17" s="46">
        <v>76.0</v>
      </c>
      <c r="P17" s="46">
        <v>76.0</v>
      </c>
      <c r="Q17" s="46">
        <v>76.0</v>
      </c>
      <c r="R17" s="22">
        <f t="shared" si="2"/>
        <v>76</v>
      </c>
      <c r="S17" s="23">
        <v>80.0</v>
      </c>
      <c r="T17" s="23">
        <v>80.0</v>
      </c>
      <c r="U17" s="23">
        <v>80.0</v>
      </c>
      <c r="V17" s="23">
        <v>70.0</v>
      </c>
      <c r="W17" s="23">
        <v>70.0</v>
      </c>
      <c r="X17" s="23">
        <v>80.0</v>
      </c>
      <c r="Y17" s="24">
        <f t="shared" si="3"/>
        <v>76.66666667</v>
      </c>
      <c r="Z17" s="22">
        <f> 'KEMAMPUAN PRAKTIKUM'!H17</f>
        <v>90</v>
      </c>
      <c r="AA17" s="22">
        <f> 'KEMAMPUAN PRAKTIKUM'!M17</f>
        <v>90</v>
      </c>
      <c r="AB17" s="22">
        <f> 'KEMAMPUAN PRAKTIKUM'!R17</f>
        <v>75</v>
      </c>
      <c r="AC17" s="22">
        <f> 'KEMAMPUAN PRAKTIKUM'!W17</f>
        <v>57</v>
      </c>
      <c r="AD17" s="23">
        <f> 'KEMAMPUAN PRAKTIKUM'!AB17</f>
        <v>90</v>
      </c>
      <c r="AE17" s="22">
        <f> 'KEMAMPUAN PRAKTIKUM'!AG17</f>
        <v>60</v>
      </c>
      <c r="AF17" s="24">
        <f t="shared" si="4"/>
        <v>77</v>
      </c>
    </row>
    <row r="18">
      <c r="A18" s="22">
        <f>'INPUT DAFTAR PESERTA'!A15</f>
        <v>13</v>
      </c>
      <c r="B18" s="22">
        <f>'INPUT DAFTAR PESERTA'!B15</f>
        <v>2409076013</v>
      </c>
      <c r="C18" s="6" t="str">
        <f>'INPUT DAFTAR PESERTA'!C15</f>
        <v>Afif Rizqi Ramadhan</v>
      </c>
      <c r="D18" s="23">
        <v>100.0</v>
      </c>
      <c r="E18" s="23">
        <v>100.0</v>
      </c>
      <c r="F18" s="23">
        <v>100.0</v>
      </c>
      <c r="G18" s="23">
        <v>100.0</v>
      </c>
      <c r="H18" s="23">
        <v>100.0</v>
      </c>
      <c r="I18" s="23">
        <v>100.0</v>
      </c>
      <c r="J18" s="24">
        <f t="shared" si="1"/>
        <v>100</v>
      </c>
      <c r="K18" s="33">
        <f>'PENULISAN LAPORAN'!L17</f>
        <v>84.95833333</v>
      </c>
      <c r="L18" s="46">
        <v>96.0</v>
      </c>
      <c r="M18" s="46">
        <v>96.0</v>
      </c>
      <c r="N18" s="46">
        <v>96.0</v>
      </c>
      <c r="O18" s="46">
        <v>96.0</v>
      </c>
      <c r="P18" s="46">
        <v>96.0</v>
      </c>
      <c r="Q18" s="46">
        <v>96.0</v>
      </c>
      <c r="R18" s="22">
        <f t="shared" si="2"/>
        <v>96</v>
      </c>
      <c r="S18" s="23">
        <v>80.0</v>
      </c>
      <c r="T18" s="23">
        <v>80.0</v>
      </c>
      <c r="U18" s="23">
        <v>80.0</v>
      </c>
      <c r="V18" s="23">
        <v>60.0</v>
      </c>
      <c r="W18" s="23">
        <v>80.0</v>
      </c>
      <c r="X18" s="23">
        <v>80.0</v>
      </c>
      <c r="Y18" s="24">
        <f t="shared" si="3"/>
        <v>76.66666667</v>
      </c>
      <c r="Z18" s="22">
        <f> 'KEMAMPUAN PRAKTIKUM'!H18</f>
        <v>90</v>
      </c>
      <c r="AA18" s="22">
        <f> 'KEMAMPUAN PRAKTIKUM'!M18</f>
        <v>90</v>
      </c>
      <c r="AB18" s="22">
        <f> 'KEMAMPUAN PRAKTIKUM'!R18</f>
        <v>90</v>
      </c>
      <c r="AC18" s="22">
        <f> 'KEMAMPUAN PRAKTIKUM'!W18</f>
        <v>81</v>
      </c>
      <c r="AD18" s="23">
        <f> 'KEMAMPUAN PRAKTIKUM'!AB18</f>
        <v>90</v>
      </c>
      <c r="AE18" s="22">
        <f> 'KEMAMPUAN PRAKTIKUM'!AG18</f>
        <v>90</v>
      </c>
      <c r="AF18" s="24">
        <f t="shared" si="4"/>
        <v>88.5</v>
      </c>
    </row>
    <row r="19">
      <c r="A19" s="22">
        <f>'INPUT DAFTAR PESERTA'!A16</f>
        <v>14</v>
      </c>
      <c r="B19" s="22">
        <f>'INPUT DAFTAR PESERTA'!B16</f>
        <v>2409076014</v>
      </c>
      <c r="C19" s="6" t="str">
        <f>'INPUT DAFTAR PESERTA'!C16</f>
        <v>Julius Simamora</v>
      </c>
      <c r="D19" s="23">
        <v>100.0</v>
      </c>
      <c r="E19" s="23">
        <v>100.0</v>
      </c>
      <c r="F19" s="23">
        <v>100.0</v>
      </c>
      <c r="G19" s="23">
        <v>100.0</v>
      </c>
      <c r="H19" s="23">
        <v>100.0</v>
      </c>
      <c r="I19" s="23">
        <v>100.0</v>
      </c>
      <c r="J19" s="24">
        <f t="shared" si="1"/>
        <v>100</v>
      </c>
      <c r="K19" s="33">
        <f>'PENULISAN LAPORAN'!L18</f>
        <v>84.54166667</v>
      </c>
      <c r="L19" s="46">
        <v>94.0</v>
      </c>
      <c r="M19" s="46">
        <v>94.0</v>
      </c>
      <c r="N19" s="46">
        <v>94.0</v>
      </c>
      <c r="O19" s="46">
        <v>94.0</v>
      </c>
      <c r="P19" s="46">
        <v>94.0</v>
      </c>
      <c r="Q19" s="46">
        <v>94.0</v>
      </c>
      <c r="R19" s="22">
        <f t="shared" si="2"/>
        <v>94</v>
      </c>
      <c r="S19" s="23">
        <v>80.0</v>
      </c>
      <c r="T19" s="23">
        <v>80.0</v>
      </c>
      <c r="U19" s="23">
        <v>80.0</v>
      </c>
      <c r="V19" s="23">
        <v>30.0</v>
      </c>
      <c r="W19" s="23">
        <v>80.0</v>
      </c>
      <c r="X19" s="23">
        <v>60.0</v>
      </c>
      <c r="Y19" s="24">
        <f t="shared" si="3"/>
        <v>68.33333333</v>
      </c>
      <c r="Z19" s="22">
        <f> 'KEMAMPUAN PRAKTIKUM'!H19</f>
        <v>90</v>
      </c>
      <c r="AA19" s="22">
        <f> 'KEMAMPUAN PRAKTIKUM'!M19</f>
        <v>90</v>
      </c>
      <c r="AB19" s="22">
        <f> 'KEMAMPUAN PRAKTIKUM'!R19</f>
        <v>75</v>
      </c>
      <c r="AC19" s="22">
        <f> 'KEMAMPUAN PRAKTIKUM'!W19</f>
        <v>81</v>
      </c>
      <c r="AD19" s="23">
        <f> 'KEMAMPUAN PRAKTIKUM'!AB19</f>
        <v>90</v>
      </c>
      <c r="AE19" s="22">
        <f> 'KEMAMPUAN PRAKTIKUM'!AG19</f>
        <v>60</v>
      </c>
      <c r="AF19" s="24">
        <f t="shared" si="4"/>
        <v>81</v>
      </c>
    </row>
    <row r="20">
      <c r="A20" s="22">
        <f>'INPUT DAFTAR PESERTA'!A17</f>
        <v>15</v>
      </c>
      <c r="B20" s="22">
        <f>'INPUT DAFTAR PESERTA'!B17</f>
        <v>2409076015</v>
      </c>
      <c r="C20" s="6" t="str">
        <f>'INPUT DAFTAR PESERTA'!C17</f>
        <v>Gea Novtry</v>
      </c>
      <c r="D20" s="23">
        <v>100.0</v>
      </c>
      <c r="E20" s="23">
        <v>100.0</v>
      </c>
      <c r="F20" s="23">
        <v>100.0</v>
      </c>
      <c r="G20" s="23">
        <v>100.0</v>
      </c>
      <c r="H20" s="23">
        <v>100.0</v>
      </c>
      <c r="I20" s="23">
        <v>100.0</v>
      </c>
      <c r="J20" s="24">
        <f t="shared" si="1"/>
        <v>100</v>
      </c>
      <c r="K20" s="33">
        <f>'PENULISAN LAPORAN'!L19</f>
        <v>57.99166667</v>
      </c>
      <c r="L20" s="46">
        <v>0.0</v>
      </c>
      <c r="M20" s="46">
        <v>0.0</v>
      </c>
      <c r="N20" s="46">
        <v>0.0</v>
      </c>
      <c r="O20" s="46">
        <v>0.0</v>
      </c>
      <c r="P20" s="46">
        <v>0.0</v>
      </c>
      <c r="Q20" s="46">
        <v>0.0</v>
      </c>
      <c r="R20" s="22">
        <f t="shared" si="2"/>
        <v>0</v>
      </c>
      <c r="S20" s="23">
        <v>70.0</v>
      </c>
      <c r="T20" s="23">
        <v>30.0</v>
      </c>
      <c r="U20" s="23">
        <v>80.0</v>
      </c>
      <c r="V20" s="23">
        <v>30.0</v>
      </c>
      <c r="W20" s="23">
        <v>30.0</v>
      </c>
      <c r="X20" s="23">
        <v>60.0</v>
      </c>
      <c r="Y20" s="24">
        <f t="shared" si="3"/>
        <v>50</v>
      </c>
      <c r="Z20" s="22">
        <f> 'KEMAMPUAN PRAKTIKUM'!H20</f>
        <v>90</v>
      </c>
      <c r="AA20" s="22">
        <f> 'KEMAMPUAN PRAKTIKUM'!M20</f>
        <v>90</v>
      </c>
      <c r="AB20" s="22">
        <f> 'KEMAMPUAN PRAKTIKUM'!R20</f>
        <v>60</v>
      </c>
      <c r="AC20" s="22">
        <f> 'KEMAMPUAN PRAKTIKUM'!W20</f>
        <v>45</v>
      </c>
      <c r="AD20" s="23">
        <f> 'KEMAMPUAN PRAKTIKUM'!AB20</f>
        <v>30</v>
      </c>
      <c r="AE20" s="22">
        <f> 'KEMAMPUAN PRAKTIKUM'!AG20</f>
        <v>45</v>
      </c>
      <c r="AF20" s="24">
        <f t="shared" si="4"/>
        <v>60</v>
      </c>
    </row>
    <row r="21" ht="15.75" customHeight="1">
      <c r="A21" s="22">
        <f>'INPUT DAFTAR PESERTA'!A18</f>
        <v>16</v>
      </c>
      <c r="B21" s="22">
        <f>'INPUT DAFTAR PESERTA'!B18</f>
        <v>2409076016</v>
      </c>
      <c r="C21" s="6" t="str">
        <f>'INPUT DAFTAR PESERTA'!C18</f>
        <v>Najmi habibi</v>
      </c>
      <c r="D21" s="23">
        <v>100.0</v>
      </c>
      <c r="E21" s="23">
        <v>100.0</v>
      </c>
      <c r="F21" s="23">
        <v>100.0</v>
      </c>
      <c r="G21" s="23">
        <v>100.0</v>
      </c>
      <c r="H21" s="23">
        <v>100.0</v>
      </c>
      <c r="I21" s="23">
        <v>100.0</v>
      </c>
      <c r="J21" s="24">
        <f t="shared" si="1"/>
        <v>100</v>
      </c>
      <c r="K21" s="33">
        <f>'PENULISAN LAPORAN'!L20</f>
        <v>53.625</v>
      </c>
      <c r="L21" s="46">
        <v>58.0</v>
      </c>
      <c r="M21" s="46">
        <v>58.0</v>
      </c>
      <c r="N21" s="46">
        <v>58.0</v>
      </c>
      <c r="O21" s="46">
        <v>58.0</v>
      </c>
      <c r="P21" s="46">
        <v>58.0</v>
      </c>
      <c r="Q21" s="46">
        <v>58.0</v>
      </c>
      <c r="R21" s="22">
        <f t="shared" si="2"/>
        <v>58</v>
      </c>
      <c r="S21" s="23">
        <v>70.0</v>
      </c>
      <c r="T21" s="23">
        <v>30.0</v>
      </c>
      <c r="U21" s="23">
        <v>80.0</v>
      </c>
      <c r="V21" s="23">
        <v>30.0</v>
      </c>
      <c r="W21" s="23">
        <v>30.0</v>
      </c>
      <c r="X21" s="23">
        <v>70.0</v>
      </c>
      <c r="Y21" s="24">
        <f t="shared" si="3"/>
        <v>51.66666667</v>
      </c>
      <c r="Z21" s="22">
        <f> 'KEMAMPUAN PRAKTIKUM'!H21</f>
        <v>84</v>
      </c>
      <c r="AA21" s="22">
        <f> 'KEMAMPUAN PRAKTIKUM'!M21</f>
        <v>90</v>
      </c>
      <c r="AB21" s="22">
        <f> 'KEMAMPUAN PRAKTIKUM'!R21</f>
        <v>60</v>
      </c>
      <c r="AC21" s="22">
        <f> 'KEMAMPUAN PRAKTIKUM'!W21</f>
        <v>45</v>
      </c>
      <c r="AD21" s="23">
        <f> 'KEMAMPUAN PRAKTIKUM'!AB21</f>
        <v>30</v>
      </c>
      <c r="AE21" s="22">
        <f> 'KEMAMPUAN PRAKTIKUM'!AG21</f>
        <v>45</v>
      </c>
      <c r="AF21" s="24">
        <f t="shared" si="4"/>
        <v>59</v>
      </c>
    </row>
    <row r="22" ht="15.75" customHeight="1">
      <c r="A22" s="22">
        <f>'INPUT DAFTAR PESERTA'!A19</f>
        <v>17</v>
      </c>
      <c r="B22" s="22">
        <f>'INPUT DAFTAR PESERTA'!B19</f>
        <v>2409076017</v>
      </c>
      <c r="C22" s="6" t="str">
        <f>'INPUT DAFTAR PESERTA'!C19</f>
        <v>Muhammad Reza Aulia</v>
      </c>
      <c r="D22" s="23">
        <v>100.0</v>
      </c>
      <c r="E22" s="23">
        <v>100.0</v>
      </c>
      <c r="F22" s="23">
        <v>100.0</v>
      </c>
      <c r="G22" s="23">
        <v>100.0</v>
      </c>
      <c r="H22" s="23">
        <v>100.0</v>
      </c>
      <c r="I22" s="23">
        <v>100.0</v>
      </c>
      <c r="J22" s="24">
        <f t="shared" si="1"/>
        <v>100</v>
      </c>
      <c r="K22" s="33">
        <f>'PENULISAN LAPORAN'!L21</f>
        <v>81.625</v>
      </c>
      <c r="L22" s="46">
        <v>58.0</v>
      </c>
      <c r="M22" s="46">
        <v>58.0</v>
      </c>
      <c r="N22" s="46">
        <v>58.0</v>
      </c>
      <c r="O22" s="46">
        <v>58.0</v>
      </c>
      <c r="P22" s="46">
        <v>58.0</v>
      </c>
      <c r="Q22" s="46">
        <v>58.0</v>
      </c>
      <c r="R22" s="22">
        <f t="shared" si="2"/>
        <v>58</v>
      </c>
      <c r="S22" s="23">
        <v>70.0</v>
      </c>
      <c r="T22" s="23">
        <v>80.0</v>
      </c>
      <c r="U22" s="23">
        <v>80.0</v>
      </c>
      <c r="V22" s="23">
        <v>60.0</v>
      </c>
      <c r="W22" s="23">
        <v>80.0</v>
      </c>
      <c r="X22" s="23">
        <v>30.0</v>
      </c>
      <c r="Y22" s="24">
        <f t="shared" si="3"/>
        <v>66.66666667</v>
      </c>
      <c r="Z22" s="22">
        <f> 'KEMAMPUAN PRAKTIKUM'!H22</f>
        <v>84</v>
      </c>
      <c r="AA22" s="22">
        <f> 'KEMAMPUAN PRAKTIKUM'!M22</f>
        <v>90</v>
      </c>
      <c r="AB22" s="22">
        <f> 'KEMAMPUAN PRAKTIKUM'!R22</f>
        <v>90</v>
      </c>
      <c r="AC22" s="22">
        <f> 'KEMAMPUAN PRAKTIKUM'!W22</f>
        <v>81</v>
      </c>
      <c r="AD22" s="23">
        <f> 'KEMAMPUAN PRAKTIKUM'!AB22</f>
        <v>90</v>
      </c>
      <c r="AE22" s="22">
        <f> 'KEMAMPUAN PRAKTIKUM'!AG22</f>
        <v>57</v>
      </c>
      <c r="AF22" s="24">
        <f t="shared" si="4"/>
        <v>82</v>
      </c>
    </row>
    <row r="23" ht="15.75" customHeight="1">
      <c r="A23" s="22">
        <f>'INPUT DAFTAR PESERTA'!A20</f>
        <v>18</v>
      </c>
      <c r="B23" s="22">
        <f>'INPUT DAFTAR PESERTA'!B20</f>
        <v>2409076018</v>
      </c>
      <c r="C23" s="6" t="str">
        <f>'INPUT DAFTAR PESERTA'!C20</f>
        <v>Omar maulana ibnu rahman</v>
      </c>
      <c r="D23" s="23">
        <v>100.0</v>
      </c>
      <c r="E23" s="23">
        <v>100.0</v>
      </c>
      <c r="F23" s="23">
        <v>100.0</v>
      </c>
      <c r="G23" s="23">
        <v>100.0</v>
      </c>
      <c r="H23" s="23">
        <v>100.0</v>
      </c>
      <c r="I23" s="23">
        <v>100.0</v>
      </c>
      <c r="J23" s="24">
        <f t="shared" si="1"/>
        <v>100</v>
      </c>
      <c r="K23" s="33">
        <f>'PENULISAN LAPORAN'!L22</f>
        <v>68.11666667</v>
      </c>
      <c r="L23" s="46">
        <v>98.0</v>
      </c>
      <c r="M23" s="46">
        <v>98.0</v>
      </c>
      <c r="N23" s="46">
        <v>98.0</v>
      </c>
      <c r="O23" s="46">
        <v>98.0</v>
      </c>
      <c r="P23" s="46">
        <v>98.0</v>
      </c>
      <c r="Q23" s="46">
        <v>98.0</v>
      </c>
      <c r="R23" s="22">
        <f t="shared" si="2"/>
        <v>98</v>
      </c>
      <c r="S23" s="23">
        <v>70.0</v>
      </c>
      <c r="T23" s="23">
        <v>30.0</v>
      </c>
      <c r="U23" s="23">
        <v>80.0</v>
      </c>
      <c r="V23" s="23">
        <v>30.0</v>
      </c>
      <c r="W23" s="23">
        <v>80.0</v>
      </c>
      <c r="X23" s="23">
        <v>70.0</v>
      </c>
      <c r="Y23" s="24">
        <f t="shared" si="3"/>
        <v>60</v>
      </c>
      <c r="Z23" s="22">
        <f> 'KEMAMPUAN PRAKTIKUM'!H23</f>
        <v>54</v>
      </c>
      <c r="AA23" s="22">
        <f> 'KEMAMPUAN PRAKTIKUM'!M23</f>
        <v>90</v>
      </c>
      <c r="AB23" s="22">
        <f> 'KEMAMPUAN PRAKTIKUM'!R23</f>
        <v>90</v>
      </c>
      <c r="AC23" s="22">
        <f> 'KEMAMPUAN PRAKTIKUM'!W23</f>
        <v>75</v>
      </c>
      <c r="AD23" s="23">
        <f> 'KEMAMPUAN PRAKTIKUM'!AB23</f>
        <v>90</v>
      </c>
      <c r="AE23" s="22">
        <f> 'KEMAMPUAN PRAKTIKUM'!AG23</f>
        <v>57</v>
      </c>
      <c r="AF23" s="24">
        <f t="shared" si="4"/>
        <v>76</v>
      </c>
    </row>
    <row r="24" ht="15.75" customHeight="1">
      <c r="A24" s="22">
        <f>'INPUT DAFTAR PESERTA'!A21</f>
        <v>19</v>
      </c>
      <c r="B24" s="22">
        <f>'INPUT DAFTAR PESERTA'!B21</f>
        <v>2409076019</v>
      </c>
      <c r="C24" s="6" t="str">
        <f>'INPUT DAFTAR PESERTA'!C21</f>
        <v>F. Agung Setyawan. L</v>
      </c>
      <c r="D24" s="23">
        <v>100.0</v>
      </c>
      <c r="E24" s="23">
        <v>100.0</v>
      </c>
      <c r="F24" s="23">
        <v>100.0</v>
      </c>
      <c r="G24" s="23">
        <v>100.0</v>
      </c>
      <c r="H24" s="23">
        <v>100.0</v>
      </c>
      <c r="I24" s="23">
        <v>100.0</v>
      </c>
      <c r="J24" s="24">
        <f t="shared" si="1"/>
        <v>100</v>
      </c>
      <c r="K24" s="33">
        <f>'PENULISAN LAPORAN'!L23</f>
        <v>76.91666667</v>
      </c>
      <c r="L24" s="46">
        <v>88.0</v>
      </c>
      <c r="M24" s="46">
        <v>88.0</v>
      </c>
      <c r="N24" s="46">
        <v>88.0</v>
      </c>
      <c r="O24" s="46">
        <v>88.0</v>
      </c>
      <c r="P24" s="46">
        <v>88.0</v>
      </c>
      <c r="Q24" s="46">
        <v>88.0</v>
      </c>
      <c r="R24" s="22">
        <f t="shared" si="2"/>
        <v>88</v>
      </c>
      <c r="S24" s="23">
        <v>70.0</v>
      </c>
      <c r="T24" s="23">
        <v>80.0</v>
      </c>
      <c r="U24" s="23">
        <v>80.0</v>
      </c>
      <c r="V24" s="23">
        <v>70.0</v>
      </c>
      <c r="W24" s="23">
        <v>80.0</v>
      </c>
      <c r="X24" s="23">
        <v>70.0</v>
      </c>
      <c r="Y24" s="24">
        <f t="shared" si="3"/>
        <v>75</v>
      </c>
      <c r="Z24" s="22">
        <f> 'KEMAMPUAN PRAKTIKUM'!H24</f>
        <v>84</v>
      </c>
      <c r="AA24" s="22">
        <f> 'KEMAMPUAN PRAKTIKUM'!M24</f>
        <v>90</v>
      </c>
      <c r="AB24" s="22">
        <f> 'KEMAMPUAN PRAKTIKUM'!R24</f>
        <v>90</v>
      </c>
      <c r="AC24" s="22">
        <f> 'KEMAMPUAN PRAKTIKUM'!W24</f>
        <v>81</v>
      </c>
      <c r="AD24" s="23">
        <f> 'KEMAMPUAN PRAKTIKUM'!AB24</f>
        <v>90</v>
      </c>
      <c r="AE24" s="22">
        <f> 'KEMAMPUAN PRAKTIKUM'!AG24</f>
        <v>57</v>
      </c>
      <c r="AF24" s="24">
        <f t="shared" si="4"/>
        <v>82</v>
      </c>
    </row>
    <row r="25" ht="15.75" customHeight="1">
      <c r="A25" s="22">
        <f>'INPUT DAFTAR PESERTA'!A22</f>
        <v>20</v>
      </c>
      <c r="B25" s="22">
        <f>'INPUT DAFTAR PESERTA'!B22</f>
        <v>2409076020</v>
      </c>
      <c r="C25" s="6" t="str">
        <f>'INPUT DAFTAR PESERTA'!C22</f>
        <v>Muhammad Rafi Ramadhan</v>
      </c>
      <c r="D25" s="23">
        <v>100.0</v>
      </c>
      <c r="E25" s="23">
        <v>100.0</v>
      </c>
      <c r="F25" s="23">
        <v>100.0</v>
      </c>
      <c r="G25" s="23">
        <v>100.0</v>
      </c>
      <c r="H25" s="23">
        <v>100.0</v>
      </c>
      <c r="I25" s="23">
        <v>100.0</v>
      </c>
      <c r="J25" s="24">
        <f t="shared" si="1"/>
        <v>100</v>
      </c>
      <c r="K25" s="33">
        <f>'PENULISAN LAPORAN'!L24</f>
        <v>69.625</v>
      </c>
      <c r="L25" s="23">
        <v>80.0</v>
      </c>
      <c r="M25" s="23">
        <v>80.0</v>
      </c>
      <c r="N25" s="23">
        <v>80.0</v>
      </c>
      <c r="O25" s="23">
        <v>80.0</v>
      </c>
      <c r="P25" s="23">
        <v>80.0</v>
      </c>
      <c r="Q25" s="23">
        <v>80.0</v>
      </c>
      <c r="R25" s="22">
        <f t="shared" si="2"/>
        <v>80</v>
      </c>
      <c r="S25" s="23">
        <v>80.0</v>
      </c>
      <c r="T25" s="23">
        <v>80.0</v>
      </c>
      <c r="U25" s="23">
        <v>100.0</v>
      </c>
      <c r="V25" s="23">
        <v>30.0</v>
      </c>
      <c r="W25" s="23">
        <v>30.0</v>
      </c>
      <c r="X25" s="23">
        <v>70.0</v>
      </c>
      <c r="Y25" s="24">
        <f t="shared" si="3"/>
        <v>65</v>
      </c>
      <c r="Z25" s="22">
        <f> 'KEMAMPUAN PRAKTIKUM'!H25</f>
        <v>84</v>
      </c>
      <c r="AA25" s="22">
        <f> 'KEMAMPUAN PRAKTIKUM'!M25</f>
        <v>75</v>
      </c>
      <c r="AB25" s="22">
        <f> 'KEMAMPUAN PRAKTIKUM'!R25</f>
        <v>90</v>
      </c>
      <c r="AC25" s="22">
        <f> 'KEMAMPUAN PRAKTIKUM'!W25</f>
        <v>81</v>
      </c>
      <c r="AD25" s="23">
        <f> 'KEMAMPUAN PRAKTIKUM'!AB25</f>
        <v>30</v>
      </c>
      <c r="AE25" s="22">
        <f> 'KEMAMPUAN PRAKTIKUM'!AG25</f>
        <v>45</v>
      </c>
      <c r="AF25" s="24">
        <f t="shared" si="4"/>
        <v>67.5</v>
      </c>
    </row>
    <row r="26" ht="15.75" customHeight="1">
      <c r="A26" s="22">
        <f>'INPUT DAFTAR PESERTA'!A23</f>
        <v>21</v>
      </c>
      <c r="B26" s="22">
        <f>'INPUT DAFTAR PESERTA'!B23</f>
        <v>2409076021</v>
      </c>
      <c r="C26" s="6" t="str">
        <f>'INPUT DAFTAR PESERTA'!C23</f>
        <v>Farras Alwan Putra Setyo</v>
      </c>
      <c r="D26" s="23">
        <v>100.0</v>
      </c>
      <c r="E26" s="23">
        <v>100.0</v>
      </c>
      <c r="F26" s="23">
        <v>100.0</v>
      </c>
      <c r="G26" s="23">
        <v>100.0</v>
      </c>
      <c r="H26" s="23">
        <v>100.0</v>
      </c>
      <c r="I26" s="23">
        <v>100.0</v>
      </c>
      <c r="J26" s="24">
        <f t="shared" si="1"/>
        <v>100</v>
      </c>
      <c r="K26" s="33">
        <f>'PENULISAN LAPORAN'!L25</f>
        <v>72.75</v>
      </c>
      <c r="L26" s="46">
        <v>70.0</v>
      </c>
      <c r="M26" s="46">
        <v>70.0</v>
      </c>
      <c r="N26" s="46">
        <v>70.0</v>
      </c>
      <c r="O26" s="46">
        <v>70.0</v>
      </c>
      <c r="P26" s="46">
        <v>70.0</v>
      </c>
      <c r="Q26" s="46">
        <v>70.0</v>
      </c>
      <c r="R26" s="22">
        <f t="shared" si="2"/>
        <v>70</v>
      </c>
      <c r="S26" s="23">
        <v>80.0</v>
      </c>
      <c r="T26" s="23">
        <v>30.0</v>
      </c>
      <c r="U26" s="23">
        <v>80.0</v>
      </c>
      <c r="V26" s="23">
        <v>30.0</v>
      </c>
      <c r="W26" s="23">
        <v>60.0</v>
      </c>
      <c r="X26" s="23">
        <v>80.0</v>
      </c>
      <c r="Y26" s="24">
        <f t="shared" si="3"/>
        <v>60</v>
      </c>
      <c r="Z26" s="22">
        <f> 'KEMAMPUAN PRAKTIKUM'!H26</f>
        <v>84</v>
      </c>
      <c r="AA26" s="22">
        <f> 'KEMAMPUAN PRAKTIKUM'!M26</f>
        <v>75</v>
      </c>
      <c r="AB26" s="22">
        <f> 'KEMAMPUAN PRAKTIKUM'!R26</f>
        <v>90</v>
      </c>
      <c r="AC26" s="22">
        <f> 'KEMAMPUAN PRAKTIKUM'!W26</f>
        <v>81</v>
      </c>
      <c r="AD26" s="23">
        <f> 'KEMAMPUAN PRAKTIKUM'!AB26</f>
        <v>60</v>
      </c>
      <c r="AE26" s="22">
        <f> 'KEMAMPUAN PRAKTIKUM'!AG26</f>
        <v>54</v>
      </c>
      <c r="AF26" s="24">
        <f t="shared" si="4"/>
        <v>74</v>
      </c>
    </row>
    <row r="27" ht="15.75" customHeight="1">
      <c r="A27" s="22">
        <f>'INPUT DAFTAR PESERTA'!A24</f>
        <v>22</v>
      </c>
      <c r="B27" s="22">
        <f>'INPUT DAFTAR PESERTA'!B24</f>
        <v>2409076022</v>
      </c>
      <c r="C27" s="6" t="str">
        <f>'INPUT DAFTAR PESERTA'!C24</f>
        <v>Dewo Dzaki</v>
      </c>
      <c r="D27" s="23">
        <v>100.0</v>
      </c>
      <c r="E27" s="23">
        <v>100.0</v>
      </c>
      <c r="F27" s="23">
        <v>100.0</v>
      </c>
      <c r="G27" s="23">
        <v>100.0</v>
      </c>
      <c r="H27" s="23">
        <v>100.0</v>
      </c>
      <c r="I27" s="23">
        <v>100.0</v>
      </c>
      <c r="J27" s="24">
        <f t="shared" si="1"/>
        <v>100</v>
      </c>
      <c r="K27" s="33">
        <f>'PENULISAN LAPORAN'!L26</f>
        <v>82</v>
      </c>
      <c r="L27" s="46">
        <v>84.0</v>
      </c>
      <c r="M27" s="46">
        <v>84.0</v>
      </c>
      <c r="N27" s="46">
        <v>84.0</v>
      </c>
      <c r="O27" s="46">
        <v>84.0</v>
      </c>
      <c r="P27" s="46">
        <v>84.0</v>
      </c>
      <c r="Q27" s="46">
        <v>84.0</v>
      </c>
      <c r="R27" s="22">
        <f t="shared" si="2"/>
        <v>84</v>
      </c>
      <c r="S27" s="23">
        <v>70.0</v>
      </c>
      <c r="T27" s="23">
        <v>70.0</v>
      </c>
      <c r="U27" s="23">
        <v>100.0</v>
      </c>
      <c r="V27" s="23">
        <v>70.0</v>
      </c>
      <c r="W27" s="23">
        <v>80.0</v>
      </c>
      <c r="X27" s="23">
        <v>70.0</v>
      </c>
      <c r="Y27" s="24">
        <f t="shared" si="3"/>
        <v>76.66666667</v>
      </c>
      <c r="Z27" s="22">
        <f> 'KEMAMPUAN PRAKTIKUM'!H27</f>
        <v>69</v>
      </c>
      <c r="AA27" s="22">
        <f> 'KEMAMPUAN PRAKTIKUM'!M27</f>
        <v>90</v>
      </c>
      <c r="AB27" s="22">
        <f> 'KEMAMPUAN PRAKTIKUM'!R27</f>
        <v>90</v>
      </c>
      <c r="AC27" s="22">
        <f> 'KEMAMPUAN PRAKTIKUM'!W27</f>
        <v>87</v>
      </c>
      <c r="AD27" s="23">
        <f> 'KEMAMPUAN PRAKTIKUM'!AB27</f>
        <v>90</v>
      </c>
      <c r="AE27" s="22">
        <f> 'KEMAMPUAN PRAKTIKUM'!AG27</f>
        <v>57</v>
      </c>
      <c r="AF27" s="24">
        <f t="shared" si="4"/>
        <v>80.5</v>
      </c>
    </row>
    <row r="28" ht="15.75" customHeight="1">
      <c r="A28" s="22">
        <f>'INPUT DAFTAR PESERTA'!A25</f>
        <v>23</v>
      </c>
      <c r="B28" s="22">
        <f>'INPUT DAFTAR PESERTA'!B25</f>
        <v>2409076023</v>
      </c>
      <c r="C28" s="6" t="str">
        <f>'INPUT DAFTAR PESERTA'!C25</f>
        <v>Yusr Gavrila</v>
      </c>
      <c r="D28" s="23">
        <v>100.0</v>
      </c>
      <c r="E28" s="23">
        <v>100.0</v>
      </c>
      <c r="F28" s="23">
        <v>100.0</v>
      </c>
      <c r="G28" s="23">
        <v>100.0</v>
      </c>
      <c r="H28" s="23">
        <v>100.0</v>
      </c>
      <c r="I28" s="23">
        <v>100.0</v>
      </c>
      <c r="J28" s="24">
        <f t="shared" si="1"/>
        <v>100</v>
      </c>
      <c r="K28" s="33">
        <f>'PENULISAN LAPORAN'!L27</f>
        <v>87.66666667</v>
      </c>
      <c r="L28" s="46">
        <v>92.0</v>
      </c>
      <c r="M28" s="46">
        <v>92.0</v>
      </c>
      <c r="N28" s="46">
        <v>92.0</v>
      </c>
      <c r="O28" s="46">
        <v>92.0</v>
      </c>
      <c r="P28" s="46">
        <v>92.0</v>
      </c>
      <c r="Q28" s="46">
        <v>92.0</v>
      </c>
      <c r="R28" s="22">
        <f t="shared" si="2"/>
        <v>92</v>
      </c>
      <c r="S28" s="23">
        <v>80.0</v>
      </c>
      <c r="T28" s="23">
        <v>80.0</v>
      </c>
      <c r="U28" s="23">
        <v>100.0</v>
      </c>
      <c r="V28" s="23">
        <v>70.0</v>
      </c>
      <c r="W28" s="23">
        <v>80.0</v>
      </c>
      <c r="X28" s="23">
        <v>80.0</v>
      </c>
      <c r="Y28" s="24">
        <f t="shared" si="3"/>
        <v>81.66666667</v>
      </c>
      <c r="Z28" s="22">
        <f> 'KEMAMPUAN PRAKTIKUM'!H28</f>
        <v>84</v>
      </c>
      <c r="AA28" s="22">
        <f> 'KEMAMPUAN PRAKTIKUM'!M28</f>
        <v>90</v>
      </c>
      <c r="AB28" s="22">
        <f> 'KEMAMPUAN PRAKTIKUM'!R28</f>
        <v>90</v>
      </c>
      <c r="AC28" s="22">
        <f> 'KEMAMPUAN PRAKTIKUM'!W28</f>
        <v>87</v>
      </c>
      <c r="AD28" s="23">
        <f> 'KEMAMPUAN PRAKTIKUM'!AB28</f>
        <v>90</v>
      </c>
      <c r="AE28" s="22">
        <f> 'KEMAMPUAN PRAKTIKUM'!AG28</f>
        <v>57</v>
      </c>
      <c r="AF28" s="24">
        <f t="shared" si="4"/>
        <v>83</v>
      </c>
    </row>
    <row r="29" ht="15.75" customHeight="1">
      <c r="A29" s="22">
        <f>'INPUT DAFTAR PESERTA'!A26</f>
        <v>24</v>
      </c>
      <c r="B29" s="22">
        <f>'INPUT DAFTAR PESERTA'!B26</f>
        <v>2409076025</v>
      </c>
      <c r="C29" s="6" t="str">
        <f>'INPUT DAFTAR PESERTA'!C26</f>
        <v>Fahrizal Prasetya</v>
      </c>
      <c r="D29" s="23">
        <v>100.0</v>
      </c>
      <c r="E29" s="23">
        <v>100.0</v>
      </c>
      <c r="F29" s="23">
        <v>100.0</v>
      </c>
      <c r="G29" s="23">
        <v>100.0</v>
      </c>
      <c r="H29" s="23">
        <v>100.0</v>
      </c>
      <c r="I29" s="23">
        <v>100.0</v>
      </c>
      <c r="J29" s="24">
        <f t="shared" si="1"/>
        <v>100</v>
      </c>
      <c r="K29" s="33">
        <f>'PENULISAN LAPORAN'!L28</f>
        <v>61.83333333</v>
      </c>
      <c r="L29" s="46">
        <v>80.0</v>
      </c>
      <c r="M29" s="46">
        <v>80.0</v>
      </c>
      <c r="N29" s="46">
        <v>80.0</v>
      </c>
      <c r="O29" s="46">
        <v>80.0</v>
      </c>
      <c r="P29" s="46">
        <v>80.0</v>
      </c>
      <c r="Q29" s="46">
        <v>80.0</v>
      </c>
      <c r="R29" s="22">
        <f t="shared" si="2"/>
        <v>80</v>
      </c>
      <c r="S29" s="23">
        <v>70.0</v>
      </c>
      <c r="T29" s="23">
        <v>30.0</v>
      </c>
      <c r="U29" s="23">
        <v>80.0</v>
      </c>
      <c r="V29" s="23">
        <v>60.0</v>
      </c>
      <c r="W29" s="23">
        <v>70.0</v>
      </c>
      <c r="X29" s="23">
        <v>30.0</v>
      </c>
      <c r="Y29" s="24">
        <f t="shared" si="3"/>
        <v>56.66666667</v>
      </c>
      <c r="Z29" s="22">
        <f> 'KEMAMPUAN PRAKTIKUM'!H29</f>
        <v>75</v>
      </c>
      <c r="AA29" s="22">
        <f> 'KEMAMPUAN PRAKTIKUM'!M29</f>
        <v>90</v>
      </c>
      <c r="AB29" s="22">
        <f> 'KEMAMPUAN PRAKTIKUM'!R29</f>
        <v>60</v>
      </c>
      <c r="AC29" s="22">
        <f> 'KEMAMPUAN PRAKTIKUM'!W29</f>
        <v>57</v>
      </c>
      <c r="AD29" s="23">
        <f> 'KEMAMPUAN PRAKTIKUM'!AB29</f>
        <v>90</v>
      </c>
      <c r="AE29" s="22">
        <f> 'KEMAMPUAN PRAKTIKUM'!AG29</f>
        <v>48</v>
      </c>
      <c r="AF29" s="24">
        <f t="shared" si="4"/>
        <v>70</v>
      </c>
    </row>
    <row r="30" ht="15.75" customHeight="1">
      <c r="A30" s="22">
        <f>'INPUT DAFTAR PESERTA'!A27</f>
        <v>25</v>
      </c>
      <c r="B30" s="22">
        <f>'INPUT DAFTAR PESERTA'!B27</f>
        <v>2409076026</v>
      </c>
      <c r="C30" s="6" t="str">
        <f>'INPUT DAFTAR PESERTA'!C27</f>
        <v>Ariya Kema Maulana</v>
      </c>
      <c r="D30" s="23">
        <v>100.0</v>
      </c>
      <c r="E30" s="23">
        <v>100.0</v>
      </c>
      <c r="F30" s="23">
        <v>100.0</v>
      </c>
      <c r="G30" s="23">
        <v>100.0</v>
      </c>
      <c r="H30" s="23">
        <v>100.0</v>
      </c>
      <c r="I30" s="23">
        <v>100.0</v>
      </c>
      <c r="J30" s="24">
        <f t="shared" si="1"/>
        <v>100</v>
      </c>
      <c r="K30" s="33">
        <f>'PENULISAN LAPORAN'!L29</f>
        <v>66.25</v>
      </c>
      <c r="L30" s="46">
        <v>88.0</v>
      </c>
      <c r="M30" s="46">
        <v>88.0</v>
      </c>
      <c r="N30" s="46">
        <v>88.0</v>
      </c>
      <c r="O30" s="46">
        <v>88.0</v>
      </c>
      <c r="P30" s="46">
        <v>88.0</v>
      </c>
      <c r="Q30" s="46">
        <v>88.0</v>
      </c>
      <c r="R30" s="22">
        <f t="shared" si="2"/>
        <v>88</v>
      </c>
      <c r="S30" s="23">
        <v>60.0</v>
      </c>
      <c r="T30" s="23">
        <v>70.0</v>
      </c>
      <c r="U30" s="23">
        <v>80.0</v>
      </c>
      <c r="V30" s="23">
        <v>60.0</v>
      </c>
      <c r="W30" s="23">
        <v>70.0</v>
      </c>
      <c r="X30" s="23">
        <v>30.0</v>
      </c>
      <c r="Y30" s="24">
        <f t="shared" si="3"/>
        <v>61.66666667</v>
      </c>
      <c r="Z30" s="22">
        <f> 'KEMAMPUAN PRAKTIKUM'!H30</f>
        <v>75</v>
      </c>
      <c r="AA30" s="22">
        <f> 'KEMAMPUAN PRAKTIKUM'!M30</f>
        <v>75</v>
      </c>
      <c r="AB30" s="22">
        <f> 'KEMAMPUAN PRAKTIKUM'!R30</f>
        <v>90</v>
      </c>
      <c r="AC30" s="22">
        <f> 'KEMAMPUAN PRAKTIKUM'!W30</f>
        <v>51</v>
      </c>
      <c r="AD30" s="23">
        <f> 'KEMAMPUAN PRAKTIKUM'!AB30</f>
        <v>90</v>
      </c>
      <c r="AE30" s="22">
        <f> 'KEMAMPUAN PRAKTIKUM'!AG30</f>
        <v>45</v>
      </c>
      <c r="AF30" s="24">
        <f t="shared" si="4"/>
        <v>71</v>
      </c>
    </row>
    <row r="31" ht="15.75" customHeight="1">
      <c r="A31" s="22">
        <f>'INPUT DAFTAR PESERTA'!A28</f>
        <v>26</v>
      </c>
      <c r="B31" s="22">
        <f>'INPUT DAFTAR PESERTA'!B28</f>
        <v>2409076027</v>
      </c>
      <c r="C31" s="6" t="str">
        <f>'INPUT DAFTAR PESERTA'!C28</f>
        <v>Muhammad Afdal</v>
      </c>
      <c r="D31" s="23">
        <v>100.0</v>
      </c>
      <c r="E31" s="23">
        <v>100.0</v>
      </c>
      <c r="F31" s="23">
        <v>100.0</v>
      </c>
      <c r="G31" s="23">
        <v>100.0</v>
      </c>
      <c r="H31" s="23">
        <v>100.0</v>
      </c>
      <c r="I31" s="23">
        <v>100.0</v>
      </c>
      <c r="J31" s="24">
        <f t="shared" si="1"/>
        <v>100</v>
      </c>
      <c r="K31" s="33">
        <f>'PENULISAN LAPORAN'!L30</f>
        <v>63.95833333</v>
      </c>
      <c r="L31" s="46">
        <v>80.0</v>
      </c>
      <c r="M31" s="46">
        <v>80.0</v>
      </c>
      <c r="N31" s="46">
        <v>80.0</v>
      </c>
      <c r="O31" s="46">
        <v>80.0</v>
      </c>
      <c r="P31" s="46">
        <v>80.0</v>
      </c>
      <c r="Q31" s="46">
        <v>80.0</v>
      </c>
      <c r="R31" s="22">
        <f t="shared" si="2"/>
        <v>80</v>
      </c>
      <c r="S31" s="23">
        <v>70.0</v>
      </c>
      <c r="T31" s="23">
        <v>80.0</v>
      </c>
      <c r="U31" s="23">
        <v>80.0</v>
      </c>
      <c r="V31" s="23">
        <v>30.0</v>
      </c>
      <c r="W31" s="23">
        <v>80.0</v>
      </c>
      <c r="X31" s="23">
        <v>30.0</v>
      </c>
      <c r="Y31" s="24">
        <f t="shared" si="3"/>
        <v>61.66666667</v>
      </c>
      <c r="Z31" s="22">
        <f> 'KEMAMPUAN PRAKTIKUM'!H31</f>
        <v>75</v>
      </c>
      <c r="AA31" s="22">
        <f> 'KEMAMPUAN PRAKTIKUM'!M31</f>
        <v>60</v>
      </c>
      <c r="AB31" s="22">
        <f> 'KEMAMPUAN PRAKTIKUM'!R31</f>
        <v>90</v>
      </c>
      <c r="AC31" s="22">
        <f> 'KEMAMPUAN PRAKTIKUM'!W31</f>
        <v>51</v>
      </c>
      <c r="AD31" s="23">
        <f> 'KEMAMPUAN PRAKTIKUM'!AB31</f>
        <v>90</v>
      </c>
      <c r="AE31" s="22">
        <f> 'KEMAMPUAN PRAKTIKUM'!AG31</f>
        <v>54</v>
      </c>
      <c r="AF31" s="24">
        <f t="shared" si="4"/>
        <v>70</v>
      </c>
    </row>
    <row r="32" ht="15.75" customHeight="1">
      <c r="A32" s="22">
        <f>'INPUT DAFTAR PESERTA'!A29</f>
        <v>27</v>
      </c>
      <c r="B32" s="22">
        <f>'INPUT DAFTAR PESERTA'!B29</f>
        <v>2409076028</v>
      </c>
      <c r="C32" s="6" t="str">
        <f>'INPUT DAFTAR PESERTA'!C29</f>
        <v>Carlos Immanuel Simanjuntak</v>
      </c>
      <c r="D32" s="23">
        <v>100.0</v>
      </c>
      <c r="E32" s="23">
        <v>100.0</v>
      </c>
      <c r="F32" s="23">
        <v>100.0</v>
      </c>
      <c r="G32" s="23">
        <v>100.0</v>
      </c>
      <c r="H32" s="23">
        <v>100.0</v>
      </c>
      <c r="I32" s="23">
        <v>100.0</v>
      </c>
      <c r="J32" s="24">
        <f t="shared" si="1"/>
        <v>100</v>
      </c>
      <c r="K32" s="33">
        <f>'PENULISAN LAPORAN'!L31</f>
        <v>71.16666667</v>
      </c>
      <c r="L32" s="46">
        <v>80.0</v>
      </c>
      <c r="M32" s="46">
        <v>80.0</v>
      </c>
      <c r="N32" s="46">
        <v>80.0</v>
      </c>
      <c r="O32" s="46">
        <v>80.0</v>
      </c>
      <c r="P32" s="46">
        <v>80.0</v>
      </c>
      <c r="Q32" s="46">
        <v>80.0</v>
      </c>
      <c r="R32" s="22">
        <f t="shared" si="2"/>
        <v>80</v>
      </c>
      <c r="S32" s="23">
        <v>60.0</v>
      </c>
      <c r="T32" s="23">
        <v>70.0</v>
      </c>
      <c r="U32" s="23">
        <v>70.0</v>
      </c>
      <c r="V32" s="23">
        <v>60.0</v>
      </c>
      <c r="W32" s="23">
        <v>80.0</v>
      </c>
      <c r="X32" s="23">
        <v>60.0</v>
      </c>
      <c r="Y32" s="24">
        <f t="shared" si="3"/>
        <v>66.66666667</v>
      </c>
      <c r="Z32" s="22">
        <f> 'KEMAMPUAN PRAKTIKUM'!H32</f>
        <v>75</v>
      </c>
      <c r="AA32" s="22">
        <f> 'KEMAMPUAN PRAKTIKUM'!M32</f>
        <v>90</v>
      </c>
      <c r="AB32" s="22">
        <f> 'KEMAMPUAN PRAKTIKUM'!R32</f>
        <v>75</v>
      </c>
      <c r="AC32" s="22">
        <f> 'KEMAMPUAN PRAKTIKUM'!W32</f>
        <v>81</v>
      </c>
      <c r="AD32" s="23">
        <f> 'KEMAMPUAN PRAKTIKUM'!AB32</f>
        <v>90</v>
      </c>
      <c r="AE32" s="22">
        <f> 'KEMAMPUAN PRAKTIKUM'!AG32</f>
        <v>45</v>
      </c>
      <c r="AF32" s="24">
        <f t="shared" si="4"/>
        <v>76</v>
      </c>
    </row>
    <row r="33" ht="15.75" customHeight="1">
      <c r="A33" s="22">
        <f>'INPUT DAFTAR PESERTA'!A30</f>
        <v>28</v>
      </c>
      <c r="B33" s="22">
        <f>'INPUT DAFTAR PESERTA'!B30</f>
        <v>2409076029</v>
      </c>
      <c r="C33" s="6" t="str">
        <f>'INPUT DAFTAR PESERTA'!C30</f>
        <v>Ardhian Arif Ananda</v>
      </c>
      <c r="D33" s="23">
        <v>100.0</v>
      </c>
      <c r="E33" s="23">
        <v>100.0</v>
      </c>
      <c r="F33" s="23">
        <v>100.0</v>
      </c>
      <c r="G33" s="23">
        <v>0.0</v>
      </c>
      <c r="H33" s="23">
        <v>100.0</v>
      </c>
      <c r="I33" s="23">
        <v>100.0</v>
      </c>
      <c r="J33" s="24">
        <f t="shared" si="1"/>
        <v>83.33333333</v>
      </c>
      <c r="K33" s="33">
        <f>'PENULISAN LAPORAN'!L32</f>
        <v>55.33333333</v>
      </c>
      <c r="L33" s="46">
        <v>43.0</v>
      </c>
      <c r="M33" s="46">
        <v>43.0</v>
      </c>
      <c r="N33" s="46">
        <v>43.0</v>
      </c>
      <c r="O33" s="46">
        <v>43.0</v>
      </c>
      <c r="P33" s="46">
        <v>43.0</v>
      </c>
      <c r="Q33" s="46">
        <v>43.0</v>
      </c>
      <c r="R33" s="22">
        <f t="shared" si="2"/>
        <v>43</v>
      </c>
      <c r="S33" s="23">
        <v>70.0</v>
      </c>
      <c r="T33" s="23">
        <v>70.0</v>
      </c>
      <c r="U33" s="23">
        <v>80.0</v>
      </c>
      <c r="V33" s="23">
        <v>30.0</v>
      </c>
      <c r="W33" s="23">
        <v>30.0</v>
      </c>
      <c r="X33" s="23">
        <v>30.0</v>
      </c>
      <c r="Y33" s="24">
        <f t="shared" si="3"/>
        <v>51.66666667</v>
      </c>
      <c r="Z33" s="22">
        <f> 'KEMAMPUAN PRAKTIKUM'!H33</f>
        <v>75</v>
      </c>
      <c r="AA33" s="22">
        <f> 'KEMAMPUAN PRAKTIKUM'!M33</f>
        <v>90</v>
      </c>
      <c r="AB33" s="22">
        <f> 'KEMAMPUAN PRAKTIKUM'!R33</f>
        <v>75</v>
      </c>
      <c r="AC33" s="22">
        <f> 'KEMAMPUAN PRAKTIKUM'!W33</f>
        <v>0</v>
      </c>
      <c r="AD33" s="23">
        <f> 'KEMAMPUAN PRAKTIKUM'!AB33</f>
        <v>30</v>
      </c>
      <c r="AE33" s="22">
        <f> 'KEMAMPUAN PRAKTIKUM'!AG33</f>
        <v>45</v>
      </c>
      <c r="AF33" s="24">
        <f t="shared" si="4"/>
        <v>52.5</v>
      </c>
    </row>
    <row r="34" ht="15.75" customHeight="1">
      <c r="A34" s="22">
        <f>'INPUT DAFTAR PESERTA'!A31</f>
        <v>29</v>
      </c>
      <c r="B34" s="22">
        <f>'INPUT DAFTAR PESERTA'!B31</f>
        <v>2409076030</v>
      </c>
      <c r="C34" s="6" t="str">
        <f>'INPUT DAFTAR PESERTA'!C31</f>
        <v>Ahmad Fikri Tri Utomo</v>
      </c>
      <c r="D34" s="23">
        <v>100.0</v>
      </c>
      <c r="E34" s="23">
        <v>100.0</v>
      </c>
      <c r="F34" s="23">
        <v>100.0</v>
      </c>
      <c r="G34" s="23">
        <v>100.0</v>
      </c>
      <c r="H34" s="23">
        <v>100.0</v>
      </c>
      <c r="I34" s="23">
        <v>100.0</v>
      </c>
      <c r="J34" s="24">
        <f t="shared" si="1"/>
        <v>100</v>
      </c>
      <c r="K34" s="33">
        <f>'PENULISAN LAPORAN'!L33</f>
        <v>63.58333333</v>
      </c>
      <c r="L34" s="46">
        <v>94.0</v>
      </c>
      <c r="M34" s="46">
        <v>94.0</v>
      </c>
      <c r="N34" s="46">
        <v>94.0</v>
      </c>
      <c r="O34" s="46">
        <v>94.0</v>
      </c>
      <c r="P34" s="46">
        <v>94.0</v>
      </c>
      <c r="Q34" s="46">
        <v>94.0</v>
      </c>
      <c r="R34" s="22">
        <f t="shared" si="2"/>
        <v>94</v>
      </c>
      <c r="S34" s="23">
        <v>70.0</v>
      </c>
      <c r="T34" s="23">
        <v>70.0</v>
      </c>
      <c r="U34" s="23">
        <v>70.0</v>
      </c>
      <c r="V34" s="23">
        <v>30.0</v>
      </c>
      <c r="W34" s="23">
        <v>80.0</v>
      </c>
      <c r="X34" s="23">
        <v>70.0</v>
      </c>
      <c r="Y34" s="24">
        <f t="shared" si="3"/>
        <v>65</v>
      </c>
      <c r="Z34" s="22">
        <f> 'KEMAMPUAN PRAKTIKUM'!H34</f>
        <v>90</v>
      </c>
      <c r="AA34" s="22">
        <f> 'KEMAMPUAN PRAKTIKUM'!M34</f>
        <v>72</v>
      </c>
      <c r="AB34" s="22">
        <f> 'KEMAMPUAN PRAKTIKUM'!R34</f>
        <v>60</v>
      </c>
      <c r="AC34" s="22">
        <f> 'KEMAMPUAN PRAKTIKUM'!W34</f>
        <v>48</v>
      </c>
      <c r="AD34" s="23">
        <f> 'KEMAMPUAN PRAKTIKUM'!AB34</f>
        <v>90</v>
      </c>
      <c r="AE34" s="22">
        <f> 'KEMAMPUAN PRAKTIKUM'!AG34</f>
        <v>51</v>
      </c>
      <c r="AF34" s="24">
        <f t="shared" si="4"/>
        <v>68.5</v>
      </c>
    </row>
    <row r="35" ht="15.75" customHeight="1">
      <c r="A35" s="22">
        <f>'INPUT DAFTAR PESERTA'!A32</f>
        <v>30</v>
      </c>
      <c r="B35" s="22">
        <f>'INPUT DAFTAR PESERTA'!B32</f>
        <v>2409076031</v>
      </c>
      <c r="C35" s="6" t="str">
        <f>'INPUT DAFTAR PESERTA'!C32</f>
        <v>Muhammad Alfin Alfanfa</v>
      </c>
      <c r="D35" s="23">
        <v>100.0</v>
      </c>
      <c r="E35" s="23">
        <v>100.0</v>
      </c>
      <c r="F35" s="23">
        <v>100.0</v>
      </c>
      <c r="G35" s="23">
        <v>100.0</v>
      </c>
      <c r="H35" s="23">
        <v>100.0</v>
      </c>
      <c r="I35" s="23">
        <v>100.0</v>
      </c>
      <c r="J35" s="24">
        <f t="shared" si="1"/>
        <v>100</v>
      </c>
      <c r="K35" s="33">
        <f>'PENULISAN LAPORAN'!L34</f>
        <v>82</v>
      </c>
      <c r="L35" s="46">
        <v>92.0</v>
      </c>
      <c r="M35" s="46">
        <v>92.0</v>
      </c>
      <c r="N35" s="46">
        <v>92.0</v>
      </c>
      <c r="O35" s="46">
        <v>92.0</v>
      </c>
      <c r="P35" s="46">
        <v>92.0</v>
      </c>
      <c r="Q35" s="46">
        <v>92.0</v>
      </c>
      <c r="R35" s="22">
        <f t="shared" si="2"/>
        <v>92</v>
      </c>
      <c r="S35" s="23">
        <v>80.0</v>
      </c>
      <c r="T35" s="23">
        <v>80.0</v>
      </c>
      <c r="U35" s="23">
        <v>80.0</v>
      </c>
      <c r="V35" s="23">
        <v>70.0</v>
      </c>
      <c r="W35" s="23">
        <v>70.0</v>
      </c>
      <c r="X35" s="23">
        <v>80.0</v>
      </c>
      <c r="Y35" s="24">
        <f t="shared" si="3"/>
        <v>76.66666667</v>
      </c>
      <c r="Z35" s="22">
        <f> 'KEMAMPUAN PRAKTIKUM'!H35</f>
        <v>90</v>
      </c>
      <c r="AA35" s="22">
        <f> 'KEMAMPUAN PRAKTIKUM'!M35</f>
        <v>72</v>
      </c>
      <c r="AB35" s="22">
        <f> 'KEMAMPUAN PRAKTIKUM'!R35</f>
        <v>90</v>
      </c>
      <c r="AC35" s="22">
        <f> 'KEMAMPUAN PRAKTIKUM'!W35</f>
        <v>87</v>
      </c>
      <c r="AD35" s="23">
        <f> 'KEMAMPUAN PRAKTIKUM'!AB35</f>
        <v>90</v>
      </c>
      <c r="AE35" s="22">
        <f> 'KEMAMPUAN PRAKTIKUM'!AG35</f>
        <v>45</v>
      </c>
      <c r="AF35" s="24">
        <f t="shared" si="4"/>
        <v>79</v>
      </c>
    </row>
    <row r="36" ht="15.75" customHeight="1">
      <c r="A36" s="22">
        <f>'INPUT DAFTAR PESERTA'!A33</f>
        <v>31</v>
      </c>
      <c r="B36" s="22">
        <f>'INPUT DAFTAR PESERTA'!B33</f>
        <v>2409076032</v>
      </c>
      <c r="C36" s="6" t="str">
        <f>'INPUT DAFTAR PESERTA'!C33</f>
        <v>Faizal Haqi</v>
      </c>
      <c r="D36" s="23">
        <v>100.0</v>
      </c>
      <c r="E36" s="23">
        <v>100.0</v>
      </c>
      <c r="F36" s="23">
        <v>100.0</v>
      </c>
      <c r="G36" s="23">
        <v>100.0</v>
      </c>
      <c r="H36" s="23">
        <v>100.0</v>
      </c>
      <c r="I36" s="23">
        <v>100.0</v>
      </c>
      <c r="J36" s="24">
        <f t="shared" si="1"/>
        <v>100</v>
      </c>
      <c r="K36" s="33">
        <f>'PENULISAN LAPORAN'!L35</f>
        <v>78.91666667</v>
      </c>
      <c r="L36" s="46">
        <v>70.0</v>
      </c>
      <c r="M36" s="46">
        <v>70.0</v>
      </c>
      <c r="N36" s="46">
        <v>70.0</v>
      </c>
      <c r="O36" s="46">
        <v>70.0</v>
      </c>
      <c r="P36" s="46">
        <v>70.0</v>
      </c>
      <c r="Q36" s="46">
        <v>70.0</v>
      </c>
      <c r="R36" s="22">
        <f t="shared" si="2"/>
        <v>70</v>
      </c>
      <c r="S36" s="23">
        <v>80.0</v>
      </c>
      <c r="T36" s="23">
        <v>80.0</v>
      </c>
      <c r="U36" s="23">
        <v>80.0</v>
      </c>
      <c r="V36" s="23">
        <v>70.0</v>
      </c>
      <c r="W36" s="23">
        <v>80.0</v>
      </c>
      <c r="X36" s="23">
        <v>80.0</v>
      </c>
      <c r="Y36" s="24">
        <f t="shared" si="3"/>
        <v>78.33333333</v>
      </c>
      <c r="Z36" s="22">
        <f> 'KEMAMPUAN PRAKTIKUM'!H36</f>
        <v>90</v>
      </c>
      <c r="AA36" s="22">
        <f> 'KEMAMPUAN PRAKTIKUM'!M36</f>
        <v>57</v>
      </c>
      <c r="AB36" s="22">
        <f> 'KEMAMPUAN PRAKTIKUM'!R36</f>
        <v>75</v>
      </c>
      <c r="AC36" s="22">
        <f> 'KEMAMPUAN PRAKTIKUM'!W36</f>
        <v>87</v>
      </c>
      <c r="AD36" s="23">
        <f> 'KEMAMPUAN PRAKTIKUM'!AB36</f>
        <v>90</v>
      </c>
      <c r="AE36" s="22">
        <f> 'KEMAMPUAN PRAKTIKUM'!AG36</f>
        <v>72</v>
      </c>
      <c r="AF36" s="24">
        <f t="shared" si="4"/>
        <v>78.5</v>
      </c>
    </row>
    <row r="37" ht="15.75" customHeight="1">
      <c r="A37" s="22">
        <f>'INPUT DAFTAR PESERTA'!A34</f>
        <v>32</v>
      </c>
      <c r="B37" s="22">
        <f>'INPUT DAFTAR PESERTA'!B34</f>
        <v>2409076033</v>
      </c>
      <c r="C37" s="6" t="str">
        <f>'INPUT DAFTAR PESERTA'!C34</f>
        <v>Joinicius Pasalin</v>
      </c>
      <c r="D37" s="23">
        <v>100.0</v>
      </c>
      <c r="E37" s="23">
        <v>100.0</v>
      </c>
      <c r="F37" s="23">
        <v>100.0</v>
      </c>
      <c r="G37" s="23">
        <v>100.0</v>
      </c>
      <c r="H37" s="23">
        <v>100.0</v>
      </c>
      <c r="I37" s="23">
        <v>100.0</v>
      </c>
      <c r="J37" s="24">
        <f t="shared" si="1"/>
        <v>100</v>
      </c>
      <c r="K37" s="33">
        <f>'PENULISAN LAPORAN'!L36</f>
        <v>86.66666667</v>
      </c>
      <c r="L37" s="46">
        <v>82.0</v>
      </c>
      <c r="M37" s="46">
        <v>82.0</v>
      </c>
      <c r="N37" s="46">
        <v>82.0</v>
      </c>
      <c r="O37" s="46">
        <v>82.0</v>
      </c>
      <c r="P37" s="46">
        <v>82.0</v>
      </c>
      <c r="Q37" s="46">
        <v>82.0</v>
      </c>
      <c r="R37" s="22">
        <f t="shared" si="2"/>
        <v>82</v>
      </c>
      <c r="S37" s="23">
        <v>80.0</v>
      </c>
      <c r="T37" s="23">
        <v>80.0</v>
      </c>
      <c r="U37" s="23">
        <v>80.0</v>
      </c>
      <c r="V37" s="23">
        <v>60.0</v>
      </c>
      <c r="W37" s="23">
        <v>80.0</v>
      </c>
      <c r="X37" s="23">
        <v>80.0</v>
      </c>
      <c r="Y37" s="24">
        <f t="shared" si="3"/>
        <v>76.66666667</v>
      </c>
      <c r="Z37" s="22">
        <f> 'KEMAMPUAN PRAKTIKUM'!H37</f>
        <v>90</v>
      </c>
      <c r="AA37" s="22">
        <f> 'KEMAMPUAN PRAKTIKUM'!M37</f>
        <v>72</v>
      </c>
      <c r="AB37" s="22">
        <f> 'KEMAMPUAN PRAKTIKUM'!R37</f>
        <v>90</v>
      </c>
      <c r="AC37" s="22">
        <f> 'KEMAMPUAN PRAKTIKUM'!W37</f>
        <v>87</v>
      </c>
      <c r="AD37" s="23">
        <f> 'KEMAMPUAN PRAKTIKUM'!AB37</f>
        <v>90</v>
      </c>
      <c r="AE37" s="22">
        <f> 'KEMAMPUAN PRAKTIKUM'!AG37</f>
        <v>60</v>
      </c>
      <c r="AF37" s="24">
        <f t="shared" si="4"/>
        <v>81.5</v>
      </c>
    </row>
    <row r="38" ht="15.75" customHeight="1">
      <c r="A38" s="22">
        <f>'INPUT DAFTAR PESERTA'!A35</f>
        <v>33</v>
      </c>
      <c r="B38" s="22">
        <f>'INPUT DAFTAR PESERTA'!B35</f>
        <v>2409076034</v>
      </c>
      <c r="C38" s="6" t="str">
        <f>'INPUT DAFTAR PESERTA'!C35</f>
        <v>Alwi Rudiansyah</v>
      </c>
      <c r="D38" s="23">
        <v>100.0</v>
      </c>
      <c r="E38" s="23">
        <v>100.0</v>
      </c>
      <c r="F38" s="23">
        <v>100.0</v>
      </c>
      <c r="G38" s="23">
        <v>100.0</v>
      </c>
      <c r="H38" s="23">
        <v>100.0</v>
      </c>
      <c r="I38" s="23">
        <v>100.0</v>
      </c>
      <c r="J38" s="24">
        <f t="shared" si="1"/>
        <v>100</v>
      </c>
      <c r="K38" s="33">
        <f>'PENULISAN LAPORAN'!L37</f>
        <v>84.20833333</v>
      </c>
      <c r="L38" s="46">
        <v>98.0</v>
      </c>
      <c r="M38" s="46">
        <v>98.0</v>
      </c>
      <c r="N38" s="46">
        <v>98.0</v>
      </c>
      <c r="O38" s="46">
        <v>98.0</v>
      </c>
      <c r="P38" s="46">
        <v>98.0</v>
      </c>
      <c r="Q38" s="46">
        <v>98.0</v>
      </c>
      <c r="R38" s="22">
        <f t="shared" si="2"/>
        <v>98</v>
      </c>
      <c r="S38" s="23">
        <v>80.0</v>
      </c>
      <c r="T38" s="23">
        <v>70.0</v>
      </c>
      <c r="U38" s="23">
        <v>80.0</v>
      </c>
      <c r="V38" s="23">
        <v>70.0</v>
      </c>
      <c r="W38" s="23">
        <v>80.0</v>
      </c>
      <c r="X38" s="23">
        <v>80.0</v>
      </c>
      <c r="Y38" s="24">
        <f t="shared" si="3"/>
        <v>76.66666667</v>
      </c>
      <c r="Z38" s="22">
        <f> 'KEMAMPUAN PRAKTIKUM'!H38</f>
        <v>90</v>
      </c>
      <c r="AA38" s="22">
        <f> 'KEMAMPUAN PRAKTIKUM'!M38</f>
        <v>87</v>
      </c>
      <c r="AB38" s="22">
        <f> 'KEMAMPUAN PRAKTIKUM'!R38</f>
        <v>75</v>
      </c>
      <c r="AC38" s="22">
        <f> 'KEMAMPUAN PRAKTIKUM'!W38</f>
        <v>90</v>
      </c>
      <c r="AD38" s="23">
        <f> 'KEMAMPUAN PRAKTIKUM'!AB38</f>
        <v>90</v>
      </c>
      <c r="AE38" s="22">
        <f> 'KEMAMPUAN PRAKTIKUM'!AG38</f>
        <v>45</v>
      </c>
      <c r="AF38" s="24">
        <f t="shared" si="4"/>
        <v>79.5</v>
      </c>
    </row>
    <row r="39" ht="15.75" customHeight="1">
      <c r="A39" s="22">
        <f>'INPUT DAFTAR PESERTA'!A36</f>
        <v>34</v>
      </c>
      <c r="B39" s="22">
        <f>'INPUT DAFTAR PESERTA'!B36</f>
        <v>2409076035</v>
      </c>
      <c r="C39" s="6" t="str">
        <f>'INPUT DAFTAR PESERTA'!C36</f>
        <v>Muhammad Rizki Nauval Alim</v>
      </c>
      <c r="D39" s="23">
        <v>100.0</v>
      </c>
      <c r="E39" s="23">
        <v>100.0</v>
      </c>
      <c r="F39" s="23">
        <v>100.0</v>
      </c>
      <c r="G39" s="23">
        <v>100.0</v>
      </c>
      <c r="H39" s="23">
        <v>100.0</v>
      </c>
      <c r="I39" s="23">
        <v>100.0</v>
      </c>
      <c r="J39" s="24">
        <f t="shared" si="1"/>
        <v>100</v>
      </c>
      <c r="K39" s="33">
        <f>'PENULISAN LAPORAN'!L38</f>
        <v>86.16666667</v>
      </c>
      <c r="L39" s="46">
        <v>82.0</v>
      </c>
      <c r="M39" s="46">
        <v>82.0</v>
      </c>
      <c r="N39" s="46">
        <v>82.0</v>
      </c>
      <c r="O39" s="46">
        <v>82.0</v>
      </c>
      <c r="P39" s="46">
        <v>82.0</v>
      </c>
      <c r="Q39" s="46">
        <v>82.0</v>
      </c>
      <c r="R39" s="22">
        <f t="shared" si="2"/>
        <v>82</v>
      </c>
      <c r="S39" s="23">
        <v>80.0</v>
      </c>
      <c r="T39" s="23">
        <v>80.0</v>
      </c>
      <c r="U39" s="23">
        <v>80.0</v>
      </c>
      <c r="V39" s="23">
        <v>70.0</v>
      </c>
      <c r="W39" s="23">
        <v>80.0</v>
      </c>
      <c r="X39" s="23">
        <v>70.0</v>
      </c>
      <c r="Y39" s="24">
        <f t="shared" si="3"/>
        <v>76.66666667</v>
      </c>
      <c r="Z39" s="22">
        <f> 'KEMAMPUAN PRAKTIKUM'!H39</f>
        <v>90</v>
      </c>
      <c r="AA39" s="22">
        <f> 'KEMAMPUAN PRAKTIKUM'!M39</f>
        <v>72</v>
      </c>
      <c r="AB39" s="22">
        <f> 'KEMAMPUAN PRAKTIKUM'!R39</f>
        <v>90</v>
      </c>
      <c r="AC39" s="22">
        <f> 'KEMAMPUAN PRAKTIKUM'!W39</f>
        <v>90</v>
      </c>
      <c r="AD39" s="23">
        <f> 'KEMAMPUAN PRAKTIKUM'!AB39</f>
        <v>90</v>
      </c>
      <c r="AE39" s="22">
        <f> 'KEMAMPUAN PRAKTIKUM'!AG39</f>
        <v>72</v>
      </c>
      <c r="AF39" s="24">
        <f t="shared" si="4"/>
        <v>84</v>
      </c>
    </row>
    <row r="40" ht="15.75" customHeight="1">
      <c r="A40" s="22">
        <f>'INPUT DAFTAR PESERTA'!A37</f>
        <v>35</v>
      </c>
      <c r="B40" s="22">
        <f>'INPUT DAFTAR PESERTA'!B37</f>
        <v>2409076036</v>
      </c>
      <c r="C40" s="6" t="str">
        <f>'INPUT DAFTAR PESERTA'!C37</f>
        <v>Muhammad Rico Setiawan</v>
      </c>
      <c r="D40" s="23">
        <v>100.0</v>
      </c>
      <c r="E40" s="23">
        <v>100.0</v>
      </c>
      <c r="F40" s="23">
        <v>100.0</v>
      </c>
      <c r="G40" s="23">
        <v>100.0</v>
      </c>
      <c r="H40" s="23">
        <v>100.0</v>
      </c>
      <c r="I40" s="23">
        <v>0.0</v>
      </c>
      <c r="J40" s="24">
        <f t="shared" si="1"/>
        <v>83.33333333</v>
      </c>
      <c r="K40" s="33">
        <f>'PENULISAN LAPORAN'!L39</f>
        <v>0</v>
      </c>
      <c r="L40" s="46">
        <v>84.0</v>
      </c>
      <c r="M40" s="46">
        <v>84.0</v>
      </c>
      <c r="N40" s="46">
        <v>84.0</v>
      </c>
      <c r="O40" s="46">
        <v>84.0</v>
      </c>
      <c r="P40" s="46">
        <v>84.0</v>
      </c>
      <c r="Q40" s="46">
        <v>84.0</v>
      </c>
      <c r="R40" s="22">
        <f t="shared" si="2"/>
        <v>84</v>
      </c>
      <c r="S40" s="22"/>
      <c r="T40" s="22"/>
      <c r="U40" s="22"/>
      <c r="V40" s="23"/>
      <c r="W40" s="22"/>
      <c r="X40" s="22"/>
      <c r="Y40" s="24">
        <f t="shared" si="3"/>
        <v>0</v>
      </c>
      <c r="Z40" s="22">
        <f> 'KEMAMPUAN PRAKTIKUM'!H40</f>
        <v>90</v>
      </c>
      <c r="AA40" s="22">
        <f> 'KEMAMPUAN PRAKTIKUM'!M40</f>
        <v>0</v>
      </c>
      <c r="AB40" s="22">
        <f> 'KEMAMPUAN PRAKTIKUM'!R40</f>
        <v>0</v>
      </c>
      <c r="AC40" s="22">
        <f> 'KEMAMPUAN PRAKTIKUM'!W40</f>
        <v>0</v>
      </c>
      <c r="AD40" s="23">
        <f> 'KEMAMPUAN PRAKTIKUM'!AB40</f>
        <v>0</v>
      </c>
      <c r="AE40" s="22">
        <f> 'KEMAMPUAN PRAKTIKUM'!AG40</f>
        <v>0</v>
      </c>
      <c r="AF40" s="24">
        <f t="shared" si="4"/>
        <v>15</v>
      </c>
    </row>
    <row r="41" ht="15.75" customHeight="1">
      <c r="A41" s="22">
        <f>'INPUT DAFTAR PESERTA'!A38</f>
        <v>36</v>
      </c>
      <c r="B41" s="22">
        <f>'INPUT DAFTAR PESERTA'!B38</f>
        <v>2409076037</v>
      </c>
      <c r="C41" s="6" t="str">
        <f>'INPUT DAFTAR PESERTA'!C38</f>
        <v>Muhammad Ananda Ryan Nur Rahman</v>
      </c>
      <c r="D41" s="23">
        <v>100.0</v>
      </c>
      <c r="E41" s="23">
        <v>100.0</v>
      </c>
      <c r="F41" s="23">
        <v>100.0</v>
      </c>
      <c r="G41" s="23">
        <v>100.0</v>
      </c>
      <c r="H41" s="23">
        <v>100.0</v>
      </c>
      <c r="I41" s="23">
        <v>100.0</v>
      </c>
      <c r="J41" s="24">
        <f t="shared" si="1"/>
        <v>100</v>
      </c>
      <c r="K41" s="33">
        <f>'PENULISAN LAPORAN'!L40</f>
        <v>62</v>
      </c>
      <c r="L41" s="46">
        <v>60.0</v>
      </c>
      <c r="M41" s="46">
        <v>60.0</v>
      </c>
      <c r="N41" s="46">
        <v>60.0</v>
      </c>
      <c r="O41" s="46">
        <v>60.0</v>
      </c>
      <c r="P41" s="46">
        <v>60.0</v>
      </c>
      <c r="Q41" s="46">
        <v>60.0</v>
      </c>
      <c r="R41" s="22">
        <f t="shared" si="2"/>
        <v>60</v>
      </c>
      <c r="S41" s="23">
        <v>80.0</v>
      </c>
      <c r="T41" s="23">
        <v>30.0</v>
      </c>
      <c r="U41" s="23">
        <v>80.0</v>
      </c>
      <c r="V41" s="23">
        <v>30.0</v>
      </c>
      <c r="W41" s="23">
        <v>30.0</v>
      </c>
      <c r="X41" s="23">
        <v>30.0</v>
      </c>
      <c r="Y41" s="24">
        <f t="shared" si="3"/>
        <v>46.66666667</v>
      </c>
      <c r="Z41" s="22">
        <f> 'KEMAMPUAN PRAKTIKUM'!H41</f>
        <v>90</v>
      </c>
      <c r="AA41" s="22">
        <f> 'KEMAMPUAN PRAKTIKUM'!M41</f>
        <v>72</v>
      </c>
      <c r="AB41" s="22">
        <f> 'KEMAMPUAN PRAKTIKUM'!R41</f>
        <v>60</v>
      </c>
      <c r="AC41" s="22">
        <f> 'KEMAMPUAN PRAKTIKUM'!W41</f>
        <v>72</v>
      </c>
      <c r="AD41" s="23">
        <f> 'KEMAMPUAN PRAKTIKUM'!AB41</f>
        <v>30</v>
      </c>
      <c r="AE41" s="22">
        <f> 'KEMAMPUAN PRAKTIKUM'!AG41</f>
        <v>54</v>
      </c>
      <c r="AF41" s="24">
        <f t="shared" si="4"/>
        <v>63</v>
      </c>
    </row>
    <row r="42" ht="15.75" customHeight="1">
      <c r="A42" s="22">
        <f>'INPUT DAFTAR PESERTA'!A39</f>
        <v>37</v>
      </c>
      <c r="B42" s="22">
        <f>'INPUT DAFTAR PESERTA'!B39</f>
        <v>2409076038</v>
      </c>
      <c r="C42" s="6" t="str">
        <f>'INPUT DAFTAR PESERTA'!C39</f>
        <v>Muhammad Alif Rahmat Syakir</v>
      </c>
      <c r="D42" s="23">
        <v>100.0</v>
      </c>
      <c r="E42" s="23">
        <v>100.0</v>
      </c>
      <c r="F42" s="23">
        <v>100.0</v>
      </c>
      <c r="G42" s="23">
        <v>100.0</v>
      </c>
      <c r="H42" s="23">
        <v>100.0</v>
      </c>
      <c r="I42" s="23">
        <v>0.0</v>
      </c>
      <c r="J42" s="24">
        <f t="shared" si="1"/>
        <v>83.33333333</v>
      </c>
      <c r="K42" s="33">
        <f>'PENULISAN LAPORAN'!L41</f>
        <v>4.916666667</v>
      </c>
      <c r="L42" s="46">
        <v>66.0</v>
      </c>
      <c r="M42" s="46">
        <v>66.0</v>
      </c>
      <c r="N42" s="46">
        <v>66.0</v>
      </c>
      <c r="O42" s="46">
        <v>66.0</v>
      </c>
      <c r="P42" s="46">
        <v>66.0</v>
      </c>
      <c r="Q42" s="46">
        <v>66.0</v>
      </c>
      <c r="R42" s="22">
        <f t="shared" si="2"/>
        <v>66</v>
      </c>
      <c r="S42" s="22"/>
      <c r="T42" s="22"/>
      <c r="U42" s="22"/>
      <c r="V42" s="23"/>
      <c r="W42" s="22"/>
      <c r="X42" s="22"/>
      <c r="Y42" s="24">
        <f t="shared" si="3"/>
        <v>0</v>
      </c>
      <c r="Z42" s="22">
        <f> 'KEMAMPUAN PRAKTIKUM'!H42</f>
        <v>0</v>
      </c>
      <c r="AA42" s="22">
        <f> 'KEMAMPUAN PRAKTIKUM'!M42</f>
        <v>60</v>
      </c>
      <c r="AB42" s="22">
        <f> 'KEMAMPUAN PRAKTIKUM'!R42</f>
        <v>0</v>
      </c>
      <c r="AC42" s="22">
        <f> 'KEMAMPUAN PRAKTIKUM'!W42</f>
        <v>0</v>
      </c>
      <c r="AD42" s="23">
        <f> 'KEMAMPUAN PRAKTIKUM'!AB42</f>
        <v>0</v>
      </c>
      <c r="AE42" s="22">
        <f> 'KEMAMPUAN PRAKTIKUM'!AG42</f>
        <v>0</v>
      </c>
      <c r="AF42" s="24">
        <f t="shared" si="4"/>
        <v>10</v>
      </c>
    </row>
    <row r="43" ht="15.75" customHeight="1">
      <c r="A43" s="22">
        <f>'INPUT DAFTAR PESERTA'!A40</f>
        <v>38</v>
      </c>
      <c r="B43" s="22">
        <f>'INPUT DAFTAR PESERTA'!B40</f>
        <v>2409076039</v>
      </c>
      <c r="C43" s="6" t="str">
        <f>'INPUT DAFTAR PESERTA'!C40</f>
        <v>Christopher Mahesa Aditama</v>
      </c>
      <c r="D43" s="23">
        <v>100.0</v>
      </c>
      <c r="E43" s="23">
        <v>100.0</v>
      </c>
      <c r="F43" s="23">
        <v>100.0</v>
      </c>
      <c r="G43" s="23">
        <v>100.0</v>
      </c>
      <c r="H43" s="23">
        <v>100.0</v>
      </c>
      <c r="I43" s="23">
        <v>100.0</v>
      </c>
      <c r="J43" s="24">
        <f t="shared" si="1"/>
        <v>100</v>
      </c>
      <c r="K43" s="33">
        <f>'PENULISAN LAPORAN'!L42</f>
        <v>84.08333333</v>
      </c>
      <c r="L43" s="46">
        <v>82.0</v>
      </c>
      <c r="M43" s="46">
        <v>82.0</v>
      </c>
      <c r="N43" s="46">
        <v>82.0</v>
      </c>
      <c r="O43" s="46">
        <v>82.0</v>
      </c>
      <c r="P43" s="46">
        <v>82.0</v>
      </c>
      <c r="Q43" s="46">
        <v>82.0</v>
      </c>
      <c r="R43" s="22">
        <f t="shared" si="2"/>
        <v>82</v>
      </c>
      <c r="S43" s="23">
        <v>70.0</v>
      </c>
      <c r="T43" s="23">
        <v>70.0</v>
      </c>
      <c r="U43" s="23">
        <v>80.0</v>
      </c>
      <c r="V43" s="23">
        <v>70.0</v>
      </c>
      <c r="W43" s="23">
        <v>80.0</v>
      </c>
      <c r="X43" s="23">
        <v>70.0</v>
      </c>
      <c r="Y43" s="24">
        <f t="shared" si="3"/>
        <v>73.33333333</v>
      </c>
      <c r="Z43" s="22">
        <f> 'KEMAMPUAN PRAKTIKUM'!H43</f>
        <v>90</v>
      </c>
      <c r="AA43" s="22">
        <f> 'KEMAMPUAN PRAKTIKUM'!M43</f>
        <v>90</v>
      </c>
      <c r="AB43" s="22">
        <f> 'KEMAMPUAN PRAKTIKUM'!R43</f>
        <v>90</v>
      </c>
      <c r="AC43" s="22">
        <f> 'KEMAMPUAN PRAKTIKUM'!W43</f>
        <v>81</v>
      </c>
      <c r="AD43" s="23">
        <f> 'KEMAMPUAN PRAKTIKUM'!AB43</f>
        <v>90</v>
      </c>
      <c r="AE43" s="22">
        <f> 'KEMAMPUAN PRAKTIKUM'!AG43</f>
        <v>60</v>
      </c>
      <c r="AF43" s="24">
        <f t="shared" si="4"/>
        <v>83.5</v>
      </c>
    </row>
    <row r="44" ht="15.75" customHeight="1">
      <c r="A44" s="22">
        <f>'INPUT DAFTAR PESERTA'!A41</f>
        <v>39</v>
      </c>
      <c r="B44" s="22">
        <f>'INPUT DAFTAR PESERTA'!B41</f>
        <v>2409076040</v>
      </c>
      <c r="C44" s="6" t="str">
        <f>'INPUT DAFTAR PESERTA'!C41</f>
        <v>Muhammad Rafli Ramadhani</v>
      </c>
      <c r="D44" s="23">
        <v>100.0</v>
      </c>
      <c r="E44" s="23">
        <v>100.0</v>
      </c>
      <c r="F44" s="23">
        <v>100.0</v>
      </c>
      <c r="G44" s="23">
        <v>100.0</v>
      </c>
      <c r="H44" s="23">
        <v>100.0</v>
      </c>
      <c r="I44" s="23">
        <v>100.0</v>
      </c>
      <c r="J44" s="24">
        <f t="shared" si="1"/>
        <v>100</v>
      </c>
      <c r="K44" s="33">
        <f>'PENULISAN LAPORAN'!L43</f>
        <v>88.75</v>
      </c>
      <c r="L44" s="46">
        <v>96.0</v>
      </c>
      <c r="M44" s="46">
        <v>96.0</v>
      </c>
      <c r="N44" s="46">
        <v>96.0</v>
      </c>
      <c r="O44" s="46">
        <v>96.0</v>
      </c>
      <c r="P44" s="46">
        <v>96.0</v>
      </c>
      <c r="Q44" s="46">
        <v>96.0</v>
      </c>
      <c r="R44" s="22">
        <f t="shared" si="2"/>
        <v>96</v>
      </c>
      <c r="S44" s="23">
        <v>80.0</v>
      </c>
      <c r="T44" s="23">
        <v>80.0</v>
      </c>
      <c r="U44" s="23">
        <v>100.0</v>
      </c>
      <c r="V44" s="23">
        <v>70.0</v>
      </c>
      <c r="W44" s="23">
        <v>80.0</v>
      </c>
      <c r="X44" s="23">
        <v>80.0</v>
      </c>
      <c r="Y44" s="24">
        <f t="shared" si="3"/>
        <v>81.66666667</v>
      </c>
      <c r="Z44" s="22">
        <f> 'KEMAMPUAN PRAKTIKUM'!H44</f>
        <v>90</v>
      </c>
      <c r="AA44" s="22">
        <f> 'KEMAMPUAN PRAKTIKUM'!M44</f>
        <v>90</v>
      </c>
      <c r="AB44" s="22">
        <f> 'KEMAMPUAN PRAKTIKUM'!R44</f>
        <v>90</v>
      </c>
      <c r="AC44" s="22">
        <f> 'KEMAMPUAN PRAKTIKUM'!W44</f>
        <v>84</v>
      </c>
      <c r="AD44" s="23">
        <f> 'KEMAMPUAN PRAKTIKUM'!AB44</f>
        <v>90</v>
      </c>
      <c r="AE44" s="22">
        <f> 'KEMAMPUAN PRAKTIKUM'!AG44</f>
        <v>60</v>
      </c>
      <c r="AF44" s="24">
        <f t="shared" si="4"/>
        <v>84</v>
      </c>
    </row>
    <row r="45" ht="15.75" customHeight="1">
      <c r="A45" s="22">
        <f>'INPUT DAFTAR PESERTA'!A42</f>
        <v>40</v>
      </c>
      <c r="B45" s="22">
        <f>'INPUT DAFTAR PESERTA'!B42</f>
        <v>2409076041</v>
      </c>
      <c r="C45" s="6" t="str">
        <f>'INPUT DAFTAR PESERTA'!C42</f>
        <v>Muhammad Rindhan Amarna</v>
      </c>
      <c r="D45" s="23">
        <v>100.0</v>
      </c>
      <c r="E45" s="23">
        <v>100.0</v>
      </c>
      <c r="F45" s="23">
        <v>100.0</v>
      </c>
      <c r="G45" s="23">
        <v>100.0</v>
      </c>
      <c r="H45" s="23">
        <v>100.0</v>
      </c>
      <c r="I45" s="23">
        <v>100.0</v>
      </c>
      <c r="J45" s="24">
        <f t="shared" si="1"/>
        <v>100</v>
      </c>
      <c r="K45" s="33">
        <f>'PENULISAN LAPORAN'!L44</f>
        <v>77.54166667</v>
      </c>
      <c r="L45" s="46">
        <v>86.0</v>
      </c>
      <c r="M45" s="46">
        <v>81.5</v>
      </c>
      <c r="N45" s="46">
        <v>86.0</v>
      </c>
      <c r="O45" s="46">
        <v>86.0</v>
      </c>
      <c r="P45" s="46">
        <v>86.0</v>
      </c>
      <c r="Q45" s="46">
        <v>86.0</v>
      </c>
      <c r="R45" s="22">
        <f t="shared" si="2"/>
        <v>85.25</v>
      </c>
      <c r="S45" s="23">
        <v>80.0</v>
      </c>
      <c r="T45" s="23">
        <v>80.0</v>
      </c>
      <c r="U45" s="23">
        <v>80.0</v>
      </c>
      <c r="V45" s="23">
        <v>80.0</v>
      </c>
      <c r="W45" s="23">
        <v>80.0</v>
      </c>
      <c r="X45" s="23">
        <v>70.0</v>
      </c>
      <c r="Y45" s="24">
        <f t="shared" si="3"/>
        <v>78.33333333</v>
      </c>
      <c r="Z45" s="22">
        <f> 'KEMAMPUAN PRAKTIKUM'!H45</f>
        <v>90</v>
      </c>
      <c r="AA45" s="22">
        <f> 'KEMAMPUAN PRAKTIKUM'!M45</f>
        <v>75</v>
      </c>
      <c r="AB45" s="22">
        <f> 'KEMAMPUAN PRAKTIKUM'!R45</f>
        <v>54</v>
      </c>
      <c r="AC45" s="22">
        <f> 'KEMAMPUAN PRAKTIKUM'!W45</f>
        <v>90</v>
      </c>
      <c r="AD45" s="23">
        <f> 'KEMAMPUAN PRAKTIKUM'!AB45</f>
        <v>90</v>
      </c>
      <c r="AE45" s="22">
        <f> 'KEMAMPUAN PRAKTIKUM'!AG45</f>
        <v>60</v>
      </c>
      <c r="AF45" s="24">
        <f t="shared" si="4"/>
        <v>76.5</v>
      </c>
    </row>
    <row r="46" ht="15.75" customHeight="1">
      <c r="A46" s="22">
        <f>'INPUT DAFTAR PESERTA'!A43</f>
        <v>41</v>
      </c>
      <c r="B46" s="22">
        <f>'INPUT DAFTAR PESERTA'!B43</f>
        <v>2409076043</v>
      </c>
      <c r="C46" s="6" t="str">
        <f>'INPUT DAFTAR PESERTA'!C43</f>
        <v>Bima Angga Pratama</v>
      </c>
      <c r="D46" s="23">
        <v>100.0</v>
      </c>
      <c r="E46" s="23">
        <v>100.0</v>
      </c>
      <c r="F46" s="23">
        <v>100.0</v>
      </c>
      <c r="G46" s="23">
        <v>100.0</v>
      </c>
      <c r="H46" s="23">
        <v>100.0</v>
      </c>
      <c r="I46" s="23">
        <v>0.0</v>
      </c>
      <c r="J46" s="24">
        <f t="shared" si="1"/>
        <v>83.33333333</v>
      </c>
      <c r="K46" s="33">
        <f>'PENULISAN LAPORAN'!L45</f>
        <v>10.625</v>
      </c>
      <c r="L46" s="46">
        <v>62.0</v>
      </c>
      <c r="M46" s="46">
        <v>62.0</v>
      </c>
      <c r="N46" s="46">
        <v>62.0</v>
      </c>
      <c r="O46" s="46">
        <v>62.0</v>
      </c>
      <c r="P46" s="46">
        <v>62.0</v>
      </c>
      <c r="Q46" s="46">
        <v>62.0</v>
      </c>
      <c r="R46" s="22">
        <f t="shared" si="2"/>
        <v>62</v>
      </c>
      <c r="S46" s="22"/>
      <c r="T46" s="22"/>
      <c r="U46" s="22"/>
      <c r="V46" s="22"/>
      <c r="W46" s="22"/>
      <c r="X46" s="23"/>
      <c r="Y46" s="24">
        <f t="shared" si="3"/>
        <v>0</v>
      </c>
      <c r="Z46" s="22">
        <f> 'KEMAMPUAN PRAKTIKUM'!H46</f>
        <v>60</v>
      </c>
      <c r="AA46" s="22">
        <f> 'KEMAMPUAN PRAKTIKUM'!M46</f>
        <v>60</v>
      </c>
      <c r="AB46" s="22">
        <f> 'KEMAMPUAN PRAKTIKUM'!R46</f>
        <v>0</v>
      </c>
      <c r="AC46" s="22">
        <f> 'KEMAMPUAN PRAKTIKUM'!W46</f>
        <v>0</v>
      </c>
      <c r="AD46" s="23">
        <f> 'KEMAMPUAN PRAKTIKUM'!AB46</f>
        <v>0</v>
      </c>
      <c r="AE46" s="22">
        <f> 'KEMAMPUAN PRAKTIKUM'!AG46</f>
        <v>0</v>
      </c>
      <c r="AF46" s="24">
        <f t="shared" si="4"/>
        <v>20</v>
      </c>
    </row>
    <row r="47" ht="15.75" customHeight="1">
      <c r="A47" s="22">
        <f>'INPUT DAFTAR PESERTA'!A44</f>
        <v>42</v>
      </c>
      <c r="B47" s="22">
        <f>'INPUT DAFTAR PESERTA'!B44</f>
        <v>2409076044</v>
      </c>
      <c r="C47" s="6" t="str">
        <f>'INPUT DAFTAR PESERTA'!C44</f>
        <v>Muhammad Daffa Dzakwan</v>
      </c>
      <c r="D47" s="23">
        <v>100.0</v>
      </c>
      <c r="E47" s="23">
        <v>100.0</v>
      </c>
      <c r="F47" s="23">
        <v>100.0</v>
      </c>
      <c r="G47" s="23">
        <v>100.0</v>
      </c>
      <c r="H47" s="23">
        <v>100.0</v>
      </c>
      <c r="I47" s="23">
        <v>0.0</v>
      </c>
      <c r="J47" s="24">
        <f t="shared" si="1"/>
        <v>83.33333333</v>
      </c>
      <c r="K47" s="33">
        <f>'PENULISAN LAPORAN'!L46</f>
        <v>71.375</v>
      </c>
      <c r="L47" s="46">
        <v>98.0</v>
      </c>
      <c r="M47" s="46">
        <v>98.0</v>
      </c>
      <c r="N47" s="46">
        <v>98.0</v>
      </c>
      <c r="O47" s="46">
        <v>98.0</v>
      </c>
      <c r="P47" s="46">
        <v>98.0</v>
      </c>
      <c r="Q47" s="46">
        <v>98.0</v>
      </c>
      <c r="R47" s="22">
        <f t="shared" si="2"/>
        <v>98</v>
      </c>
      <c r="S47" s="23">
        <v>80.0</v>
      </c>
      <c r="T47" s="23">
        <v>80.0</v>
      </c>
      <c r="U47" s="23">
        <v>80.0</v>
      </c>
      <c r="V47" s="23">
        <v>70.0</v>
      </c>
      <c r="W47" s="23">
        <v>80.0</v>
      </c>
      <c r="X47" s="23">
        <v>0.0</v>
      </c>
      <c r="Y47" s="24">
        <f t="shared" si="3"/>
        <v>65</v>
      </c>
      <c r="Z47" s="22">
        <f> 'KEMAMPUAN PRAKTIKUM'!H47</f>
        <v>75</v>
      </c>
      <c r="AA47" s="22">
        <f> 'KEMAMPUAN PRAKTIKUM'!M47</f>
        <v>72</v>
      </c>
      <c r="AB47" s="22">
        <f> 'KEMAMPUAN PRAKTIKUM'!R47</f>
        <v>75</v>
      </c>
      <c r="AC47" s="22">
        <f> 'KEMAMPUAN PRAKTIKUM'!W47</f>
        <v>72</v>
      </c>
      <c r="AD47" s="23">
        <f> 'KEMAMPUAN PRAKTIKUM'!AB47</f>
        <v>75</v>
      </c>
      <c r="AE47" s="22">
        <f> 'KEMAMPUAN PRAKTIKUM'!AG47</f>
        <v>0</v>
      </c>
      <c r="AF47" s="24">
        <f t="shared" si="4"/>
        <v>61.5</v>
      </c>
    </row>
    <row r="48" ht="15.75" customHeight="1">
      <c r="A48" s="22">
        <f>'INPUT DAFTAR PESERTA'!A45</f>
        <v>43</v>
      </c>
      <c r="B48" s="22">
        <f>'INPUT DAFTAR PESERTA'!B45</f>
        <v>2409076045</v>
      </c>
      <c r="C48" s="6" t="str">
        <f>'INPUT DAFTAR PESERTA'!C45</f>
        <v>Ahmad Purwono Aji</v>
      </c>
      <c r="D48" s="23">
        <v>100.0</v>
      </c>
      <c r="E48" s="23">
        <v>100.0</v>
      </c>
      <c r="F48" s="23">
        <v>100.0</v>
      </c>
      <c r="G48" s="23">
        <v>100.0</v>
      </c>
      <c r="H48" s="23">
        <v>100.0</v>
      </c>
      <c r="I48" s="23">
        <v>0.0</v>
      </c>
      <c r="J48" s="24">
        <f t="shared" si="1"/>
        <v>83.33333333</v>
      </c>
      <c r="K48" s="33">
        <f>'PENULISAN LAPORAN'!L47</f>
        <v>52.79166667</v>
      </c>
      <c r="L48" s="23">
        <v>0.0</v>
      </c>
      <c r="M48" s="23">
        <v>0.0</v>
      </c>
      <c r="N48" s="23">
        <v>0.0</v>
      </c>
      <c r="O48" s="23">
        <v>0.0</v>
      </c>
      <c r="P48" s="23">
        <v>0.0</v>
      </c>
      <c r="Q48" s="23">
        <v>0.0</v>
      </c>
      <c r="R48" s="22">
        <f t="shared" si="2"/>
        <v>0</v>
      </c>
      <c r="S48" s="23">
        <v>70.0</v>
      </c>
      <c r="T48" s="23">
        <v>0.0</v>
      </c>
      <c r="U48" s="23">
        <v>80.0</v>
      </c>
      <c r="V48" s="23">
        <v>30.0</v>
      </c>
      <c r="W48" s="23">
        <v>30.0</v>
      </c>
      <c r="X48" s="23">
        <v>0.0</v>
      </c>
      <c r="Y48" s="24">
        <f t="shared" si="3"/>
        <v>35</v>
      </c>
      <c r="Z48" s="22">
        <f> 'KEMAMPUAN PRAKTIKUM'!H48</f>
        <v>75</v>
      </c>
      <c r="AA48" s="22">
        <f> 'KEMAMPUAN PRAKTIKUM'!M48</f>
        <v>57</v>
      </c>
      <c r="AB48" s="22">
        <f> 'KEMAMPUAN PRAKTIKUM'!R48</f>
        <v>54</v>
      </c>
      <c r="AC48" s="22">
        <f> 'KEMAMPUAN PRAKTIKUM'!W48</f>
        <v>66</v>
      </c>
      <c r="AD48" s="23">
        <f> 'KEMAMPUAN PRAKTIKUM'!AB48</f>
        <v>30</v>
      </c>
      <c r="AE48" s="22">
        <f> 'KEMAMPUAN PRAKTIKUM'!AG48</f>
        <v>0</v>
      </c>
      <c r="AF48" s="24">
        <f t="shared" si="4"/>
        <v>47</v>
      </c>
    </row>
    <row r="49" ht="15.75" customHeight="1">
      <c r="A49" s="22">
        <f>'INPUT DAFTAR PESERTA'!A46</f>
        <v>44</v>
      </c>
      <c r="B49" s="22">
        <f>'INPUT DAFTAR PESERTA'!B46</f>
        <v>2409076046</v>
      </c>
      <c r="C49" s="6" t="str">
        <f>'INPUT DAFTAR PESERTA'!C46</f>
        <v>Muhammad Hasan Hanif</v>
      </c>
      <c r="D49" s="23">
        <v>100.0</v>
      </c>
      <c r="E49" s="23">
        <v>100.0</v>
      </c>
      <c r="F49" s="23">
        <v>100.0</v>
      </c>
      <c r="G49" s="23">
        <v>100.0</v>
      </c>
      <c r="H49" s="23">
        <v>100.0</v>
      </c>
      <c r="I49" s="23">
        <v>0.0</v>
      </c>
      <c r="J49" s="24">
        <f t="shared" si="1"/>
        <v>83.33333333</v>
      </c>
      <c r="K49" s="33">
        <f>'PENULISAN LAPORAN'!L48</f>
        <v>33.75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2">
        <f t="shared" si="2"/>
        <v>0</v>
      </c>
      <c r="S49" s="23">
        <v>0.0</v>
      </c>
      <c r="T49" s="23">
        <v>0.0</v>
      </c>
      <c r="U49" s="23">
        <v>70.0</v>
      </c>
      <c r="V49" s="23">
        <v>30.0</v>
      </c>
      <c r="W49" s="23">
        <v>30.0</v>
      </c>
      <c r="X49" s="23">
        <v>0.0</v>
      </c>
      <c r="Y49" s="24">
        <f t="shared" si="3"/>
        <v>21.66666667</v>
      </c>
      <c r="Z49" s="22">
        <f> 'KEMAMPUAN PRAKTIKUM'!H49</f>
        <v>75</v>
      </c>
      <c r="AA49" s="22">
        <f> 'KEMAMPUAN PRAKTIKUM'!M49</f>
        <v>42</v>
      </c>
      <c r="AB49" s="22">
        <f> 'KEMAMPUAN PRAKTIKUM'!R49</f>
        <v>60</v>
      </c>
      <c r="AC49" s="22">
        <f> 'KEMAMPUAN PRAKTIKUM'!W49</f>
        <v>51</v>
      </c>
      <c r="AD49" s="23">
        <f> 'KEMAMPUAN PRAKTIKUM'!AB49</f>
        <v>30</v>
      </c>
      <c r="AE49" s="22">
        <f> 'KEMAMPUAN PRAKTIKUM'!AG49</f>
        <v>0</v>
      </c>
      <c r="AF49" s="24">
        <f t="shared" si="4"/>
        <v>43</v>
      </c>
    </row>
    <row r="50" ht="15.75" customHeight="1">
      <c r="A50" s="22">
        <f>'INPUT DAFTAR PESERTA'!A47</f>
        <v>45</v>
      </c>
      <c r="B50" s="22">
        <f>'INPUT DAFTAR PESERTA'!B47</f>
        <v>2409076047</v>
      </c>
      <c r="C50" s="6" t="str">
        <f>'INPUT DAFTAR PESERTA'!C47</f>
        <v>Gilbert Pasolon</v>
      </c>
      <c r="D50" s="23">
        <v>100.0</v>
      </c>
      <c r="E50" s="23">
        <v>100.0</v>
      </c>
      <c r="F50" s="23">
        <v>100.0</v>
      </c>
      <c r="G50" s="23">
        <v>100.0</v>
      </c>
      <c r="H50" s="23">
        <v>100.0</v>
      </c>
      <c r="I50" s="23">
        <v>0.0</v>
      </c>
      <c r="J50" s="24">
        <f t="shared" si="1"/>
        <v>83.33333333</v>
      </c>
      <c r="K50" s="33">
        <f>'PENULISAN LAPORAN'!L49</f>
        <v>69.41666667</v>
      </c>
      <c r="L50" s="46">
        <v>92.0</v>
      </c>
      <c r="M50" s="46">
        <v>92.0</v>
      </c>
      <c r="N50" s="46">
        <v>92.0</v>
      </c>
      <c r="O50" s="46">
        <v>92.0</v>
      </c>
      <c r="P50" s="46">
        <v>92.0</v>
      </c>
      <c r="Q50" s="46">
        <v>92.0</v>
      </c>
      <c r="R50" s="22">
        <f t="shared" si="2"/>
        <v>92</v>
      </c>
      <c r="S50" s="23">
        <v>80.0</v>
      </c>
      <c r="T50" s="23">
        <v>80.0</v>
      </c>
      <c r="U50" s="23">
        <v>80.0</v>
      </c>
      <c r="V50" s="23">
        <v>70.0</v>
      </c>
      <c r="W50" s="23">
        <v>70.0</v>
      </c>
      <c r="X50" s="23">
        <v>0.0</v>
      </c>
      <c r="Y50" s="24">
        <f t="shared" si="3"/>
        <v>63.33333333</v>
      </c>
      <c r="Z50" s="22">
        <f> 'KEMAMPUAN PRAKTIKUM'!H50</f>
        <v>75</v>
      </c>
      <c r="AA50" s="22">
        <f> 'KEMAMPUAN PRAKTIKUM'!M50</f>
        <v>72</v>
      </c>
      <c r="AB50" s="22">
        <f> 'KEMAMPUAN PRAKTIKUM'!R50</f>
        <v>75</v>
      </c>
      <c r="AC50" s="22">
        <f> 'KEMAMPUAN PRAKTIKUM'!W50</f>
        <v>72</v>
      </c>
      <c r="AD50" s="23">
        <f> 'KEMAMPUAN PRAKTIKUM'!AB50</f>
        <v>75</v>
      </c>
      <c r="AE50" s="22">
        <f> 'KEMAMPUAN PRAKTIKUM'!AG50</f>
        <v>0</v>
      </c>
      <c r="AF50" s="24">
        <f t="shared" si="4"/>
        <v>61.5</v>
      </c>
    </row>
    <row r="51" ht="15.75" customHeight="1">
      <c r="A51" s="22">
        <f>'INPUT DAFTAR PESERTA'!A48</f>
        <v>46</v>
      </c>
      <c r="B51" s="22">
        <f>'INPUT DAFTAR PESERTA'!B48</f>
        <v>2409076048</v>
      </c>
      <c r="C51" s="6" t="str">
        <f>'INPUT DAFTAR PESERTA'!C48</f>
        <v>Achmad Fauzan At-Tamimi</v>
      </c>
      <c r="D51" s="23">
        <v>100.0</v>
      </c>
      <c r="E51" s="23">
        <v>100.0</v>
      </c>
      <c r="F51" s="23">
        <v>100.0</v>
      </c>
      <c r="G51" s="23">
        <v>100.0</v>
      </c>
      <c r="H51" s="23">
        <v>100.0</v>
      </c>
      <c r="I51" s="23">
        <v>100.0</v>
      </c>
      <c r="J51" s="24">
        <f t="shared" si="1"/>
        <v>100</v>
      </c>
      <c r="K51" s="33">
        <f>'PENULISAN LAPORAN'!L50</f>
        <v>85.125</v>
      </c>
      <c r="L51" s="46">
        <v>96.0</v>
      </c>
      <c r="M51" s="46">
        <v>96.0</v>
      </c>
      <c r="N51" s="46">
        <v>96.0</v>
      </c>
      <c r="O51" s="46">
        <v>96.0</v>
      </c>
      <c r="P51" s="46">
        <v>96.0</v>
      </c>
      <c r="Q51" s="46">
        <v>96.0</v>
      </c>
      <c r="R51" s="22">
        <f t="shared" si="2"/>
        <v>96</v>
      </c>
      <c r="S51" s="23">
        <v>80.0</v>
      </c>
      <c r="T51" s="23">
        <v>80.0</v>
      </c>
      <c r="U51" s="23">
        <v>80.0</v>
      </c>
      <c r="V51" s="23">
        <v>80.0</v>
      </c>
      <c r="W51" s="23">
        <v>80.0</v>
      </c>
      <c r="X51" s="23">
        <v>70.0</v>
      </c>
      <c r="Y51" s="24">
        <f t="shared" si="3"/>
        <v>78.33333333</v>
      </c>
      <c r="Z51" s="22">
        <f> 'KEMAMPUAN PRAKTIKUM'!H51</f>
        <v>84</v>
      </c>
      <c r="AA51" s="22">
        <f> 'KEMAMPUAN PRAKTIKUM'!M51</f>
        <v>90</v>
      </c>
      <c r="AB51" s="22">
        <f> 'KEMAMPUAN PRAKTIKUM'!R51</f>
        <v>90</v>
      </c>
      <c r="AC51" s="22">
        <f> 'KEMAMPUAN PRAKTIKUM'!W51</f>
        <v>90</v>
      </c>
      <c r="AD51" s="23">
        <f> 'KEMAMPUAN PRAKTIKUM'!AB51</f>
        <v>90</v>
      </c>
      <c r="AE51" s="22">
        <f> 'KEMAMPUAN PRAKTIKUM'!AG51</f>
        <v>42</v>
      </c>
      <c r="AF51" s="24">
        <f t="shared" si="4"/>
        <v>81</v>
      </c>
    </row>
    <row r="52" ht="15.75" customHeight="1">
      <c r="A52" s="22">
        <f>'INPUT DAFTAR PESERTA'!A49</f>
        <v>47</v>
      </c>
      <c r="B52" s="22">
        <f>'INPUT DAFTAR PESERTA'!B49</f>
        <v>2409076049</v>
      </c>
      <c r="C52" s="6" t="str">
        <f>'INPUT DAFTAR PESERTA'!C49</f>
        <v>Mahmud Abdul Aziz Qoby</v>
      </c>
      <c r="D52" s="23">
        <v>100.0</v>
      </c>
      <c r="E52" s="23">
        <v>100.0</v>
      </c>
      <c r="F52" s="23">
        <v>100.0</v>
      </c>
      <c r="G52" s="23">
        <v>100.0</v>
      </c>
      <c r="H52" s="23">
        <v>100.0</v>
      </c>
      <c r="I52" s="23">
        <v>100.0</v>
      </c>
      <c r="J52" s="24">
        <f t="shared" si="1"/>
        <v>100</v>
      </c>
      <c r="K52" s="33">
        <f>'PENULISAN LAPORAN'!L51</f>
        <v>64.25</v>
      </c>
      <c r="L52" s="46">
        <v>96.0</v>
      </c>
      <c r="M52" s="46">
        <v>96.0</v>
      </c>
      <c r="N52" s="46">
        <v>96.0</v>
      </c>
      <c r="O52" s="46">
        <v>96.0</v>
      </c>
      <c r="P52" s="46">
        <v>96.0</v>
      </c>
      <c r="Q52" s="46">
        <v>96.0</v>
      </c>
      <c r="R52" s="22">
        <f t="shared" si="2"/>
        <v>96</v>
      </c>
      <c r="S52" s="23">
        <v>70.0</v>
      </c>
      <c r="T52" s="23">
        <v>70.0</v>
      </c>
      <c r="U52" s="23">
        <v>80.0</v>
      </c>
      <c r="V52" s="23">
        <v>60.0</v>
      </c>
      <c r="W52" s="23">
        <v>30.0</v>
      </c>
      <c r="X52" s="23">
        <v>70.0</v>
      </c>
      <c r="Y52" s="24">
        <f t="shared" si="3"/>
        <v>63.33333333</v>
      </c>
      <c r="Z52" s="22">
        <f> 'KEMAMPUAN PRAKTIKUM'!H52</f>
        <v>84</v>
      </c>
      <c r="AA52" s="22">
        <f> 'KEMAMPUAN PRAKTIKUM'!M52</f>
        <v>60</v>
      </c>
      <c r="AB52" s="22">
        <f> 'KEMAMPUAN PRAKTIKUM'!R52</f>
        <v>75</v>
      </c>
      <c r="AC52" s="22">
        <f> 'KEMAMPUAN PRAKTIKUM'!W52</f>
        <v>81</v>
      </c>
      <c r="AD52" s="23">
        <f> 'KEMAMPUAN PRAKTIKUM'!AB52</f>
        <v>30</v>
      </c>
      <c r="AE52" s="22">
        <f> 'KEMAMPUAN PRAKTIKUM'!AG52</f>
        <v>51</v>
      </c>
      <c r="AF52" s="24">
        <f t="shared" si="4"/>
        <v>63.5</v>
      </c>
    </row>
    <row r="53" ht="15.75" customHeight="1">
      <c r="A53" s="22">
        <f>'INPUT DAFTAR PESERTA'!A50</f>
        <v>48</v>
      </c>
      <c r="B53" s="22">
        <f>'INPUT DAFTAR PESERTA'!B50</f>
        <v>2409076050</v>
      </c>
      <c r="C53" s="6" t="str">
        <f>'INPUT DAFTAR PESERTA'!C50</f>
        <v>Gde Nookie Carl Arya Susila</v>
      </c>
      <c r="D53" s="23">
        <v>100.0</v>
      </c>
      <c r="E53" s="23">
        <v>100.0</v>
      </c>
      <c r="F53" s="23">
        <v>100.0</v>
      </c>
      <c r="G53" s="23">
        <v>100.0</v>
      </c>
      <c r="H53" s="23">
        <v>100.0</v>
      </c>
      <c r="I53" s="23">
        <v>100.0</v>
      </c>
      <c r="J53" s="24">
        <f t="shared" si="1"/>
        <v>100</v>
      </c>
      <c r="K53" s="33">
        <f>'PENULISAN LAPORAN'!L52</f>
        <v>85.125</v>
      </c>
      <c r="L53" s="23">
        <v>40.0</v>
      </c>
      <c r="M53" s="23">
        <v>40.0</v>
      </c>
      <c r="N53" s="23">
        <v>40.0</v>
      </c>
      <c r="O53" s="23">
        <v>40.0</v>
      </c>
      <c r="P53" s="23">
        <v>40.0</v>
      </c>
      <c r="Q53" s="23">
        <v>40.0</v>
      </c>
      <c r="R53" s="22">
        <f t="shared" si="2"/>
        <v>40</v>
      </c>
      <c r="S53" s="23">
        <v>80.0</v>
      </c>
      <c r="T53" s="23">
        <v>70.0</v>
      </c>
      <c r="U53" s="23">
        <v>80.0</v>
      </c>
      <c r="V53" s="23">
        <v>70.0</v>
      </c>
      <c r="W53" s="23">
        <v>80.0</v>
      </c>
      <c r="X53" s="23">
        <v>70.0</v>
      </c>
      <c r="Y53" s="24">
        <f t="shared" si="3"/>
        <v>75</v>
      </c>
      <c r="Z53" s="22">
        <f> 'KEMAMPUAN PRAKTIKUM'!H53</f>
        <v>84</v>
      </c>
      <c r="AA53" s="22">
        <f> 'KEMAMPUAN PRAKTIKUM'!M53</f>
        <v>75</v>
      </c>
      <c r="AB53" s="22">
        <f> 'KEMAMPUAN PRAKTIKUM'!R53</f>
        <v>90</v>
      </c>
      <c r="AC53" s="22">
        <f> 'KEMAMPUAN PRAKTIKUM'!W53</f>
        <v>81</v>
      </c>
      <c r="AD53" s="23">
        <f> 'KEMAMPUAN PRAKTIKUM'!AB53</f>
        <v>90</v>
      </c>
      <c r="AE53" s="22">
        <f> 'KEMAMPUAN PRAKTIKUM'!AG53</f>
        <v>57</v>
      </c>
      <c r="AF53" s="24">
        <f t="shared" si="4"/>
        <v>79.5</v>
      </c>
    </row>
    <row r="54" ht="15.75" customHeight="1">
      <c r="A54" s="22">
        <f>'INPUT DAFTAR PESERTA'!A51</f>
        <v>49</v>
      </c>
      <c r="B54" s="22">
        <f>'INPUT DAFTAR PESERTA'!B51</f>
        <v>2409076051</v>
      </c>
      <c r="C54" s="6" t="str">
        <f>'INPUT DAFTAR PESERTA'!C51</f>
        <v>Muhammad Afrizal</v>
      </c>
      <c r="D54" s="23">
        <v>100.0</v>
      </c>
      <c r="E54" s="23"/>
      <c r="F54" s="23"/>
      <c r="G54" s="22"/>
      <c r="H54" s="23"/>
      <c r="I54" s="23"/>
      <c r="J54" s="24">
        <f t="shared" si="1"/>
        <v>16.66666667</v>
      </c>
      <c r="K54" s="33">
        <f>'PENULISAN LAPORAN'!L53</f>
        <v>0</v>
      </c>
      <c r="L54" s="46">
        <v>76.0</v>
      </c>
      <c r="M54" s="46">
        <v>76.0</v>
      </c>
      <c r="N54" s="46">
        <v>76.0</v>
      </c>
      <c r="O54" s="46">
        <v>76.0</v>
      </c>
      <c r="P54" s="46">
        <v>76.0</v>
      </c>
      <c r="Q54" s="46">
        <v>76.0</v>
      </c>
      <c r="R54" s="22">
        <f t="shared" si="2"/>
        <v>76</v>
      </c>
      <c r="S54" s="23">
        <v>0.0</v>
      </c>
      <c r="T54" s="23">
        <v>0.0</v>
      </c>
      <c r="U54" s="22"/>
      <c r="V54" s="23"/>
      <c r="W54" s="22"/>
      <c r="X54" s="23"/>
      <c r="Y54" s="24">
        <f t="shared" si="3"/>
        <v>0</v>
      </c>
      <c r="Z54" s="22">
        <f> 'KEMAMPUAN PRAKTIKUM'!H54</f>
        <v>0</v>
      </c>
      <c r="AA54" s="22">
        <f> 'KEMAMPUAN PRAKTIKUM'!M54</f>
        <v>0</v>
      </c>
      <c r="AB54" s="22">
        <f> 'KEMAMPUAN PRAKTIKUM'!R54</f>
        <v>0</v>
      </c>
      <c r="AC54" s="22">
        <f> 'KEMAMPUAN PRAKTIKUM'!W54</f>
        <v>0</v>
      </c>
      <c r="AD54" s="23">
        <f> 'KEMAMPUAN PRAKTIKUM'!AB54</f>
        <v>0</v>
      </c>
      <c r="AE54" s="22">
        <f> 'KEMAMPUAN PRAKTIKUM'!AG54</f>
        <v>0</v>
      </c>
      <c r="AF54" s="24">
        <f t="shared" si="4"/>
        <v>0</v>
      </c>
    </row>
    <row r="55" ht="15.75" customHeight="1">
      <c r="A55" s="22">
        <f>'INPUT DAFTAR PESERTA'!A52</f>
        <v>50</v>
      </c>
      <c r="B55" s="22">
        <f>'INPUT DAFTAR PESERTA'!B52</f>
        <v>2409076052</v>
      </c>
      <c r="C55" s="6" t="str">
        <f>'INPUT DAFTAR PESERTA'!C52</f>
        <v>Rezky Yutabse</v>
      </c>
      <c r="D55" s="23">
        <v>100.0</v>
      </c>
      <c r="E55" s="23">
        <v>100.0</v>
      </c>
      <c r="F55" s="23">
        <v>100.0</v>
      </c>
      <c r="G55" s="23">
        <v>100.0</v>
      </c>
      <c r="H55" s="23">
        <v>100.0</v>
      </c>
      <c r="I55" s="23">
        <v>100.0</v>
      </c>
      <c r="J55" s="24">
        <f t="shared" si="1"/>
        <v>100</v>
      </c>
      <c r="K55" s="33">
        <f>'PENULISAN LAPORAN'!L54</f>
        <v>74.375</v>
      </c>
      <c r="L55" s="46">
        <v>82.0</v>
      </c>
      <c r="M55" s="46">
        <v>82.0</v>
      </c>
      <c r="N55" s="46">
        <v>82.0</v>
      </c>
      <c r="O55" s="46">
        <v>82.0</v>
      </c>
      <c r="P55" s="46">
        <v>82.0</v>
      </c>
      <c r="Q55" s="46">
        <v>82.0</v>
      </c>
      <c r="R55" s="22">
        <f t="shared" si="2"/>
        <v>82</v>
      </c>
      <c r="S55" s="23">
        <v>70.0</v>
      </c>
      <c r="T55" s="23">
        <v>70.0</v>
      </c>
      <c r="U55" s="23">
        <v>80.0</v>
      </c>
      <c r="V55" s="23">
        <v>70.0</v>
      </c>
      <c r="W55" s="23">
        <v>70.0</v>
      </c>
      <c r="X55" s="23">
        <v>70.0</v>
      </c>
      <c r="Y55" s="24">
        <f t="shared" si="3"/>
        <v>71.66666667</v>
      </c>
      <c r="Z55" s="22">
        <f> 'KEMAMPUAN PRAKTIKUM'!H55</f>
        <v>90</v>
      </c>
      <c r="AA55" s="22">
        <f> 'KEMAMPUAN PRAKTIKUM'!M55</f>
        <v>75</v>
      </c>
      <c r="AB55" s="22">
        <f> 'KEMAMPUAN PRAKTIKUM'!R55</f>
        <v>75</v>
      </c>
      <c r="AC55" s="22">
        <f> 'KEMAMPUAN PRAKTIKUM'!W55</f>
        <v>87</v>
      </c>
      <c r="AD55" s="23">
        <f> 'KEMAMPUAN PRAKTIKUM'!AB55</f>
        <v>90</v>
      </c>
      <c r="AE55" s="22">
        <f> 'KEMAMPUAN PRAKTIKUM'!AG55</f>
        <v>54</v>
      </c>
      <c r="AF55" s="24">
        <f t="shared" si="4"/>
        <v>78.5</v>
      </c>
    </row>
    <row r="56" ht="15.75" customHeight="1">
      <c r="A56" s="22">
        <f>'INPUT DAFTAR PESERTA'!A53</f>
        <v>51</v>
      </c>
      <c r="B56" s="22">
        <f>'INPUT DAFTAR PESERTA'!B53</f>
        <v>2409076053</v>
      </c>
      <c r="C56" s="6" t="str">
        <f>'INPUT DAFTAR PESERTA'!C53</f>
        <v>Dimas Wijaya Muliangto</v>
      </c>
      <c r="D56" s="23">
        <v>100.0</v>
      </c>
      <c r="E56" s="23">
        <v>100.0</v>
      </c>
      <c r="F56" s="23">
        <v>100.0</v>
      </c>
      <c r="G56" s="23">
        <v>100.0</v>
      </c>
      <c r="H56" s="23">
        <v>100.0</v>
      </c>
      <c r="I56" s="23">
        <v>100.0</v>
      </c>
      <c r="J56" s="24">
        <f t="shared" si="1"/>
        <v>100</v>
      </c>
      <c r="K56" s="33">
        <f>'PENULISAN LAPORAN'!L55</f>
        <v>77.29166667</v>
      </c>
      <c r="L56" s="46">
        <v>86.0</v>
      </c>
      <c r="M56" s="46">
        <v>86.0</v>
      </c>
      <c r="N56" s="46">
        <v>86.0</v>
      </c>
      <c r="O56" s="46">
        <v>86.0</v>
      </c>
      <c r="P56" s="46">
        <v>86.0</v>
      </c>
      <c r="Q56" s="46">
        <v>86.0</v>
      </c>
      <c r="R56" s="22">
        <f t="shared" si="2"/>
        <v>86</v>
      </c>
      <c r="S56" s="23">
        <v>80.0</v>
      </c>
      <c r="T56" s="23">
        <v>70.0</v>
      </c>
      <c r="U56" s="23">
        <v>80.0</v>
      </c>
      <c r="V56" s="23">
        <v>70.0</v>
      </c>
      <c r="W56" s="23">
        <v>80.0</v>
      </c>
      <c r="X56" s="23">
        <v>30.0</v>
      </c>
      <c r="Y56" s="24">
        <f t="shared" si="3"/>
        <v>68.33333333</v>
      </c>
      <c r="Z56" s="22">
        <f> 'KEMAMPUAN PRAKTIKUM'!H56</f>
        <v>90</v>
      </c>
      <c r="AA56" s="22">
        <f> 'KEMAMPUAN PRAKTIKUM'!M56</f>
        <v>75</v>
      </c>
      <c r="AB56" s="22">
        <f> 'KEMAMPUAN PRAKTIKUM'!R56</f>
        <v>90</v>
      </c>
      <c r="AC56" s="22">
        <f> 'KEMAMPUAN PRAKTIKUM'!W56</f>
        <v>81</v>
      </c>
      <c r="AD56" s="23">
        <f> 'KEMAMPUAN PRAKTIKUM'!AB56</f>
        <v>90</v>
      </c>
      <c r="AE56" s="22">
        <f> 'KEMAMPUAN PRAKTIKUM'!AG56</f>
        <v>54</v>
      </c>
      <c r="AF56" s="24">
        <f t="shared" si="4"/>
        <v>80</v>
      </c>
    </row>
    <row r="57" ht="15.75" customHeight="1">
      <c r="A57" s="22">
        <f>'INPUT DAFTAR PESERTA'!A54</f>
        <v>52</v>
      </c>
      <c r="B57" s="22">
        <f>'INPUT DAFTAR PESERTA'!B54</f>
        <v>2409076054</v>
      </c>
      <c r="C57" s="6" t="str">
        <f>'INPUT DAFTAR PESERTA'!C54</f>
        <v>Muhammad Aldi</v>
      </c>
      <c r="D57" s="23">
        <v>100.0</v>
      </c>
      <c r="E57" s="23">
        <v>100.0</v>
      </c>
      <c r="F57" s="23">
        <v>100.0</v>
      </c>
      <c r="G57" s="23">
        <v>100.0</v>
      </c>
      <c r="H57" s="23">
        <v>100.0</v>
      </c>
      <c r="I57" s="23">
        <v>100.0</v>
      </c>
      <c r="J57" s="24">
        <f t="shared" si="1"/>
        <v>100</v>
      </c>
      <c r="K57" s="33">
        <f>'PENULISAN LAPORAN'!L56</f>
        <v>81.75</v>
      </c>
      <c r="L57" s="46">
        <v>94.0</v>
      </c>
      <c r="M57" s="46">
        <v>94.0</v>
      </c>
      <c r="N57" s="46">
        <v>94.0</v>
      </c>
      <c r="O57" s="46">
        <v>94.0</v>
      </c>
      <c r="P57" s="46">
        <v>94.0</v>
      </c>
      <c r="Q57" s="46">
        <v>94.0</v>
      </c>
      <c r="R57" s="22">
        <f t="shared" si="2"/>
        <v>94</v>
      </c>
      <c r="S57" s="23">
        <v>75.0</v>
      </c>
      <c r="T57" s="23">
        <v>70.0</v>
      </c>
      <c r="U57" s="23">
        <v>80.0</v>
      </c>
      <c r="V57" s="23">
        <v>70.0</v>
      </c>
      <c r="W57" s="23">
        <v>80.0</v>
      </c>
      <c r="X57" s="23">
        <v>30.0</v>
      </c>
      <c r="Y57" s="24">
        <f t="shared" si="3"/>
        <v>67.5</v>
      </c>
      <c r="Z57" s="22">
        <f> 'KEMAMPUAN PRAKTIKUM'!H57</f>
        <v>90</v>
      </c>
      <c r="AA57" s="22">
        <f> 'KEMAMPUAN PRAKTIKUM'!M57</f>
        <v>90</v>
      </c>
      <c r="AB57" s="22">
        <f> 'KEMAMPUAN PRAKTIKUM'!R57</f>
        <v>90</v>
      </c>
      <c r="AC57" s="22">
        <f> 'KEMAMPUAN PRAKTIKUM'!W57</f>
        <v>72</v>
      </c>
      <c r="AD57" s="23">
        <f> 'KEMAMPUAN PRAKTIKUM'!AB57</f>
        <v>90</v>
      </c>
      <c r="AE57" s="22">
        <f> 'KEMAMPUAN PRAKTIKUM'!AG57</f>
        <v>51</v>
      </c>
      <c r="AF57" s="24">
        <f t="shared" si="4"/>
        <v>80.5</v>
      </c>
    </row>
    <row r="58" ht="15.75" customHeight="1">
      <c r="A58" s="22">
        <f>'INPUT DAFTAR PESERTA'!A55</f>
        <v>53</v>
      </c>
      <c r="B58" s="22">
        <f>'INPUT DAFTAR PESERTA'!B55</f>
        <v>2409076056</v>
      </c>
      <c r="C58" s="6" t="str">
        <f>'INPUT DAFTAR PESERTA'!C55</f>
        <v>Rivaldy Paredanun</v>
      </c>
      <c r="D58" s="23">
        <v>100.0</v>
      </c>
      <c r="E58" s="23">
        <v>100.0</v>
      </c>
      <c r="F58" s="23">
        <v>100.0</v>
      </c>
      <c r="G58" s="23">
        <v>100.0</v>
      </c>
      <c r="H58" s="23">
        <v>100.0</v>
      </c>
      <c r="I58" s="23">
        <v>100.0</v>
      </c>
      <c r="J58" s="24">
        <f t="shared" si="1"/>
        <v>100</v>
      </c>
      <c r="K58" s="33">
        <f>'PENULISAN LAPORAN'!L57</f>
        <v>55.66666667</v>
      </c>
      <c r="L58" s="46">
        <v>74.0</v>
      </c>
      <c r="M58" s="46">
        <v>74.0</v>
      </c>
      <c r="N58" s="46">
        <v>74.0</v>
      </c>
      <c r="O58" s="46">
        <v>74.0</v>
      </c>
      <c r="P58" s="46">
        <v>74.0</v>
      </c>
      <c r="Q58" s="46">
        <v>74.0</v>
      </c>
      <c r="R58" s="22">
        <f t="shared" si="2"/>
        <v>74</v>
      </c>
      <c r="S58" s="23">
        <v>0.0</v>
      </c>
      <c r="T58" s="23">
        <v>70.0</v>
      </c>
      <c r="U58" s="23">
        <v>70.0</v>
      </c>
      <c r="V58" s="23">
        <v>30.0</v>
      </c>
      <c r="W58" s="23">
        <v>30.0</v>
      </c>
      <c r="X58" s="23">
        <v>30.0</v>
      </c>
      <c r="Y58" s="24">
        <f t="shared" si="3"/>
        <v>38.33333333</v>
      </c>
      <c r="Z58" s="22">
        <f> 'KEMAMPUAN PRAKTIKUM'!H58</f>
        <v>90</v>
      </c>
      <c r="AA58" s="22">
        <f> 'KEMAMPUAN PRAKTIKUM'!M58</f>
        <v>75</v>
      </c>
      <c r="AB58" s="22">
        <f> 'KEMAMPUAN PRAKTIKUM'!R58</f>
        <v>60</v>
      </c>
      <c r="AC58" s="22">
        <f> 'KEMAMPUAN PRAKTIKUM'!W58</f>
        <v>60</v>
      </c>
      <c r="AD58" s="23">
        <f> 'KEMAMPUAN PRAKTIKUM'!AB58</f>
        <v>30</v>
      </c>
      <c r="AE58" s="22">
        <f> 'KEMAMPUAN PRAKTIKUM'!AG58</f>
        <v>42</v>
      </c>
      <c r="AF58" s="24">
        <f t="shared" si="4"/>
        <v>59.5</v>
      </c>
    </row>
    <row r="59" ht="15.75" customHeight="1">
      <c r="A59" s="22">
        <f>'INPUT DAFTAR PESERTA'!A56</f>
        <v>54</v>
      </c>
      <c r="B59" s="22">
        <f>'INPUT DAFTAR PESERTA'!B56</f>
        <v>2409076024</v>
      </c>
      <c r="C59" s="6" t="str">
        <f>'INPUT DAFTAR PESERTA'!C56</f>
        <v>Muhammad Zacky</v>
      </c>
      <c r="D59" s="23">
        <v>100.0</v>
      </c>
      <c r="E59" s="23">
        <v>100.0</v>
      </c>
      <c r="F59" s="23">
        <v>100.0</v>
      </c>
      <c r="G59" s="23">
        <v>100.0</v>
      </c>
      <c r="H59" s="23">
        <v>100.0</v>
      </c>
      <c r="I59" s="23">
        <v>100.0</v>
      </c>
      <c r="J59" s="24">
        <f t="shared" si="1"/>
        <v>100</v>
      </c>
      <c r="K59" s="33">
        <f>'PENULISAN LAPORAN'!L58</f>
        <v>87.70833333</v>
      </c>
      <c r="L59" s="23">
        <v>92.0</v>
      </c>
      <c r="M59" s="23">
        <v>92.0</v>
      </c>
      <c r="N59" s="23">
        <v>92.0</v>
      </c>
      <c r="O59" s="23">
        <v>92.0</v>
      </c>
      <c r="P59" s="23">
        <v>92.0</v>
      </c>
      <c r="Q59" s="23">
        <v>92.0</v>
      </c>
      <c r="R59" s="22">
        <f t="shared" si="2"/>
        <v>92</v>
      </c>
      <c r="S59" s="23">
        <v>80.0</v>
      </c>
      <c r="T59" s="23">
        <v>80.0</v>
      </c>
      <c r="U59" s="23">
        <v>100.0</v>
      </c>
      <c r="V59" s="23">
        <v>70.0</v>
      </c>
      <c r="W59" s="23">
        <v>80.0</v>
      </c>
      <c r="X59" s="23">
        <v>80.0</v>
      </c>
      <c r="Y59" s="24">
        <f t="shared" si="3"/>
        <v>81.66666667</v>
      </c>
      <c r="Z59" s="22">
        <f> 'KEMAMPUAN PRAKTIKUM'!H59</f>
        <v>90</v>
      </c>
      <c r="AA59" s="22">
        <f> 'KEMAMPUAN PRAKTIKUM'!M59</f>
        <v>90</v>
      </c>
      <c r="AB59" s="22">
        <f> 'KEMAMPUAN PRAKTIKUM'!R59</f>
        <v>90</v>
      </c>
      <c r="AC59" s="22">
        <f> 'KEMAMPUAN PRAKTIKUM'!W59</f>
        <v>81</v>
      </c>
      <c r="AD59" s="23">
        <f> 'KEMAMPUAN PRAKTIKUM'!AB59</f>
        <v>90</v>
      </c>
      <c r="AE59" s="22">
        <f> 'KEMAMPUAN PRAKTIKUM'!AG59</f>
        <v>69</v>
      </c>
      <c r="AF59" s="24">
        <f t="shared" si="4"/>
        <v>85</v>
      </c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</sheetData>
  <mergeCells count="10">
    <mergeCell ref="L4:R4"/>
    <mergeCell ref="S4:Y4"/>
    <mergeCell ref="A3:A5"/>
    <mergeCell ref="B3:B5"/>
    <mergeCell ref="C3:C5"/>
    <mergeCell ref="D3:K3"/>
    <mergeCell ref="L3:Y3"/>
    <mergeCell ref="Z3:AF3"/>
    <mergeCell ref="D4:J4"/>
    <mergeCell ref="Z4:AF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3.0"/>
    <col customWidth="1" min="3" max="3" width="35.43"/>
    <col customWidth="1" min="4" max="7" width="10.71"/>
    <col customWidth="1" min="8" max="8" width="22.71"/>
    <col customWidth="1" min="9" max="26" width="8.71"/>
  </cols>
  <sheetData>
    <row r="1">
      <c r="A1" s="30" t="s">
        <v>85</v>
      </c>
      <c r="B1" s="15"/>
      <c r="C1" s="15"/>
    </row>
    <row r="2">
      <c r="A2" s="15"/>
      <c r="B2" s="15"/>
      <c r="C2" s="15"/>
    </row>
    <row r="3">
      <c r="A3" s="16" t="s">
        <v>1</v>
      </c>
      <c r="B3" s="16" t="s">
        <v>2</v>
      </c>
      <c r="C3" s="16" t="s">
        <v>77</v>
      </c>
      <c r="D3" s="31" t="s">
        <v>93</v>
      </c>
      <c r="E3" s="19"/>
      <c r="F3" s="31" t="s">
        <v>94</v>
      </c>
      <c r="G3" s="19"/>
      <c r="H3" s="21" t="s">
        <v>95</v>
      </c>
      <c r="I3" s="47" t="s">
        <v>101</v>
      </c>
      <c r="J3" s="47" t="s">
        <v>102</v>
      </c>
      <c r="K3" s="47" t="s">
        <v>103</v>
      </c>
    </row>
    <row r="4">
      <c r="A4" s="39"/>
      <c r="B4" s="39"/>
      <c r="C4" s="39"/>
      <c r="D4" s="21" t="s">
        <v>96</v>
      </c>
      <c r="E4" s="21" t="s">
        <v>97</v>
      </c>
      <c r="F4" s="21" t="s">
        <v>98</v>
      </c>
      <c r="G4" s="21" t="s">
        <v>104</v>
      </c>
      <c r="H4" s="21" t="s">
        <v>105</v>
      </c>
      <c r="I4" s="39"/>
      <c r="J4" s="39"/>
      <c r="K4" s="39"/>
    </row>
    <row r="5">
      <c r="A5" s="20"/>
      <c r="B5" s="20"/>
      <c r="C5" s="20"/>
      <c r="D5" s="40">
        <v>0.1</v>
      </c>
      <c r="E5" s="40">
        <v>0.1</v>
      </c>
      <c r="F5" s="40">
        <v>0.1</v>
      </c>
      <c r="G5" s="40">
        <v>0.2</v>
      </c>
      <c r="H5" s="40">
        <v>0.5</v>
      </c>
      <c r="I5" s="20"/>
      <c r="J5" s="20"/>
      <c r="K5" s="20"/>
    </row>
    <row r="6">
      <c r="A6" s="22">
        <f>'INPUT DAFTAR PESERTA'!A3</f>
        <v>1</v>
      </c>
      <c r="B6" s="22">
        <f>'INPUT DAFTAR PESERTA'!B3</f>
        <v>2409076001</v>
      </c>
      <c r="C6" s="6" t="str">
        <f>'INPUT DAFTAR PESERTA'!C3</f>
        <v>Muhammad Jodika</v>
      </c>
      <c r="D6" s="24">
        <f>'NILAI HARIAN'!J6</f>
        <v>100</v>
      </c>
      <c r="E6" s="33">
        <f>'NILAI HARIAN'!K6</f>
        <v>91.33333333</v>
      </c>
      <c r="F6" s="22">
        <f>'NILAI HARIAN'!R6</f>
        <v>94</v>
      </c>
      <c r="G6" s="24">
        <f>'NILAI HARIAN'!Y6</f>
        <v>75</v>
      </c>
      <c r="H6" s="24">
        <f>'NILAI HARIAN'!AF6</f>
        <v>85.5</v>
      </c>
      <c r="I6" s="24">
        <f t="shared" ref="I6:I59" si="1">(D6*$D$5)+(E6*$E$5)+(F6*$F$5)+(G6*$G$5)+(H6*$H$5)</f>
        <v>86.28333333</v>
      </c>
      <c r="J6" s="22" t="str">
        <f t="shared" ref="J6:J55" si="2">IF(I6&lt;=39.9,"0.0",IF(I6&lt;=49.9,"1.0",IF(I6&lt;=59.9,"1.5",IF(I6&lt;=64.9,"2.0",IF(I6&lt;=69.9,"2.5",IF(I6&lt;=74.9,"3.0",IF(I6&lt;=79.99,"3.5",IF(I6&gt;=80,"4.0"))))))))</f>
        <v>4.0</v>
      </c>
      <c r="K6" s="22" t="str">
        <f t="shared" ref="K6:K59" si="3">IF(I6&gt;=80,"A",IF(I6&gt;=70,"B",IF(I6&gt;=60,"C",IF(I6&gt;=40,"D","E"))))</f>
        <v>A</v>
      </c>
    </row>
    <row r="7">
      <c r="A7" s="22">
        <f>'INPUT DAFTAR PESERTA'!A4</f>
        <v>2</v>
      </c>
      <c r="B7" s="22">
        <f>'INPUT DAFTAR PESERTA'!B4</f>
        <v>2409076002</v>
      </c>
      <c r="C7" s="6" t="str">
        <f>'INPUT DAFTAR PESERTA'!C4</f>
        <v>Muhammad Rifqi Maulana</v>
      </c>
      <c r="D7" s="24">
        <f>'NILAI HARIAN'!J7</f>
        <v>100</v>
      </c>
      <c r="E7" s="33">
        <f>'NILAI HARIAN'!K7</f>
        <v>80.125</v>
      </c>
      <c r="F7" s="22">
        <f>'NILAI HARIAN'!R7</f>
        <v>54</v>
      </c>
      <c r="G7" s="24">
        <f>'NILAI HARIAN'!Y7</f>
        <v>73.33333333</v>
      </c>
      <c r="H7" s="24">
        <f>'NILAI HARIAN'!AF7</f>
        <v>76.5</v>
      </c>
      <c r="I7" s="24">
        <f t="shared" si="1"/>
        <v>76.32916667</v>
      </c>
      <c r="J7" s="22" t="str">
        <f t="shared" si="2"/>
        <v>3.5</v>
      </c>
      <c r="K7" s="22" t="str">
        <f t="shared" si="3"/>
        <v>B</v>
      </c>
    </row>
    <row r="8">
      <c r="A8" s="22">
        <f>'INPUT DAFTAR PESERTA'!A5</f>
        <v>3</v>
      </c>
      <c r="B8" s="22">
        <f>'INPUT DAFTAR PESERTA'!B5</f>
        <v>2409076003</v>
      </c>
      <c r="C8" s="6" t="str">
        <f>'INPUT DAFTAR PESERTA'!C5</f>
        <v>Andhika Pratama</v>
      </c>
      <c r="D8" s="24">
        <f>'NILAI HARIAN'!J8</f>
        <v>100</v>
      </c>
      <c r="E8" s="33">
        <f>'NILAI HARIAN'!K8</f>
        <v>69.41666667</v>
      </c>
      <c r="F8" s="22">
        <f>'NILAI HARIAN'!R8</f>
        <v>86</v>
      </c>
      <c r="G8" s="24">
        <f>'NILAI HARIAN'!Y8</f>
        <v>46.66666667</v>
      </c>
      <c r="H8" s="24">
        <f>'NILAI HARIAN'!AF8</f>
        <v>68.5</v>
      </c>
      <c r="I8" s="24">
        <f t="shared" si="1"/>
        <v>69.125</v>
      </c>
      <c r="J8" s="22" t="str">
        <f t="shared" si="2"/>
        <v>2.5</v>
      </c>
      <c r="K8" s="22" t="str">
        <f t="shared" si="3"/>
        <v>C</v>
      </c>
    </row>
    <row r="9">
      <c r="A9" s="22">
        <f>'INPUT DAFTAR PESERTA'!A6</f>
        <v>4</v>
      </c>
      <c r="B9" s="22">
        <f>'INPUT DAFTAR PESERTA'!B6</f>
        <v>2409076004</v>
      </c>
      <c r="C9" s="6" t="str">
        <f>'INPUT DAFTAR PESERTA'!C6</f>
        <v>Nur Aqmarina</v>
      </c>
      <c r="D9" s="24">
        <f>'NILAI HARIAN'!J9</f>
        <v>100</v>
      </c>
      <c r="E9" s="33">
        <f>'NILAI HARIAN'!K9</f>
        <v>87.58333333</v>
      </c>
      <c r="F9" s="22">
        <f>'NILAI HARIAN'!R9</f>
        <v>94</v>
      </c>
      <c r="G9" s="24">
        <f>'NILAI HARIAN'!Y9</f>
        <v>78.33333333</v>
      </c>
      <c r="H9" s="24">
        <f>'NILAI HARIAN'!AF9</f>
        <v>76</v>
      </c>
      <c r="I9" s="24">
        <f t="shared" si="1"/>
        <v>81.825</v>
      </c>
      <c r="J9" s="22" t="str">
        <f t="shared" si="2"/>
        <v>4.0</v>
      </c>
      <c r="K9" s="22" t="str">
        <f t="shared" si="3"/>
        <v>A</v>
      </c>
    </row>
    <row r="10">
      <c r="A10" s="22">
        <f>'INPUT DAFTAR PESERTA'!A7</f>
        <v>5</v>
      </c>
      <c r="B10" s="22">
        <f>'INPUT DAFTAR PESERTA'!B7</f>
        <v>2409076005</v>
      </c>
      <c r="C10" s="6" t="str">
        <f>'INPUT DAFTAR PESERTA'!C7</f>
        <v>Rias Prihatanto</v>
      </c>
      <c r="D10" s="24">
        <f>'NILAI HARIAN'!J10</f>
        <v>100</v>
      </c>
      <c r="E10" s="33">
        <f>'NILAI HARIAN'!K10</f>
        <v>87.33333333</v>
      </c>
      <c r="F10" s="22">
        <f>'NILAI HARIAN'!R10</f>
        <v>88</v>
      </c>
      <c r="G10" s="24">
        <f>'NILAI HARIAN'!Y10</f>
        <v>76.66666667</v>
      </c>
      <c r="H10" s="24">
        <f>'NILAI HARIAN'!AF10</f>
        <v>82.5</v>
      </c>
      <c r="I10" s="24">
        <f t="shared" si="1"/>
        <v>84.11666667</v>
      </c>
      <c r="J10" s="22" t="str">
        <f t="shared" si="2"/>
        <v>4.0</v>
      </c>
      <c r="K10" s="22" t="str">
        <f t="shared" si="3"/>
        <v>A</v>
      </c>
    </row>
    <row r="11">
      <c r="A11" s="22">
        <f>'INPUT DAFTAR PESERTA'!A8</f>
        <v>6</v>
      </c>
      <c r="B11" s="22">
        <f>'INPUT DAFTAR PESERTA'!B8</f>
        <v>2409076006</v>
      </c>
      <c r="C11" s="6" t="str">
        <f>'INPUT DAFTAR PESERTA'!C8</f>
        <v>Muhammad Maulana Bhagaskara</v>
      </c>
      <c r="D11" s="24">
        <f>'NILAI HARIAN'!J11</f>
        <v>100</v>
      </c>
      <c r="E11" s="33">
        <f>'NILAI HARIAN'!K11</f>
        <v>85.125</v>
      </c>
      <c r="F11" s="22">
        <f>'NILAI HARIAN'!R11</f>
        <v>64</v>
      </c>
      <c r="G11" s="24">
        <f>'NILAI HARIAN'!Y11</f>
        <v>75</v>
      </c>
      <c r="H11" s="24">
        <f>'NILAI HARIAN'!AF11</f>
        <v>82</v>
      </c>
      <c r="I11" s="24">
        <f t="shared" si="1"/>
        <v>80.9125</v>
      </c>
      <c r="J11" s="22" t="str">
        <f t="shared" si="2"/>
        <v>4.0</v>
      </c>
      <c r="K11" s="22" t="str">
        <f t="shared" si="3"/>
        <v>A</v>
      </c>
    </row>
    <row r="12">
      <c r="A12" s="22">
        <f>'INPUT DAFTAR PESERTA'!A9</f>
        <v>7</v>
      </c>
      <c r="B12" s="22">
        <f>'INPUT DAFTAR PESERTA'!B9</f>
        <v>2409076007</v>
      </c>
      <c r="C12" s="6" t="str">
        <f>'INPUT DAFTAR PESERTA'!C9</f>
        <v>Chelsi Kamera</v>
      </c>
      <c r="D12" s="24">
        <f>'NILAI HARIAN'!J12</f>
        <v>100</v>
      </c>
      <c r="E12" s="33">
        <f>'NILAI HARIAN'!K12</f>
        <v>88</v>
      </c>
      <c r="F12" s="22">
        <f>'NILAI HARIAN'!R12</f>
        <v>92</v>
      </c>
      <c r="G12" s="24">
        <f>'NILAI HARIAN'!Y12</f>
        <v>76.66666667</v>
      </c>
      <c r="H12" s="24">
        <f>'NILAI HARIAN'!AF12</f>
        <v>86</v>
      </c>
      <c r="I12" s="24">
        <f t="shared" si="1"/>
        <v>86.33333333</v>
      </c>
      <c r="J12" s="22" t="str">
        <f t="shared" si="2"/>
        <v>4.0</v>
      </c>
      <c r="K12" s="22" t="str">
        <f t="shared" si="3"/>
        <v>A</v>
      </c>
    </row>
    <row r="13">
      <c r="A13" s="22">
        <f>'INPUT DAFTAR PESERTA'!A10</f>
        <v>8</v>
      </c>
      <c r="B13" s="22">
        <f>'INPUT DAFTAR PESERTA'!B10</f>
        <v>2409076008</v>
      </c>
      <c r="C13" s="6" t="str">
        <f>'INPUT DAFTAR PESERTA'!C10</f>
        <v>Riyan Maulana</v>
      </c>
      <c r="D13" s="24">
        <f>'NILAI HARIAN'!J13</f>
        <v>100</v>
      </c>
      <c r="E13" s="33">
        <f>'NILAI HARIAN'!K13</f>
        <v>75.79166667</v>
      </c>
      <c r="F13" s="22">
        <f>'NILAI HARIAN'!R13</f>
        <v>92</v>
      </c>
      <c r="G13" s="24">
        <f>'NILAI HARIAN'!Y13</f>
        <v>66.66666667</v>
      </c>
      <c r="H13" s="24">
        <f>'NILAI HARIAN'!AF13</f>
        <v>75</v>
      </c>
      <c r="I13" s="24">
        <f t="shared" si="1"/>
        <v>77.6125</v>
      </c>
      <c r="J13" s="22" t="str">
        <f t="shared" si="2"/>
        <v>3.5</v>
      </c>
      <c r="K13" s="22" t="str">
        <f t="shared" si="3"/>
        <v>B</v>
      </c>
    </row>
    <row r="14">
      <c r="A14" s="22">
        <f>'INPUT DAFTAR PESERTA'!A11</f>
        <v>9</v>
      </c>
      <c r="B14" s="22">
        <f>'INPUT DAFTAR PESERTA'!B11</f>
        <v>2409076009</v>
      </c>
      <c r="C14" s="6" t="str">
        <f>'INPUT DAFTAR PESERTA'!C11</f>
        <v>Dimas Prasetyo Wibowo</v>
      </c>
      <c r="D14" s="24">
        <f>'NILAI HARIAN'!J14</f>
        <v>100</v>
      </c>
      <c r="E14" s="33">
        <f>'NILAI HARIAN'!K14</f>
        <v>83.29166667</v>
      </c>
      <c r="F14" s="22">
        <f>'NILAI HARIAN'!R14</f>
        <v>94</v>
      </c>
      <c r="G14" s="24">
        <f>'NILAI HARIAN'!Y14</f>
        <v>75</v>
      </c>
      <c r="H14" s="24">
        <f>'NILAI HARIAN'!AF14</f>
        <v>80</v>
      </c>
      <c r="I14" s="24">
        <f t="shared" si="1"/>
        <v>82.72916667</v>
      </c>
      <c r="J14" s="22" t="str">
        <f t="shared" si="2"/>
        <v>4.0</v>
      </c>
      <c r="K14" s="22" t="str">
        <f t="shared" si="3"/>
        <v>A</v>
      </c>
    </row>
    <row r="15">
      <c r="A15" s="22">
        <f>'INPUT DAFTAR PESERTA'!A12</f>
        <v>10</v>
      </c>
      <c r="B15" s="22">
        <f>'INPUT DAFTAR PESERTA'!B12</f>
        <v>2409076010</v>
      </c>
      <c r="C15" s="6" t="str">
        <f>'INPUT DAFTAR PESERTA'!C12</f>
        <v>Najwa Dwi Maylani</v>
      </c>
      <c r="D15" s="24">
        <f>'NILAI HARIAN'!J15</f>
        <v>100</v>
      </c>
      <c r="E15" s="33">
        <f>'NILAI HARIAN'!K15</f>
        <v>85.125</v>
      </c>
      <c r="F15" s="22">
        <f>'NILAI HARIAN'!R15</f>
        <v>80</v>
      </c>
      <c r="G15" s="24">
        <f>'NILAI HARIAN'!Y15</f>
        <v>76.66666667</v>
      </c>
      <c r="H15" s="24">
        <f>'NILAI HARIAN'!AF15</f>
        <v>83.5</v>
      </c>
      <c r="I15" s="24">
        <f t="shared" si="1"/>
        <v>83.59583333</v>
      </c>
      <c r="J15" s="22" t="str">
        <f t="shared" si="2"/>
        <v>4.0</v>
      </c>
      <c r="K15" s="22" t="str">
        <f t="shared" si="3"/>
        <v>A</v>
      </c>
    </row>
    <row r="16">
      <c r="A16" s="22">
        <f>'INPUT DAFTAR PESERTA'!A13</f>
        <v>11</v>
      </c>
      <c r="B16" s="22">
        <f>'INPUT DAFTAR PESERTA'!B13</f>
        <v>2409076011</v>
      </c>
      <c r="C16" s="6" t="str">
        <f>'INPUT DAFTAR PESERTA'!C13</f>
        <v>Surya Ardhian Mokodongan</v>
      </c>
      <c r="D16" s="24">
        <f>'NILAI HARIAN'!J16</f>
        <v>100</v>
      </c>
      <c r="E16" s="33">
        <f>'NILAI HARIAN'!K16</f>
        <v>85.20833333</v>
      </c>
      <c r="F16" s="22">
        <f>'NILAI HARIAN'!R16</f>
        <v>92</v>
      </c>
      <c r="G16" s="24">
        <f>'NILAI HARIAN'!Y16</f>
        <v>78.33333333</v>
      </c>
      <c r="H16" s="24">
        <f>'NILAI HARIAN'!AF16</f>
        <v>82</v>
      </c>
      <c r="I16" s="24">
        <f t="shared" si="1"/>
        <v>84.3875</v>
      </c>
      <c r="J16" s="22" t="str">
        <f t="shared" si="2"/>
        <v>4.0</v>
      </c>
      <c r="K16" s="22" t="str">
        <f t="shared" si="3"/>
        <v>A</v>
      </c>
    </row>
    <row r="17">
      <c r="A17" s="22">
        <f>'INPUT DAFTAR PESERTA'!A14</f>
        <v>12</v>
      </c>
      <c r="B17" s="22">
        <f>'INPUT DAFTAR PESERTA'!B14</f>
        <v>2409076012</v>
      </c>
      <c r="C17" s="6" t="str">
        <f>'INPUT DAFTAR PESERTA'!C14</f>
        <v>Ahmad Irfani Ananda Putra Hariawan</v>
      </c>
      <c r="D17" s="24">
        <f>'NILAI HARIAN'!J17</f>
        <v>100</v>
      </c>
      <c r="E17" s="33">
        <f>'NILAI HARIAN'!K17</f>
        <v>80.16666667</v>
      </c>
      <c r="F17" s="22">
        <f>'NILAI HARIAN'!R17</f>
        <v>76</v>
      </c>
      <c r="G17" s="24">
        <f>'NILAI HARIAN'!Y17</f>
        <v>76.66666667</v>
      </c>
      <c r="H17" s="24">
        <f>'NILAI HARIAN'!AF17</f>
        <v>77</v>
      </c>
      <c r="I17" s="24">
        <f t="shared" si="1"/>
        <v>79.45</v>
      </c>
      <c r="J17" s="22" t="str">
        <f t="shared" si="2"/>
        <v>3.5</v>
      </c>
      <c r="K17" s="22" t="str">
        <f t="shared" si="3"/>
        <v>B</v>
      </c>
    </row>
    <row r="18">
      <c r="A18" s="22">
        <f>'INPUT DAFTAR PESERTA'!A15</f>
        <v>13</v>
      </c>
      <c r="B18" s="22">
        <f>'INPUT DAFTAR PESERTA'!B15</f>
        <v>2409076013</v>
      </c>
      <c r="C18" s="6" t="str">
        <f>'INPUT DAFTAR PESERTA'!C15</f>
        <v>Afif Rizqi Ramadhan</v>
      </c>
      <c r="D18" s="24">
        <f>'NILAI HARIAN'!J18</f>
        <v>100</v>
      </c>
      <c r="E18" s="33">
        <f>'NILAI HARIAN'!K18</f>
        <v>84.95833333</v>
      </c>
      <c r="F18" s="22">
        <f>'NILAI HARIAN'!R18</f>
        <v>96</v>
      </c>
      <c r="G18" s="24">
        <f>'NILAI HARIAN'!Y18</f>
        <v>76.66666667</v>
      </c>
      <c r="H18" s="24">
        <f>'NILAI HARIAN'!AF18</f>
        <v>88.5</v>
      </c>
      <c r="I18" s="24">
        <f t="shared" si="1"/>
        <v>87.67916667</v>
      </c>
      <c r="J18" s="22" t="str">
        <f t="shared" si="2"/>
        <v>4.0</v>
      </c>
      <c r="K18" s="22" t="str">
        <f t="shared" si="3"/>
        <v>A</v>
      </c>
    </row>
    <row r="19">
      <c r="A19" s="22">
        <f>'INPUT DAFTAR PESERTA'!A16</f>
        <v>14</v>
      </c>
      <c r="B19" s="22">
        <f>'INPUT DAFTAR PESERTA'!B16</f>
        <v>2409076014</v>
      </c>
      <c r="C19" s="6" t="str">
        <f>'INPUT DAFTAR PESERTA'!C16</f>
        <v>Julius Simamora</v>
      </c>
      <c r="D19" s="24">
        <f>'NILAI HARIAN'!J19</f>
        <v>100</v>
      </c>
      <c r="E19" s="33">
        <f>'NILAI HARIAN'!K19</f>
        <v>84.54166667</v>
      </c>
      <c r="F19" s="22">
        <f>'NILAI HARIAN'!R19</f>
        <v>94</v>
      </c>
      <c r="G19" s="24">
        <f>'NILAI HARIAN'!Y19</f>
        <v>68.33333333</v>
      </c>
      <c r="H19" s="24">
        <f>'NILAI HARIAN'!AF19</f>
        <v>81</v>
      </c>
      <c r="I19" s="24">
        <f t="shared" si="1"/>
        <v>82.02083333</v>
      </c>
      <c r="J19" s="22" t="str">
        <f t="shared" si="2"/>
        <v>4.0</v>
      </c>
      <c r="K19" s="22" t="str">
        <f t="shared" si="3"/>
        <v>A</v>
      </c>
    </row>
    <row r="20">
      <c r="A20" s="22">
        <f>'INPUT DAFTAR PESERTA'!A17</f>
        <v>15</v>
      </c>
      <c r="B20" s="22">
        <f>'INPUT DAFTAR PESERTA'!B17</f>
        <v>2409076015</v>
      </c>
      <c r="C20" s="6" t="str">
        <f>'INPUT DAFTAR PESERTA'!C17</f>
        <v>Gea Novtry</v>
      </c>
      <c r="D20" s="24">
        <f>'NILAI HARIAN'!J20</f>
        <v>100</v>
      </c>
      <c r="E20" s="33">
        <f>'NILAI HARIAN'!K20</f>
        <v>57.99166667</v>
      </c>
      <c r="F20" s="22">
        <f>'NILAI HARIAN'!R20</f>
        <v>0</v>
      </c>
      <c r="G20" s="24">
        <f>'NILAI HARIAN'!Y20</f>
        <v>50</v>
      </c>
      <c r="H20" s="24">
        <f>'NILAI HARIAN'!AF20</f>
        <v>60</v>
      </c>
      <c r="I20" s="24">
        <f t="shared" si="1"/>
        <v>55.79916667</v>
      </c>
      <c r="J20" s="22" t="str">
        <f t="shared" si="2"/>
        <v>1.5</v>
      </c>
      <c r="K20" s="22" t="str">
        <f t="shared" si="3"/>
        <v>D</v>
      </c>
    </row>
    <row r="21" ht="15.75" customHeight="1">
      <c r="A21" s="22">
        <f>'INPUT DAFTAR PESERTA'!A18</f>
        <v>16</v>
      </c>
      <c r="B21" s="22">
        <f>'INPUT DAFTAR PESERTA'!B18</f>
        <v>2409076016</v>
      </c>
      <c r="C21" s="6" t="str">
        <f>'INPUT DAFTAR PESERTA'!C18</f>
        <v>Najmi habibi</v>
      </c>
      <c r="D21" s="24">
        <f>'NILAI HARIAN'!J21</f>
        <v>100</v>
      </c>
      <c r="E21" s="33">
        <f>'NILAI HARIAN'!K21</f>
        <v>53.625</v>
      </c>
      <c r="F21" s="22">
        <f>'NILAI HARIAN'!R21</f>
        <v>58</v>
      </c>
      <c r="G21" s="24">
        <f>'NILAI HARIAN'!Y21</f>
        <v>51.66666667</v>
      </c>
      <c r="H21" s="24">
        <f>'NILAI HARIAN'!AF21</f>
        <v>59</v>
      </c>
      <c r="I21" s="24">
        <f t="shared" si="1"/>
        <v>60.99583333</v>
      </c>
      <c r="J21" s="22" t="str">
        <f t="shared" si="2"/>
        <v>2.0</v>
      </c>
      <c r="K21" s="22" t="str">
        <f t="shared" si="3"/>
        <v>C</v>
      </c>
    </row>
    <row r="22" ht="15.75" customHeight="1">
      <c r="A22" s="22">
        <f>'INPUT DAFTAR PESERTA'!A19</f>
        <v>17</v>
      </c>
      <c r="B22" s="22">
        <f>'INPUT DAFTAR PESERTA'!B19</f>
        <v>2409076017</v>
      </c>
      <c r="C22" s="6" t="str">
        <f>'INPUT DAFTAR PESERTA'!C19</f>
        <v>Muhammad Reza Aulia</v>
      </c>
      <c r="D22" s="24">
        <f>'NILAI HARIAN'!J22</f>
        <v>100</v>
      </c>
      <c r="E22" s="33">
        <f>'NILAI HARIAN'!K22</f>
        <v>81.625</v>
      </c>
      <c r="F22" s="22">
        <f>'NILAI HARIAN'!R22</f>
        <v>58</v>
      </c>
      <c r="G22" s="24">
        <f>'NILAI HARIAN'!Y22</f>
        <v>66.66666667</v>
      </c>
      <c r="H22" s="24">
        <f>'NILAI HARIAN'!AF22</f>
        <v>82</v>
      </c>
      <c r="I22" s="24">
        <f t="shared" si="1"/>
        <v>78.29583333</v>
      </c>
      <c r="J22" s="22" t="str">
        <f t="shared" si="2"/>
        <v>3.5</v>
      </c>
      <c r="K22" s="22" t="str">
        <f t="shared" si="3"/>
        <v>B</v>
      </c>
    </row>
    <row r="23" ht="15.75" customHeight="1">
      <c r="A23" s="22">
        <f>'INPUT DAFTAR PESERTA'!A20</f>
        <v>18</v>
      </c>
      <c r="B23" s="22">
        <f>'INPUT DAFTAR PESERTA'!B20</f>
        <v>2409076018</v>
      </c>
      <c r="C23" s="6" t="str">
        <f>'INPUT DAFTAR PESERTA'!C20</f>
        <v>Omar maulana ibnu rahman</v>
      </c>
      <c r="D23" s="24">
        <f>'NILAI HARIAN'!J23</f>
        <v>100</v>
      </c>
      <c r="E23" s="33">
        <f>'NILAI HARIAN'!K23</f>
        <v>68.11666667</v>
      </c>
      <c r="F23" s="22">
        <f>'NILAI HARIAN'!R23</f>
        <v>98</v>
      </c>
      <c r="G23" s="24">
        <f>'NILAI HARIAN'!Y23</f>
        <v>60</v>
      </c>
      <c r="H23" s="24">
        <f>'NILAI HARIAN'!AF23</f>
        <v>76</v>
      </c>
      <c r="I23" s="24">
        <f t="shared" si="1"/>
        <v>76.61166667</v>
      </c>
      <c r="J23" s="22" t="str">
        <f t="shared" si="2"/>
        <v>3.5</v>
      </c>
      <c r="K23" s="22" t="str">
        <f t="shared" si="3"/>
        <v>B</v>
      </c>
    </row>
    <row r="24" ht="15.75" customHeight="1">
      <c r="A24" s="22">
        <f>'INPUT DAFTAR PESERTA'!A21</f>
        <v>19</v>
      </c>
      <c r="B24" s="22">
        <f>'INPUT DAFTAR PESERTA'!B21</f>
        <v>2409076019</v>
      </c>
      <c r="C24" s="6" t="str">
        <f>'INPUT DAFTAR PESERTA'!C21</f>
        <v>F. Agung Setyawan. L</v>
      </c>
      <c r="D24" s="24">
        <f>'NILAI HARIAN'!J24</f>
        <v>100</v>
      </c>
      <c r="E24" s="33">
        <f>'NILAI HARIAN'!K24</f>
        <v>76.91666667</v>
      </c>
      <c r="F24" s="22">
        <f>'NILAI HARIAN'!R24</f>
        <v>88</v>
      </c>
      <c r="G24" s="24">
        <f>'NILAI HARIAN'!Y24</f>
        <v>75</v>
      </c>
      <c r="H24" s="24">
        <f>'NILAI HARIAN'!AF24</f>
        <v>82</v>
      </c>
      <c r="I24" s="24">
        <f t="shared" si="1"/>
        <v>82.49166667</v>
      </c>
      <c r="J24" s="22" t="str">
        <f t="shared" si="2"/>
        <v>4.0</v>
      </c>
      <c r="K24" s="22" t="str">
        <f t="shared" si="3"/>
        <v>A</v>
      </c>
    </row>
    <row r="25" ht="15.75" customHeight="1">
      <c r="A25" s="22">
        <f>'INPUT DAFTAR PESERTA'!A22</f>
        <v>20</v>
      </c>
      <c r="B25" s="22">
        <f>'INPUT DAFTAR PESERTA'!B22</f>
        <v>2409076020</v>
      </c>
      <c r="C25" s="6" t="str">
        <f>'INPUT DAFTAR PESERTA'!C22</f>
        <v>Muhammad Rafi Ramadhan</v>
      </c>
      <c r="D25" s="24">
        <f>'NILAI HARIAN'!J25</f>
        <v>100</v>
      </c>
      <c r="E25" s="33">
        <f>'NILAI HARIAN'!K25</f>
        <v>69.625</v>
      </c>
      <c r="F25" s="22">
        <f>'NILAI HARIAN'!R25</f>
        <v>80</v>
      </c>
      <c r="G25" s="24">
        <f>'NILAI HARIAN'!Y25</f>
        <v>65</v>
      </c>
      <c r="H25" s="24">
        <f>'NILAI HARIAN'!AF25</f>
        <v>67.5</v>
      </c>
      <c r="I25" s="24">
        <f t="shared" si="1"/>
        <v>71.7125</v>
      </c>
      <c r="J25" s="22" t="str">
        <f t="shared" si="2"/>
        <v>3.0</v>
      </c>
      <c r="K25" s="22" t="str">
        <f t="shared" si="3"/>
        <v>B</v>
      </c>
    </row>
    <row r="26" ht="15.75" customHeight="1">
      <c r="A26" s="22">
        <f>'INPUT DAFTAR PESERTA'!A23</f>
        <v>21</v>
      </c>
      <c r="B26" s="22">
        <f>'INPUT DAFTAR PESERTA'!B23</f>
        <v>2409076021</v>
      </c>
      <c r="C26" s="6" t="str">
        <f>'INPUT DAFTAR PESERTA'!C23</f>
        <v>Farras Alwan Putra Setyo</v>
      </c>
      <c r="D26" s="24">
        <f>'NILAI HARIAN'!J26</f>
        <v>100</v>
      </c>
      <c r="E26" s="33">
        <f>'NILAI HARIAN'!K26</f>
        <v>72.75</v>
      </c>
      <c r="F26" s="22">
        <f>'NILAI HARIAN'!R26</f>
        <v>70</v>
      </c>
      <c r="G26" s="24">
        <f>'NILAI HARIAN'!Y26</f>
        <v>60</v>
      </c>
      <c r="H26" s="24">
        <f>'NILAI HARIAN'!AF26</f>
        <v>74</v>
      </c>
      <c r="I26" s="24">
        <f t="shared" si="1"/>
        <v>73.275</v>
      </c>
      <c r="J26" s="22" t="str">
        <f t="shared" si="2"/>
        <v>3.0</v>
      </c>
      <c r="K26" s="22" t="str">
        <f t="shared" si="3"/>
        <v>B</v>
      </c>
    </row>
    <row r="27" ht="15.75" customHeight="1">
      <c r="A27" s="22">
        <f>'INPUT DAFTAR PESERTA'!A24</f>
        <v>22</v>
      </c>
      <c r="B27" s="22">
        <f>'INPUT DAFTAR PESERTA'!B24</f>
        <v>2409076022</v>
      </c>
      <c r="C27" s="6" t="str">
        <f>'INPUT DAFTAR PESERTA'!C24</f>
        <v>Dewo Dzaki</v>
      </c>
      <c r="D27" s="24">
        <f>'NILAI HARIAN'!J27</f>
        <v>100</v>
      </c>
      <c r="E27" s="33">
        <f>'NILAI HARIAN'!K27</f>
        <v>82</v>
      </c>
      <c r="F27" s="22">
        <f>'NILAI HARIAN'!R27</f>
        <v>84</v>
      </c>
      <c r="G27" s="24">
        <f>'NILAI HARIAN'!Y27</f>
        <v>76.66666667</v>
      </c>
      <c r="H27" s="24">
        <f>'NILAI HARIAN'!AF27</f>
        <v>80.5</v>
      </c>
      <c r="I27" s="24">
        <f t="shared" si="1"/>
        <v>82.18333333</v>
      </c>
      <c r="J27" s="22" t="str">
        <f t="shared" si="2"/>
        <v>4.0</v>
      </c>
      <c r="K27" s="22" t="str">
        <f t="shared" si="3"/>
        <v>A</v>
      </c>
    </row>
    <row r="28" ht="15.75" customHeight="1">
      <c r="A28" s="22">
        <f>'INPUT DAFTAR PESERTA'!A25</f>
        <v>23</v>
      </c>
      <c r="B28" s="22">
        <f>'INPUT DAFTAR PESERTA'!B25</f>
        <v>2409076023</v>
      </c>
      <c r="C28" s="6" t="str">
        <f>'INPUT DAFTAR PESERTA'!C25</f>
        <v>Yusr Gavrila</v>
      </c>
      <c r="D28" s="24">
        <f>'NILAI HARIAN'!J28</f>
        <v>100</v>
      </c>
      <c r="E28" s="33">
        <f>'NILAI HARIAN'!K28</f>
        <v>87.66666667</v>
      </c>
      <c r="F28" s="22">
        <f>'NILAI HARIAN'!R28</f>
        <v>92</v>
      </c>
      <c r="G28" s="24">
        <f>'NILAI HARIAN'!Y28</f>
        <v>81.66666667</v>
      </c>
      <c r="H28" s="24">
        <f>'NILAI HARIAN'!AF28</f>
        <v>83</v>
      </c>
      <c r="I28" s="24">
        <f t="shared" si="1"/>
        <v>85.8</v>
      </c>
      <c r="J28" s="22" t="str">
        <f t="shared" si="2"/>
        <v>4.0</v>
      </c>
      <c r="K28" s="22" t="str">
        <f t="shared" si="3"/>
        <v>A</v>
      </c>
    </row>
    <row r="29" ht="15.75" customHeight="1">
      <c r="A29" s="22">
        <f>'INPUT DAFTAR PESERTA'!A26</f>
        <v>24</v>
      </c>
      <c r="B29" s="22">
        <f>'INPUT DAFTAR PESERTA'!B26</f>
        <v>2409076025</v>
      </c>
      <c r="C29" s="6" t="str">
        <f>'INPUT DAFTAR PESERTA'!C26</f>
        <v>Fahrizal Prasetya</v>
      </c>
      <c r="D29" s="24">
        <f>'NILAI HARIAN'!J29</f>
        <v>100</v>
      </c>
      <c r="E29" s="33">
        <f>'NILAI HARIAN'!K29</f>
        <v>61.83333333</v>
      </c>
      <c r="F29" s="22">
        <f>'NILAI HARIAN'!R29</f>
        <v>80</v>
      </c>
      <c r="G29" s="24">
        <f>'NILAI HARIAN'!Y29</f>
        <v>56.66666667</v>
      </c>
      <c r="H29" s="24">
        <f>'NILAI HARIAN'!AF29</f>
        <v>70</v>
      </c>
      <c r="I29" s="24">
        <f t="shared" si="1"/>
        <v>70.51666667</v>
      </c>
      <c r="J29" s="22" t="str">
        <f t="shared" si="2"/>
        <v>3.0</v>
      </c>
      <c r="K29" s="22" t="str">
        <f t="shared" si="3"/>
        <v>B</v>
      </c>
    </row>
    <row r="30" ht="15.75" customHeight="1">
      <c r="A30" s="22">
        <f>'INPUT DAFTAR PESERTA'!A27</f>
        <v>25</v>
      </c>
      <c r="B30" s="22">
        <f>'INPUT DAFTAR PESERTA'!B27</f>
        <v>2409076026</v>
      </c>
      <c r="C30" s="6" t="str">
        <f>'INPUT DAFTAR PESERTA'!C27</f>
        <v>Ariya Kema Maulana</v>
      </c>
      <c r="D30" s="24">
        <f>'NILAI HARIAN'!J30</f>
        <v>100</v>
      </c>
      <c r="E30" s="33">
        <f>'NILAI HARIAN'!K30</f>
        <v>66.25</v>
      </c>
      <c r="F30" s="22">
        <f>'NILAI HARIAN'!R30</f>
        <v>88</v>
      </c>
      <c r="G30" s="24">
        <f>'NILAI HARIAN'!Y30</f>
        <v>61.66666667</v>
      </c>
      <c r="H30" s="24">
        <f>'NILAI HARIAN'!AF30</f>
        <v>71</v>
      </c>
      <c r="I30" s="24">
        <f t="shared" si="1"/>
        <v>73.25833333</v>
      </c>
      <c r="J30" s="22" t="str">
        <f t="shared" si="2"/>
        <v>3.0</v>
      </c>
      <c r="K30" s="22" t="str">
        <f t="shared" si="3"/>
        <v>B</v>
      </c>
    </row>
    <row r="31" ht="15.75" customHeight="1">
      <c r="A31" s="22">
        <f>'INPUT DAFTAR PESERTA'!A28</f>
        <v>26</v>
      </c>
      <c r="B31" s="22">
        <f>'INPUT DAFTAR PESERTA'!B28</f>
        <v>2409076027</v>
      </c>
      <c r="C31" s="6" t="str">
        <f>'INPUT DAFTAR PESERTA'!C28</f>
        <v>Muhammad Afdal</v>
      </c>
      <c r="D31" s="24">
        <f>'NILAI HARIAN'!J31</f>
        <v>100</v>
      </c>
      <c r="E31" s="33">
        <f>'NILAI HARIAN'!K31</f>
        <v>63.95833333</v>
      </c>
      <c r="F31" s="22">
        <f>'NILAI HARIAN'!R31</f>
        <v>80</v>
      </c>
      <c r="G31" s="24">
        <f>'NILAI HARIAN'!Y31</f>
        <v>61.66666667</v>
      </c>
      <c r="H31" s="24">
        <f>'NILAI HARIAN'!AF31</f>
        <v>70</v>
      </c>
      <c r="I31" s="24">
        <f t="shared" si="1"/>
        <v>71.72916667</v>
      </c>
      <c r="J31" s="22" t="str">
        <f t="shared" si="2"/>
        <v>3.0</v>
      </c>
      <c r="K31" s="22" t="str">
        <f t="shared" si="3"/>
        <v>B</v>
      </c>
    </row>
    <row r="32" ht="15.75" customHeight="1">
      <c r="A32" s="22">
        <f>'INPUT DAFTAR PESERTA'!A29</f>
        <v>27</v>
      </c>
      <c r="B32" s="22">
        <f>'INPUT DAFTAR PESERTA'!B29</f>
        <v>2409076028</v>
      </c>
      <c r="C32" s="6" t="str">
        <f>'INPUT DAFTAR PESERTA'!C29</f>
        <v>Carlos Immanuel Simanjuntak</v>
      </c>
      <c r="D32" s="24">
        <f>'NILAI HARIAN'!J32</f>
        <v>100</v>
      </c>
      <c r="E32" s="33">
        <f>'NILAI HARIAN'!K32</f>
        <v>71.16666667</v>
      </c>
      <c r="F32" s="22">
        <f>'NILAI HARIAN'!R32</f>
        <v>80</v>
      </c>
      <c r="G32" s="24">
        <f>'NILAI HARIAN'!Y32</f>
        <v>66.66666667</v>
      </c>
      <c r="H32" s="24">
        <f>'NILAI HARIAN'!AF32</f>
        <v>76</v>
      </c>
      <c r="I32" s="24">
        <f t="shared" si="1"/>
        <v>76.45</v>
      </c>
      <c r="J32" s="22" t="str">
        <f t="shared" si="2"/>
        <v>3.5</v>
      </c>
      <c r="K32" s="22" t="str">
        <f t="shared" si="3"/>
        <v>B</v>
      </c>
    </row>
    <row r="33" ht="15.75" customHeight="1">
      <c r="A33" s="22">
        <f>'INPUT DAFTAR PESERTA'!A30</f>
        <v>28</v>
      </c>
      <c r="B33" s="22">
        <f>'INPUT DAFTAR PESERTA'!B30</f>
        <v>2409076029</v>
      </c>
      <c r="C33" s="6" t="str">
        <f>'INPUT DAFTAR PESERTA'!C30</f>
        <v>Ardhian Arif Ananda</v>
      </c>
      <c r="D33" s="24">
        <f>'NILAI HARIAN'!J33</f>
        <v>83.33333333</v>
      </c>
      <c r="E33" s="33">
        <f>'NILAI HARIAN'!K33</f>
        <v>55.33333333</v>
      </c>
      <c r="F33" s="22">
        <f>'NILAI HARIAN'!R33</f>
        <v>43</v>
      </c>
      <c r="G33" s="24">
        <f>'NILAI HARIAN'!Y33</f>
        <v>51.66666667</v>
      </c>
      <c r="H33" s="24">
        <f>'NILAI HARIAN'!AF33</f>
        <v>52.5</v>
      </c>
      <c r="I33" s="24">
        <f t="shared" si="1"/>
        <v>54.75</v>
      </c>
      <c r="J33" s="22" t="str">
        <f t="shared" si="2"/>
        <v>1.5</v>
      </c>
      <c r="K33" s="22" t="str">
        <f t="shared" si="3"/>
        <v>D</v>
      </c>
    </row>
    <row r="34" ht="15.75" customHeight="1">
      <c r="A34" s="22">
        <f>'INPUT DAFTAR PESERTA'!A31</f>
        <v>29</v>
      </c>
      <c r="B34" s="22">
        <f>'INPUT DAFTAR PESERTA'!B31</f>
        <v>2409076030</v>
      </c>
      <c r="C34" s="6" t="str">
        <f>'INPUT DAFTAR PESERTA'!C31</f>
        <v>Ahmad Fikri Tri Utomo</v>
      </c>
      <c r="D34" s="24">
        <f>'NILAI HARIAN'!J34</f>
        <v>100</v>
      </c>
      <c r="E34" s="33">
        <f>'NILAI HARIAN'!K34</f>
        <v>63.58333333</v>
      </c>
      <c r="F34" s="22">
        <f>'NILAI HARIAN'!R34</f>
        <v>94</v>
      </c>
      <c r="G34" s="24">
        <f>'NILAI HARIAN'!Y34</f>
        <v>65</v>
      </c>
      <c r="H34" s="24">
        <f>'NILAI HARIAN'!AF34</f>
        <v>68.5</v>
      </c>
      <c r="I34" s="24">
        <f t="shared" si="1"/>
        <v>73.00833333</v>
      </c>
      <c r="J34" s="22" t="str">
        <f t="shared" si="2"/>
        <v>3.0</v>
      </c>
      <c r="K34" s="22" t="str">
        <f t="shared" si="3"/>
        <v>B</v>
      </c>
    </row>
    <row r="35" ht="15.75" customHeight="1">
      <c r="A35" s="22">
        <f>'INPUT DAFTAR PESERTA'!A32</f>
        <v>30</v>
      </c>
      <c r="B35" s="22">
        <f>'INPUT DAFTAR PESERTA'!B32</f>
        <v>2409076031</v>
      </c>
      <c r="C35" s="6" t="str">
        <f>'INPUT DAFTAR PESERTA'!C32</f>
        <v>Muhammad Alfin Alfanfa</v>
      </c>
      <c r="D35" s="24">
        <f>'NILAI HARIAN'!J35</f>
        <v>100</v>
      </c>
      <c r="E35" s="33">
        <f>'NILAI HARIAN'!K35</f>
        <v>82</v>
      </c>
      <c r="F35" s="22">
        <f>'NILAI HARIAN'!R35</f>
        <v>92</v>
      </c>
      <c r="G35" s="24">
        <f>'NILAI HARIAN'!Y35</f>
        <v>76.66666667</v>
      </c>
      <c r="H35" s="24">
        <f>'NILAI HARIAN'!AF35</f>
        <v>79</v>
      </c>
      <c r="I35" s="24">
        <f t="shared" si="1"/>
        <v>82.23333333</v>
      </c>
      <c r="J35" s="22" t="str">
        <f t="shared" si="2"/>
        <v>4.0</v>
      </c>
      <c r="K35" s="22" t="str">
        <f t="shared" si="3"/>
        <v>A</v>
      </c>
    </row>
    <row r="36" ht="15.75" customHeight="1">
      <c r="A36" s="22">
        <f>'INPUT DAFTAR PESERTA'!A33</f>
        <v>31</v>
      </c>
      <c r="B36" s="22">
        <f>'INPUT DAFTAR PESERTA'!B33</f>
        <v>2409076032</v>
      </c>
      <c r="C36" s="6" t="str">
        <f>'INPUT DAFTAR PESERTA'!C33</f>
        <v>Faizal Haqi</v>
      </c>
      <c r="D36" s="24">
        <f>'NILAI HARIAN'!J36</f>
        <v>100</v>
      </c>
      <c r="E36" s="33">
        <f>'NILAI HARIAN'!K36</f>
        <v>78.91666667</v>
      </c>
      <c r="F36" s="22">
        <f>'NILAI HARIAN'!R36</f>
        <v>70</v>
      </c>
      <c r="G36" s="24">
        <f>'NILAI HARIAN'!Y36</f>
        <v>78.33333333</v>
      </c>
      <c r="H36" s="24">
        <f>'NILAI HARIAN'!AF36</f>
        <v>78.5</v>
      </c>
      <c r="I36" s="24">
        <f t="shared" si="1"/>
        <v>79.80833333</v>
      </c>
      <c r="J36" s="22" t="str">
        <f t="shared" si="2"/>
        <v>3.5</v>
      </c>
      <c r="K36" s="22" t="str">
        <f t="shared" si="3"/>
        <v>B</v>
      </c>
    </row>
    <row r="37" ht="15.75" customHeight="1">
      <c r="A37" s="22">
        <f>'INPUT DAFTAR PESERTA'!A34</f>
        <v>32</v>
      </c>
      <c r="B37" s="22">
        <f>'INPUT DAFTAR PESERTA'!B34</f>
        <v>2409076033</v>
      </c>
      <c r="C37" s="6" t="str">
        <f>'INPUT DAFTAR PESERTA'!C34</f>
        <v>Joinicius Pasalin</v>
      </c>
      <c r="D37" s="24">
        <f>'NILAI HARIAN'!J37</f>
        <v>100</v>
      </c>
      <c r="E37" s="33">
        <f>'NILAI HARIAN'!K37</f>
        <v>86.66666667</v>
      </c>
      <c r="F37" s="22">
        <f>'NILAI HARIAN'!R37</f>
        <v>82</v>
      </c>
      <c r="G37" s="24">
        <f>'NILAI HARIAN'!Y37</f>
        <v>76.66666667</v>
      </c>
      <c r="H37" s="24">
        <f>'NILAI HARIAN'!AF37</f>
        <v>81.5</v>
      </c>
      <c r="I37" s="24">
        <f t="shared" si="1"/>
        <v>82.95</v>
      </c>
      <c r="J37" s="22" t="str">
        <f t="shared" si="2"/>
        <v>4.0</v>
      </c>
      <c r="K37" s="22" t="str">
        <f t="shared" si="3"/>
        <v>A</v>
      </c>
    </row>
    <row r="38" ht="15.75" customHeight="1">
      <c r="A38" s="22">
        <f>'INPUT DAFTAR PESERTA'!A35</f>
        <v>33</v>
      </c>
      <c r="B38" s="22">
        <f>'INPUT DAFTAR PESERTA'!B35</f>
        <v>2409076034</v>
      </c>
      <c r="C38" s="6" t="str">
        <f>'INPUT DAFTAR PESERTA'!C35</f>
        <v>Alwi Rudiansyah</v>
      </c>
      <c r="D38" s="24">
        <f>'NILAI HARIAN'!J38</f>
        <v>100</v>
      </c>
      <c r="E38" s="33">
        <f>'NILAI HARIAN'!K38</f>
        <v>84.20833333</v>
      </c>
      <c r="F38" s="22">
        <f>'NILAI HARIAN'!R38</f>
        <v>98</v>
      </c>
      <c r="G38" s="24">
        <f>'NILAI HARIAN'!Y38</f>
        <v>76.66666667</v>
      </c>
      <c r="H38" s="24">
        <f>'NILAI HARIAN'!AF38</f>
        <v>79.5</v>
      </c>
      <c r="I38" s="24">
        <f t="shared" si="1"/>
        <v>83.30416667</v>
      </c>
      <c r="J38" s="22" t="str">
        <f t="shared" si="2"/>
        <v>4.0</v>
      </c>
      <c r="K38" s="22" t="str">
        <f t="shared" si="3"/>
        <v>A</v>
      </c>
    </row>
    <row r="39" ht="15.75" customHeight="1">
      <c r="A39" s="22">
        <f>'INPUT DAFTAR PESERTA'!A36</f>
        <v>34</v>
      </c>
      <c r="B39" s="22">
        <f>'INPUT DAFTAR PESERTA'!B36</f>
        <v>2409076035</v>
      </c>
      <c r="C39" s="6" t="str">
        <f>'INPUT DAFTAR PESERTA'!C36</f>
        <v>Muhammad Rizki Nauval Alim</v>
      </c>
      <c r="D39" s="24">
        <f>'NILAI HARIAN'!J39</f>
        <v>100</v>
      </c>
      <c r="E39" s="33">
        <f>'NILAI HARIAN'!K39</f>
        <v>86.16666667</v>
      </c>
      <c r="F39" s="22">
        <f>'NILAI HARIAN'!R39</f>
        <v>82</v>
      </c>
      <c r="G39" s="24">
        <f>'NILAI HARIAN'!Y39</f>
        <v>76.66666667</v>
      </c>
      <c r="H39" s="24">
        <f>'NILAI HARIAN'!AF39</f>
        <v>84</v>
      </c>
      <c r="I39" s="24">
        <f t="shared" si="1"/>
        <v>84.15</v>
      </c>
      <c r="J39" s="22" t="str">
        <f t="shared" si="2"/>
        <v>4.0</v>
      </c>
      <c r="K39" s="22" t="str">
        <f t="shared" si="3"/>
        <v>A</v>
      </c>
    </row>
    <row r="40" ht="15.75" customHeight="1">
      <c r="A40" s="22">
        <f>'INPUT DAFTAR PESERTA'!A37</f>
        <v>35</v>
      </c>
      <c r="B40" s="22">
        <f>'INPUT DAFTAR PESERTA'!B37</f>
        <v>2409076036</v>
      </c>
      <c r="C40" s="6" t="str">
        <f>'INPUT DAFTAR PESERTA'!C37</f>
        <v>Muhammad Rico Setiawan</v>
      </c>
      <c r="D40" s="24">
        <f>'NILAI HARIAN'!J40</f>
        <v>83.33333333</v>
      </c>
      <c r="E40" s="33">
        <f>'NILAI HARIAN'!K40</f>
        <v>0</v>
      </c>
      <c r="F40" s="22">
        <f>'NILAI HARIAN'!R40</f>
        <v>84</v>
      </c>
      <c r="G40" s="24">
        <f>'NILAI HARIAN'!Y40</f>
        <v>0</v>
      </c>
      <c r="H40" s="24">
        <f>'NILAI HARIAN'!AF40</f>
        <v>15</v>
      </c>
      <c r="I40" s="24">
        <f t="shared" si="1"/>
        <v>24.23333333</v>
      </c>
      <c r="J40" s="22" t="str">
        <f t="shared" si="2"/>
        <v>0.0</v>
      </c>
      <c r="K40" s="22" t="str">
        <f t="shared" si="3"/>
        <v>E</v>
      </c>
    </row>
    <row r="41" ht="15.75" customHeight="1">
      <c r="A41" s="22">
        <f>'INPUT DAFTAR PESERTA'!A38</f>
        <v>36</v>
      </c>
      <c r="B41" s="22">
        <f>'INPUT DAFTAR PESERTA'!B38</f>
        <v>2409076037</v>
      </c>
      <c r="C41" s="6" t="str">
        <f>'INPUT DAFTAR PESERTA'!C38</f>
        <v>Muhammad Ananda Ryan Nur Rahman</v>
      </c>
      <c r="D41" s="24">
        <f>'NILAI HARIAN'!J41</f>
        <v>100</v>
      </c>
      <c r="E41" s="33">
        <f>'NILAI HARIAN'!K41</f>
        <v>62</v>
      </c>
      <c r="F41" s="22">
        <f>'NILAI HARIAN'!R41</f>
        <v>60</v>
      </c>
      <c r="G41" s="24">
        <f>'NILAI HARIAN'!Y41</f>
        <v>46.66666667</v>
      </c>
      <c r="H41" s="24">
        <f>'NILAI HARIAN'!AF41</f>
        <v>63</v>
      </c>
      <c r="I41" s="24">
        <f t="shared" si="1"/>
        <v>63.03333333</v>
      </c>
      <c r="J41" s="22" t="str">
        <f t="shared" si="2"/>
        <v>2.0</v>
      </c>
      <c r="K41" s="22" t="str">
        <f t="shared" si="3"/>
        <v>C</v>
      </c>
    </row>
    <row r="42" ht="15.75" customHeight="1">
      <c r="A42" s="22">
        <f>'INPUT DAFTAR PESERTA'!A39</f>
        <v>37</v>
      </c>
      <c r="B42" s="22">
        <f>'INPUT DAFTAR PESERTA'!B39</f>
        <v>2409076038</v>
      </c>
      <c r="C42" s="6" t="str">
        <f>'INPUT DAFTAR PESERTA'!C39</f>
        <v>Muhammad Alif Rahmat Syakir</v>
      </c>
      <c r="D42" s="24">
        <f>'NILAI HARIAN'!J42</f>
        <v>83.33333333</v>
      </c>
      <c r="E42" s="33">
        <f>'NILAI HARIAN'!K42</f>
        <v>4.916666667</v>
      </c>
      <c r="F42" s="22">
        <f>'NILAI HARIAN'!R42</f>
        <v>66</v>
      </c>
      <c r="G42" s="24">
        <f>'NILAI HARIAN'!Y42</f>
        <v>0</v>
      </c>
      <c r="H42" s="24">
        <f>'NILAI HARIAN'!AF42</f>
        <v>10</v>
      </c>
      <c r="I42" s="24">
        <f t="shared" si="1"/>
        <v>20.425</v>
      </c>
      <c r="J42" s="22" t="str">
        <f t="shared" si="2"/>
        <v>0.0</v>
      </c>
      <c r="K42" s="22" t="str">
        <f t="shared" si="3"/>
        <v>E</v>
      </c>
    </row>
    <row r="43" ht="15.75" customHeight="1">
      <c r="A43" s="22">
        <f>'INPUT DAFTAR PESERTA'!A40</f>
        <v>38</v>
      </c>
      <c r="B43" s="22">
        <f>'INPUT DAFTAR PESERTA'!B40</f>
        <v>2409076039</v>
      </c>
      <c r="C43" s="6" t="str">
        <f>'INPUT DAFTAR PESERTA'!C40</f>
        <v>Christopher Mahesa Aditama</v>
      </c>
      <c r="D43" s="24">
        <f>'NILAI HARIAN'!J43</f>
        <v>100</v>
      </c>
      <c r="E43" s="33">
        <f>'NILAI HARIAN'!K43</f>
        <v>84.08333333</v>
      </c>
      <c r="F43" s="22">
        <f>'NILAI HARIAN'!R43</f>
        <v>82</v>
      </c>
      <c r="G43" s="24">
        <f>'NILAI HARIAN'!Y43</f>
        <v>73.33333333</v>
      </c>
      <c r="H43" s="24">
        <f>'NILAI HARIAN'!AF43</f>
        <v>83.5</v>
      </c>
      <c r="I43" s="24">
        <f t="shared" si="1"/>
        <v>83.025</v>
      </c>
      <c r="J43" s="22" t="str">
        <f t="shared" si="2"/>
        <v>4.0</v>
      </c>
      <c r="K43" s="22" t="str">
        <f t="shared" si="3"/>
        <v>A</v>
      </c>
    </row>
    <row r="44" ht="15.75" customHeight="1">
      <c r="A44" s="22">
        <f>'INPUT DAFTAR PESERTA'!A41</f>
        <v>39</v>
      </c>
      <c r="B44" s="22">
        <f>'INPUT DAFTAR PESERTA'!B41</f>
        <v>2409076040</v>
      </c>
      <c r="C44" s="6" t="str">
        <f>'INPUT DAFTAR PESERTA'!C41</f>
        <v>Muhammad Rafli Ramadhani</v>
      </c>
      <c r="D44" s="24">
        <f>'NILAI HARIAN'!J44</f>
        <v>100</v>
      </c>
      <c r="E44" s="33">
        <f>'NILAI HARIAN'!K44</f>
        <v>88.75</v>
      </c>
      <c r="F44" s="22">
        <f>'NILAI HARIAN'!R44</f>
        <v>96</v>
      </c>
      <c r="G44" s="24">
        <f>'NILAI HARIAN'!Y44</f>
        <v>81.66666667</v>
      </c>
      <c r="H44" s="24">
        <f>'NILAI HARIAN'!AF44</f>
        <v>84</v>
      </c>
      <c r="I44" s="24">
        <f t="shared" si="1"/>
        <v>86.80833333</v>
      </c>
      <c r="J44" s="22" t="str">
        <f t="shared" si="2"/>
        <v>4.0</v>
      </c>
      <c r="K44" s="22" t="str">
        <f t="shared" si="3"/>
        <v>A</v>
      </c>
    </row>
    <row r="45" ht="15.75" customHeight="1">
      <c r="A45" s="22">
        <f>'INPUT DAFTAR PESERTA'!A42</f>
        <v>40</v>
      </c>
      <c r="B45" s="22">
        <f>'INPUT DAFTAR PESERTA'!B42</f>
        <v>2409076041</v>
      </c>
      <c r="C45" s="6" t="str">
        <f>'INPUT DAFTAR PESERTA'!C42</f>
        <v>Muhammad Rindhan Amarna</v>
      </c>
      <c r="D45" s="24">
        <f>'NILAI HARIAN'!J45</f>
        <v>100</v>
      </c>
      <c r="E45" s="33">
        <f>'NILAI HARIAN'!K45</f>
        <v>77.54166667</v>
      </c>
      <c r="F45" s="22">
        <f>'NILAI HARIAN'!R45</f>
        <v>85.25</v>
      </c>
      <c r="G45" s="24">
        <f>'NILAI HARIAN'!Y45</f>
        <v>78.33333333</v>
      </c>
      <c r="H45" s="24">
        <f>'NILAI HARIAN'!AF45</f>
        <v>76.5</v>
      </c>
      <c r="I45" s="24">
        <f t="shared" si="1"/>
        <v>80.19583333</v>
      </c>
      <c r="J45" s="22" t="str">
        <f t="shared" si="2"/>
        <v>4.0</v>
      </c>
      <c r="K45" s="22" t="str">
        <f t="shared" si="3"/>
        <v>A</v>
      </c>
    </row>
    <row r="46" ht="15.75" customHeight="1">
      <c r="A46" s="22">
        <f>'INPUT DAFTAR PESERTA'!A43</f>
        <v>41</v>
      </c>
      <c r="B46" s="22">
        <f>'INPUT DAFTAR PESERTA'!B43</f>
        <v>2409076043</v>
      </c>
      <c r="C46" s="6" t="str">
        <f>'INPUT DAFTAR PESERTA'!C43</f>
        <v>Bima Angga Pratama</v>
      </c>
      <c r="D46" s="24">
        <f>'NILAI HARIAN'!J46</f>
        <v>83.33333333</v>
      </c>
      <c r="E46" s="33">
        <f>'NILAI HARIAN'!K46</f>
        <v>10.625</v>
      </c>
      <c r="F46" s="22">
        <f>'NILAI HARIAN'!R46</f>
        <v>62</v>
      </c>
      <c r="G46" s="24">
        <f>'NILAI HARIAN'!Y46</f>
        <v>0</v>
      </c>
      <c r="H46" s="24">
        <f>'NILAI HARIAN'!AF46</f>
        <v>20</v>
      </c>
      <c r="I46" s="24">
        <f t="shared" si="1"/>
        <v>25.59583333</v>
      </c>
      <c r="J46" s="22" t="str">
        <f t="shared" si="2"/>
        <v>0.0</v>
      </c>
      <c r="K46" s="22" t="str">
        <f t="shared" si="3"/>
        <v>E</v>
      </c>
    </row>
    <row r="47" ht="15.75" customHeight="1">
      <c r="A47" s="22">
        <f>'INPUT DAFTAR PESERTA'!A44</f>
        <v>42</v>
      </c>
      <c r="B47" s="22">
        <f>'INPUT DAFTAR PESERTA'!B44</f>
        <v>2409076044</v>
      </c>
      <c r="C47" s="6" t="str">
        <f>'INPUT DAFTAR PESERTA'!C44</f>
        <v>Muhammad Daffa Dzakwan</v>
      </c>
      <c r="D47" s="24">
        <f>'NILAI HARIAN'!J47</f>
        <v>83.33333333</v>
      </c>
      <c r="E47" s="33">
        <f>'NILAI HARIAN'!K47</f>
        <v>71.375</v>
      </c>
      <c r="F47" s="22">
        <f>'NILAI HARIAN'!R47</f>
        <v>98</v>
      </c>
      <c r="G47" s="24">
        <f>'NILAI HARIAN'!Y47</f>
        <v>65</v>
      </c>
      <c r="H47" s="24">
        <f>'NILAI HARIAN'!AF47</f>
        <v>61.5</v>
      </c>
      <c r="I47" s="24">
        <f t="shared" si="1"/>
        <v>69.02083333</v>
      </c>
      <c r="J47" s="22" t="str">
        <f t="shared" si="2"/>
        <v>2.5</v>
      </c>
      <c r="K47" s="22" t="str">
        <f t="shared" si="3"/>
        <v>C</v>
      </c>
    </row>
    <row r="48" ht="15.75" customHeight="1">
      <c r="A48" s="22">
        <f>'INPUT DAFTAR PESERTA'!A45</f>
        <v>43</v>
      </c>
      <c r="B48" s="22">
        <f>'INPUT DAFTAR PESERTA'!B45</f>
        <v>2409076045</v>
      </c>
      <c r="C48" s="6" t="str">
        <f>'INPUT DAFTAR PESERTA'!C45</f>
        <v>Ahmad Purwono Aji</v>
      </c>
      <c r="D48" s="24">
        <f>'NILAI HARIAN'!J48</f>
        <v>83.33333333</v>
      </c>
      <c r="E48" s="33">
        <f>'NILAI HARIAN'!K48</f>
        <v>52.79166667</v>
      </c>
      <c r="F48" s="22">
        <f>'NILAI HARIAN'!R48</f>
        <v>0</v>
      </c>
      <c r="G48" s="24">
        <f>'NILAI HARIAN'!Y48</f>
        <v>35</v>
      </c>
      <c r="H48" s="24">
        <f>'NILAI HARIAN'!AF48</f>
        <v>47</v>
      </c>
      <c r="I48" s="24">
        <f t="shared" si="1"/>
        <v>44.1125</v>
      </c>
      <c r="J48" s="22" t="str">
        <f t="shared" si="2"/>
        <v>1.0</v>
      </c>
      <c r="K48" s="22" t="str">
        <f t="shared" si="3"/>
        <v>D</v>
      </c>
    </row>
    <row r="49" ht="15.75" customHeight="1">
      <c r="A49" s="22">
        <f>'INPUT DAFTAR PESERTA'!A46</f>
        <v>44</v>
      </c>
      <c r="B49" s="22">
        <f>'INPUT DAFTAR PESERTA'!B46</f>
        <v>2409076046</v>
      </c>
      <c r="C49" s="6" t="str">
        <f>'INPUT DAFTAR PESERTA'!C46</f>
        <v>Muhammad Hasan Hanif</v>
      </c>
      <c r="D49" s="24">
        <f>'NILAI HARIAN'!J49</f>
        <v>83.33333333</v>
      </c>
      <c r="E49" s="33">
        <f>'NILAI HARIAN'!K49</f>
        <v>33.75</v>
      </c>
      <c r="F49" s="22">
        <f>'NILAI HARIAN'!R49</f>
        <v>0</v>
      </c>
      <c r="G49" s="24">
        <f>'NILAI HARIAN'!Y49</f>
        <v>21.66666667</v>
      </c>
      <c r="H49" s="24">
        <f>'NILAI HARIAN'!AF49</f>
        <v>43</v>
      </c>
      <c r="I49" s="24">
        <f t="shared" si="1"/>
        <v>37.54166667</v>
      </c>
      <c r="J49" s="22" t="str">
        <f t="shared" si="2"/>
        <v>0.0</v>
      </c>
      <c r="K49" s="22" t="str">
        <f t="shared" si="3"/>
        <v>E</v>
      </c>
    </row>
    <row r="50" ht="15.75" customHeight="1">
      <c r="A50" s="22">
        <f>'INPUT DAFTAR PESERTA'!A47</f>
        <v>45</v>
      </c>
      <c r="B50" s="22">
        <f>'INPUT DAFTAR PESERTA'!B47</f>
        <v>2409076047</v>
      </c>
      <c r="C50" s="6" t="str">
        <f>'INPUT DAFTAR PESERTA'!C47</f>
        <v>Gilbert Pasolon</v>
      </c>
      <c r="D50" s="24">
        <f>'NILAI HARIAN'!J50</f>
        <v>83.33333333</v>
      </c>
      <c r="E50" s="33">
        <f>'NILAI HARIAN'!K50</f>
        <v>69.41666667</v>
      </c>
      <c r="F50" s="22">
        <f>'NILAI HARIAN'!R50</f>
        <v>92</v>
      </c>
      <c r="G50" s="24">
        <f>'NILAI HARIAN'!Y50</f>
        <v>63.33333333</v>
      </c>
      <c r="H50" s="24">
        <f>'NILAI HARIAN'!AF50</f>
        <v>61.5</v>
      </c>
      <c r="I50" s="24">
        <f t="shared" si="1"/>
        <v>67.89166667</v>
      </c>
      <c r="J50" s="22" t="str">
        <f t="shared" si="2"/>
        <v>2.5</v>
      </c>
      <c r="K50" s="22" t="str">
        <f t="shared" si="3"/>
        <v>C</v>
      </c>
    </row>
    <row r="51" ht="15.75" customHeight="1">
      <c r="A51" s="22">
        <f>'INPUT DAFTAR PESERTA'!A48</f>
        <v>46</v>
      </c>
      <c r="B51" s="22">
        <f>'INPUT DAFTAR PESERTA'!B48</f>
        <v>2409076048</v>
      </c>
      <c r="C51" s="6" t="str">
        <f>'INPUT DAFTAR PESERTA'!C48</f>
        <v>Achmad Fauzan At-Tamimi</v>
      </c>
      <c r="D51" s="24">
        <f>'NILAI HARIAN'!J51</f>
        <v>100</v>
      </c>
      <c r="E51" s="33">
        <f>'NILAI HARIAN'!K51</f>
        <v>85.125</v>
      </c>
      <c r="F51" s="22">
        <f>'NILAI HARIAN'!R51</f>
        <v>96</v>
      </c>
      <c r="G51" s="24">
        <f>'NILAI HARIAN'!Y51</f>
        <v>78.33333333</v>
      </c>
      <c r="H51" s="24">
        <f>'NILAI HARIAN'!AF51</f>
        <v>81</v>
      </c>
      <c r="I51" s="24">
        <f t="shared" si="1"/>
        <v>84.27916667</v>
      </c>
      <c r="J51" s="22" t="str">
        <f t="shared" si="2"/>
        <v>4.0</v>
      </c>
      <c r="K51" s="22" t="str">
        <f t="shared" si="3"/>
        <v>A</v>
      </c>
    </row>
    <row r="52" ht="15.75" customHeight="1">
      <c r="A52" s="22">
        <f>'INPUT DAFTAR PESERTA'!A49</f>
        <v>47</v>
      </c>
      <c r="B52" s="22">
        <f>'INPUT DAFTAR PESERTA'!B49</f>
        <v>2409076049</v>
      </c>
      <c r="C52" s="6" t="str">
        <f>'INPUT DAFTAR PESERTA'!C49</f>
        <v>Mahmud Abdul Aziz Qoby</v>
      </c>
      <c r="D52" s="24">
        <f>'NILAI HARIAN'!J52</f>
        <v>100</v>
      </c>
      <c r="E52" s="33">
        <f>'NILAI HARIAN'!K52</f>
        <v>64.25</v>
      </c>
      <c r="F52" s="22">
        <f>'NILAI HARIAN'!R52</f>
        <v>96</v>
      </c>
      <c r="G52" s="24">
        <f>'NILAI HARIAN'!Y52</f>
        <v>63.33333333</v>
      </c>
      <c r="H52" s="24">
        <f>'NILAI HARIAN'!AF52</f>
        <v>63.5</v>
      </c>
      <c r="I52" s="24">
        <f t="shared" si="1"/>
        <v>70.44166667</v>
      </c>
      <c r="J52" s="22" t="str">
        <f t="shared" si="2"/>
        <v>3.0</v>
      </c>
      <c r="K52" s="22" t="str">
        <f t="shared" si="3"/>
        <v>B</v>
      </c>
    </row>
    <row r="53" ht="15.75" customHeight="1">
      <c r="A53" s="22">
        <f>'INPUT DAFTAR PESERTA'!A50</f>
        <v>48</v>
      </c>
      <c r="B53" s="22">
        <f>'INPUT DAFTAR PESERTA'!B50</f>
        <v>2409076050</v>
      </c>
      <c r="C53" s="6" t="str">
        <f>'INPUT DAFTAR PESERTA'!C50</f>
        <v>Gde Nookie Carl Arya Susila</v>
      </c>
      <c r="D53" s="24">
        <f>'NILAI HARIAN'!J53</f>
        <v>100</v>
      </c>
      <c r="E53" s="33">
        <f>'NILAI HARIAN'!K53</f>
        <v>85.125</v>
      </c>
      <c r="F53" s="22">
        <f>'NILAI HARIAN'!R53</f>
        <v>40</v>
      </c>
      <c r="G53" s="24">
        <f>'NILAI HARIAN'!Y53</f>
        <v>75</v>
      </c>
      <c r="H53" s="24">
        <f>'NILAI HARIAN'!AF53</f>
        <v>79.5</v>
      </c>
      <c r="I53" s="24">
        <f t="shared" si="1"/>
        <v>77.2625</v>
      </c>
      <c r="J53" s="22" t="str">
        <f t="shared" si="2"/>
        <v>3.5</v>
      </c>
      <c r="K53" s="22" t="str">
        <f t="shared" si="3"/>
        <v>B</v>
      </c>
    </row>
    <row r="54" ht="15.75" customHeight="1">
      <c r="A54" s="22">
        <f>'INPUT DAFTAR PESERTA'!A51</f>
        <v>49</v>
      </c>
      <c r="B54" s="22">
        <f>'INPUT DAFTAR PESERTA'!B51</f>
        <v>2409076051</v>
      </c>
      <c r="C54" s="6" t="str">
        <f>'INPUT DAFTAR PESERTA'!C51</f>
        <v>Muhammad Afrizal</v>
      </c>
      <c r="D54" s="24">
        <f>'NILAI HARIAN'!J54</f>
        <v>16.66666667</v>
      </c>
      <c r="E54" s="33">
        <f>'NILAI HARIAN'!K54</f>
        <v>0</v>
      </c>
      <c r="F54" s="22">
        <f>'NILAI HARIAN'!R54</f>
        <v>76</v>
      </c>
      <c r="G54" s="24">
        <f>'NILAI HARIAN'!Y54</f>
        <v>0</v>
      </c>
      <c r="H54" s="24">
        <f>'NILAI HARIAN'!AF54</f>
        <v>0</v>
      </c>
      <c r="I54" s="24">
        <f t="shared" si="1"/>
        <v>9.266666667</v>
      </c>
      <c r="J54" s="22" t="str">
        <f t="shared" si="2"/>
        <v>0.0</v>
      </c>
      <c r="K54" s="22" t="str">
        <f t="shared" si="3"/>
        <v>E</v>
      </c>
    </row>
    <row r="55" ht="15.75" customHeight="1">
      <c r="A55" s="22">
        <f>'INPUT DAFTAR PESERTA'!A52</f>
        <v>50</v>
      </c>
      <c r="B55" s="22">
        <f>'INPUT DAFTAR PESERTA'!B52</f>
        <v>2409076052</v>
      </c>
      <c r="C55" s="6" t="str">
        <f>'INPUT DAFTAR PESERTA'!C52</f>
        <v>Rezky Yutabse</v>
      </c>
      <c r="D55" s="24">
        <f>'NILAI HARIAN'!J55</f>
        <v>100</v>
      </c>
      <c r="E55" s="33">
        <f>'NILAI HARIAN'!K55</f>
        <v>74.375</v>
      </c>
      <c r="F55" s="22">
        <f>'NILAI HARIAN'!R55</f>
        <v>82</v>
      </c>
      <c r="G55" s="24">
        <f>'NILAI HARIAN'!Y55</f>
        <v>71.66666667</v>
      </c>
      <c r="H55" s="24">
        <f>'NILAI HARIAN'!AF55</f>
        <v>78.5</v>
      </c>
      <c r="I55" s="24">
        <f t="shared" si="1"/>
        <v>79.22083333</v>
      </c>
      <c r="J55" s="22" t="str">
        <f t="shared" si="2"/>
        <v>3.5</v>
      </c>
      <c r="K55" s="22" t="str">
        <f t="shared" si="3"/>
        <v>B</v>
      </c>
    </row>
    <row r="56" ht="15.75" customHeight="1">
      <c r="A56" s="22">
        <f>'INPUT DAFTAR PESERTA'!A53</f>
        <v>51</v>
      </c>
      <c r="B56" s="22">
        <f>'INPUT DAFTAR PESERTA'!B53</f>
        <v>2409076053</v>
      </c>
      <c r="C56" s="6" t="str">
        <f>'INPUT DAFTAR PESERTA'!C53</f>
        <v>Dimas Wijaya Muliangto</v>
      </c>
      <c r="D56" s="24">
        <f>'NILAI HARIAN'!J56</f>
        <v>100</v>
      </c>
      <c r="E56" s="33">
        <f>'NILAI HARIAN'!K56</f>
        <v>77.29166667</v>
      </c>
      <c r="F56" s="22">
        <f>'NILAI HARIAN'!R56</f>
        <v>86</v>
      </c>
      <c r="G56" s="24">
        <f>'NILAI HARIAN'!Y56</f>
        <v>68.33333333</v>
      </c>
      <c r="H56" s="24">
        <f>'NILAI HARIAN'!AF56</f>
        <v>80</v>
      </c>
      <c r="I56" s="24">
        <f t="shared" si="1"/>
        <v>79.99583333</v>
      </c>
      <c r="J56" s="22" t="b">
        <f>IF(I56&lt;=39.9,"0.0",IF(I56&lt;=49.9,"1.0",IF(I56&lt;=59.9,"1.5",IF(I56&lt;=64.9,"2.0",IF(I56&lt;=69.9,"2.5",IF(I56&lt;=74.9,"3.0",IF(I56&lt;=79.99,"3.5",IF(I56&gt;=80,"4.0"))))))))</f>
        <v>0</v>
      </c>
      <c r="K56" s="22" t="str">
        <f t="shared" si="3"/>
        <v>B</v>
      </c>
    </row>
    <row r="57" ht="15.75" customHeight="1">
      <c r="A57" s="22">
        <f>'INPUT DAFTAR PESERTA'!A54</f>
        <v>52</v>
      </c>
      <c r="B57" s="22">
        <f>'INPUT DAFTAR PESERTA'!B54</f>
        <v>2409076054</v>
      </c>
      <c r="C57" s="6" t="str">
        <f>'INPUT DAFTAR PESERTA'!C54</f>
        <v>Muhammad Aldi</v>
      </c>
      <c r="D57" s="24">
        <f>'NILAI HARIAN'!J57</f>
        <v>100</v>
      </c>
      <c r="E57" s="33">
        <f>'NILAI HARIAN'!K57</f>
        <v>81.75</v>
      </c>
      <c r="F57" s="22">
        <f>'NILAI HARIAN'!R57</f>
        <v>94</v>
      </c>
      <c r="G57" s="24">
        <f>'NILAI HARIAN'!Y57</f>
        <v>67.5</v>
      </c>
      <c r="H57" s="24">
        <f>'NILAI HARIAN'!AF57</f>
        <v>80.5</v>
      </c>
      <c r="I57" s="24">
        <f t="shared" si="1"/>
        <v>81.325</v>
      </c>
      <c r="J57" s="22" t="str">
        <f t="shared" ref="J57:J59" si="4">IF(I57&lt;=39.9,"0.0",IF(I57&lt;=49.9,"1.0",IF(I57&lt;=59.9,"1.5",IF(I57&lt;=64.9,"2.0",IF(I57&lt;=69.9,"2.5",IF(I57&lt;=74.9,"3.0",IF(I57&lt;=79.99,"3.5",IF(I57&gt;=80,"4.0"))))))))</f>
        <v>4.0</v>
      </c>
      <c r="K57" s="22" t="str">
        <f t="shared" si="3"/>
        <v>A</v>
      </c>
    </row>
    <row r="58" ht="15.75" customHeight="1">
      <c r="A58" s="22">
        <f>'INPUT DAFTAR PESERTA'!A55</f>
        <v>53</v>
      </c>
      <c r="B58" s="22">
        <f>'INPUT DAFTAR PESERTA'!B55</f>
        <v>2409076056</v>
      </c>
      <c r="C58" s="6" t="str">
        <f>'INPUT DAFTAR PESERTA'!C55</f>
        <v>Rivaldy Paredanun</v>
      </c>
      <c r="D58" s="24">
        <f>'NILAI HARIAN'!J58</f>
        <v>100</v>
      </c>
      <c r="E58" s="33">
        <f>'NILAI HARIAN'!K58</f>
        <v>55.66666667</v>
      </c>
      <c r="F58" s="22">
        <f>'NILAI HARIAN'!R58</f>
        <v>74</v>
      </c>
      <c r="G58" s="24">
        <f>'NILAI HARIAN'!Y58</f>
        <v>38.33333333</v>
      </c>
      <c r="H58" s="24">
        <f>'NILAI HARIAN'!AF58</f>
        <v>59.5</v>
      </c>
      <c r="I58" s="24">
        <f t="shared" si="1"/>
        <v>60.38333333</v>
      </c>
      <c r="J58" s="22" t="str">
        <f t="shared" si="4"/>
        <v>2.0</v>
      </c>
      <c r="K58" s="22" t="str">
        <f t="shared" si="3"/>
        <v>C</v>
      </c>
    </row>
    <row r="59" ht="15.75" customHeight="1">
      <c r="A59" s="22">
        <f>'INPUT DAFTAR PESERTA'!A56</f>
        <v>54</v>
      </c>
      <c r="B59" s="22">
        <f>'INPUT DAFTAR PESERTA'!B56</f>
        <v>2409076024</v>
      </c>
      <c r="C59" s="6" t="str">
        <f>'INPUT DAFTAR PESERTA'!C56</f>
        <v>Muhammad Zacky</v>
      </c>
      <c r="D59" s="24">
        <f>'NILAI HARIAN'!J59</f>
        <v>100</v>
      </c>
      <c r="E59" s="33">
        <f>'NILAI HARIAN'!K59</f>
        <v>87.70833333</v>
      </c>
      <c r="F59" s="22">
        <f>'NILAI HARIAN'!R59</f>
        <v>92</v>
      </c>
      <c r="G59" s="24">
        <f>'NILAI HARIAN'!Y59</f>
        <v>81.66666667</v>
      </c>
      <c r="H59" s="24">
        <f>'NILAI HARIAN'!AF59</f>
        <v>85</v>
      </c>
      <c r="I59" s="24">
        <f t="shared" si="1"/>
        <v>86.80416667</v>
      </c>
      <c r="J59" s="22" t="str">
        <f t="shared" si="4"/>
        <v>4.0</v>
      </c>
      <c r="K59" s="22" t="str">
        <f t="shared" si="3"/>
        <v>A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1:K1000">
    <cfRule type="cellIs" dxfId="0" priority="1" operator="equal">
      <formula>"""A"""</formula>
    </cfRule>
  </conditionalFormatting>
  <conditionalFormatting sqref="K6:K59">
    <cfRule type="cellIs" dxfId="1" priority="2" operator="equal">
      <formula>"A"</formula>
    </cfRule>
  </conditionalFormatting>
  <conditionalFormatting sqref="K6:K59">
    <cfRule type="cellIs" dxfId="2" priority="3" operator="equal">
      <formula>"E"</formula>
    </cfRule>
  </conditionalFormatting>
  <conditionalFormatting sqref="K6:K59">
    <cfRule type="cellIs" dxfId="3" priority="4" operator="equal">
      <formula>"D"</formula>
    </cfRule>
  </conditionalFormatting>
  <conditionalFormatting sqref="K6:K59">
    <cfRule type="cellIs" dxfId="4" priority="5" operator="equal">
      <formula>"C"</formula>
    </cfRule>
  </conditionalFormatting>
  <conditionalFormatting sqref="K6:K59">
    <cfRule type="cellIs" dxfId="5" priority="6" operator="equal">
      <formula>"B"</formula>
    </cfRule>
  </conditionalFormatting>
  <conditionalFormatting sqref="K6:K59">
    <cfRule type="notContainsBlanks" dxfId="6" priority="7">
      <formula>LEN(TRIM(K6))&gt;0</formula>
    </cfRule>
  </conditionalFormatting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2.71"/>
    <col customWidth="1" min="3" max="3" width="35.43"/>
    <col customWidth="1" min="4" max="6" width="9.14"/>
    <col customWidth="1" min="7" max="7" width="10.14"/>
    <col customWidth="1" min="8" max="8" width="12.29"/>
    <col customWidth="1" min="9" max="17" width="9.14"/>
    <col customWidth="1" min="18" max="26" width="8.71"/>
  </cols>
  <sheetData>
    <row r="1">
      <c r="A1" s="30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8" t="s">
        <v>1</v>
      </c>
      <c r="B3" s="48" t="s">
        <v>2</v>
      </c>
      <c r="C3" s="48" t="s">
        <v>77</v>
      </c>
      <c r="D3" s="49" t="s">
        <v>101</v>
      </c>
      <c r="E3" s="49" t="s">
        <v>103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0"/>
      <c r="B4" s="20"/>
      <c r="C4" s="20"/>
      <c r="D4" s="20"/>
      <c r="E4" s="2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15"/>
      <c r="S4" s="15"/>
      <c r="T4" s="15"/>
      <c r="U4" s="15"/>
      <c r="V4" s="15"/>
      <c r="W4" s="15"/>
      <c r="X4" s="15"/>
      <c r="Y4" s="15"/>
      <c r="Z4" s="15"/>
    </row>
    <row r="5">
      <c r="A5" s="51">
        <f>'INPUT DAFTAR PESERTA'!A3</f>
        <v>1</v>
      </c>
      <c r="B5" s="51">
        <f>'INPUT DAFTAR PESERTA'!B3</f>
        <v>2409076001</v>
      </c>
      <c r="C5" s="52" t="str">
        <f>'INPUT DAFTAR PESERTA'!C3</f>
        <v>Muhammad Jodika</v>
      </c>
      <c r="D5" s="53">
        <f>'NILAI AKHIR'!I6</f>
        <v>86.28333333</v>
      </c>
      <c r="E5" s="51" t="str">
        <f>'NILAI AKHIR'!K6</f>
        <v>A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54">
        <f>'INPUT DAFTAR PESERTA'!A4</f>
        <v>2</v>
      </c>
      <c r="B6" s="54">
        <f>'INPUT DAFTAR PESERTA'!B4</f>
        <v>2409076002</v>
      </c>
      <c r="C6" s="55" t="str">
        <f>'INPUT DAFTAR PESERTA'!C4</f>
        <v>Muhammad Rifqi Maulana</v>
      </c>
      <c r="D6" s="56">
        <f>'NILAI AKHIR'!I7</f>
        <v>76.32916667</v>
      </c>
      <c r="E6" s="54" t="str">
        <f>'NILAI AKHIR'!K7</f>
        <v>B</v>
      </c>
      <c r="F6" s="15"/>
      <c r="G6" s="57" t="s">
        <v>106</v>
      </c>
      <c r="H6" s="57" t="s">
        <v>107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54">
        <f>'INPUT DAFTAR PESERTA'!A5</f>
        <v>3</v>
      </c>
      <c r="B7" s="54">
        <f>'INPUT DAFTAR PESERTA'!B5</f>
        <v>2409076003</v>
      </c>
      <c r="C7" s="55" t="str">
        <f>'INPUT DAFTAR PESERTA'!C5</f>
        <v>Andhika Pratama</v>
      </c>
      <c r="D7" s="56">
        <f>'NILAI AKHIR'!I8</f>
        <v>69.125</v>
      </c>
      <c r="E7" s="54" t="str">
        <f>'NILAI AKHIR'!K8</f>
        <v>C</v>
      </c>
      <c r="F7" s="15"/>
      <c r="G7" s="54" t="s">
        <v>108</v>
      </c>
      <c r="H7" s="54">
        <f>COUNTIF(E5:E58,"A")</f>
        <v>23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54">
        <f>'INPUT DAFTAR PESERTA'!A6</f>
        <v>4</v>
      </c>
      <c r="B8" s="54">
        <f>'INPUT DAFTAR PESERTA'!B6</f>
        <v>2409076004</v>
      </c>
      <c r="C8" s="55" t="str">
        <f>'INPUT DAFTAR PESERTA'!C6</f>
        <v>Nur Aqmarina</v>
      </c>
      <c r="D8" s="56">
        <f>'NILAI AKHIR'!I9</f>
        <v>81.825</v>
      </c>
      <c r="E8" s="54" t="str">
        <f>'NILAI AKHIR'!K9</f>
        <v>A</v>
      </c>
      <c r="F8" s="15"/>
      <c r="G8" s="54" t="s">
        <v>109</v>
      </c>
      <c r="H8" s="54">
        <f>COUNTIF(E5:E58,"B")</f>
        <v>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54">
        <f>'INPUT DAFTAR PESERTA'!A7</f>
        <v>5</v>
      </c>
      <c r="B9" s="54">
        <f>'INPUT DAFTAR PESERTA'!B7</f>
        <v>2409076005</v>
      </c>
      <c r="C9" s="55" t="str">
        <f>'INPUT DAFTAR PESERTA'!C7</f>
        <v>Rias Prihatanto</v>
      </c>
      <c r="D9" s="56">
        <f>'NILAI AKHIR'!I10</f>
        <v>84.11666667</v>
      </c>
      <c r="E9" s="54" t="str">
        <f>'NILAI AKHIR'!K10</f>
        <v>A</v>
      </c>
      <c r="F9" s="15"/>
      <c r="G9" s="54" t="s">
        <v>110</v>
      </c>
      <c r="H9" s="54">
        <f>COUNTIF(E5:E58,"C")</f>
        <v>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54">
        <f>'INPUT DAFTAR PESERTA'!A8</f>
        <v>6</v>
      </c>
      <c r="B10" s="54">
        <f>'INPUT DAFTAR PESERTA'!B8</f>
        <v>2409076006</v>
      </c>
      <c r="C10" s="55" t="str">
        <f>'INPUT DAFTAR PESERTA'!C8</f>
        <v>Muhammad Maulana Bhagaskara</v>
      </c>
      <c r="D10" s="56">
        <f>'NILAI AKHIR'!I11</f>
        <v>80.9125</v>
      </c>
      <c r="E10" s="54" t="str">
        <f>'NILAI AKHIR'!K11</f>
        <v>A</v>
      </c>
      <c r="F10" s="15"/>
      <c r="G10" s="54" t="s">
        <v>111</v>
      </c>
      <c r="H10" s="54">
        <f>COUNTIF(E5:E58,"D")</f>
        <v>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54">
        <f>'INPUT DAFTAR PESERTA'!A9</f>
        <v>7</v>
      </c>
      <c r="B11" s="54">
        <f>'INPUT DAFTAR PESERTA'!B9</f>
        <v>2409076007</v>
      </c>
      <c r="C11" s="55" t="str">
        <f>'INPUT DAFTAR PESERTA'!C9</f>
        <v>Chelsi Kamera</v>
      </c>
      <c r="D11" s="56">
        <f>'NILAI AKHIR'!I12</f>
        <v>86.33333333</v>
      </c>
      <c r="E11" s="54" t="str">
        <f>'NILAI AKHIR'!K12</f>
        <v>A</v>
      </c>
      <c r="F11" s="15"/>
      <c r="G11" s="54" t="s">
        <v>112</v>
      </c>
      <c r="H11" s="54">
        <f>COUNTIF(E5:E58,"E")</f>
        <v>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54">
        <f>'INPUT DAFTAR PESERTA'!A10</f>
        <v>8</v>
      </c>
      <c r="B12" s="54">
        <f>'INPUT DAFTAR PESERTA'!B10</f>
        <v>2409076008</v>
      </c>
      <c r="C12" s="55" t="str">
        <f>'INPUT DAFTAR PESERTA'!C10</f>
        <v>Riyan Maulana</v>
      </c>
      <c r="D12" s="56">
        <f>'NILAI AKHIR'!I13</f>
        <v>77.6125</v>
      </c>
      <c r="E12" s="54" t="str">
        <f>'NILAI AKHIR'!K13</f>
        <v>B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54">
        <f>'INPUT DAFTAR PESERTA'!A11</f>
        <v>9</v>
      </c>
      <c r="B13" s="54">
        <f>'INPUT DAFTAR PESERTA'!B11</f>
        <v>2409076009</v>
      </c>
      <c r="C13" s="55" t="str">
        <f>'INPUT DAFTAR PESERTA'!C11</f>
        <v>Dimas Prasetyo Wibowo</v>
      </c>
      <c r="D13" s="56">
        <f>'NILAI AKHIR'!I14</f>
        <v>82.72916667</v>
      </c>
      <c r="E13" s="54" t="str">
        <f>'NILAI AKHIR'!K14</f>
        <v>A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54">
        <f>'INPUT DAFTAR PESERTA'!A12</f>
        <v>10</v>
      </c>
      <c r="B14" s="54">
        <f>'INPUT DAFTAR PESERTA'!B12</f>
        <v>2409076010</v>
      </c>
      <c r="C14" s="55" t="str">
        <f>'INPUT DAFTAR PESERTA'!C12</f>
        <v>Najwa Dwi Maylani</v>
      </c>
      <c r="D14" s="56">
        <f>'NILAI AKHIR'!I15</f>
        <v>83.59583333</v>
      </c>
      <c r="E14" s="54" t="str">
        <f>'NILAI AKHIR'!K15</f>
        <v>A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54">
        <f>'INPUT DAFTAR PESERTA'!A13</f>
        <v>11</v>
      </c>
      <c r="B15" s="54">
        <f>'INPUT DAFTAR PESERTA'!B13</f>
        <v>2409076011</v>
      </c>
      <c r="C15" s="55" t="str">
        <f>'INPUT DAFTAR PESERTA'!C13</f>
        <v>Surya Ardhian Mokodongan</v>
      </c>
      <c r="D15" s="56">
        <f>'NILAI AKHIR'!I16</f>
        <v>84.3875</v>
      </c>
      <c r="E15" s="54" t="str">
        <f>'NILAI AKHIR'!K16</f>
        <v>A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54">
        <f>'INPUT DAFTAR PESERTA'!A14</f>
        <v>12</v>
      </c>
      <c r="B16" s="54">
        <f>'INPUT DAFTAR PESERTA'!B14</f>
        <v>2409076012</v>
      </c>
      <c r="C16" s="55" t="str">
        <f>'INPUT DAFTAR PESERTA'!C14</f>
        <v>Ahmad Irfani Ananda Putra Hariawan</v>
      </c>
      <c r="D16" s="56">
        <f>'NILAI AKHIR'!I17</f>
        <v>79.45</v>
      </c>
      <c r="E16" s="54" t="str">
        <f>'NILAI AKHIR'!K17</f>
        <v>B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54">
        <f>'INPUT DAFTAR PESERTA'!A15</f>
        <v>13</v>
      </c>
      <c r="B17" s="54">
        <f>'INPUT DAFTAR PESERTA'!B15</f>
        <v>2409076013</v>
      </c>
      <c r="C17" s="55" t="str">
        <f>'INPUT DAFTAR PESERTA'!C15</f>
        <v>Afif Rizqi Ramadhan</v>
      </c>
      <c r="D17" s="56">
        <f>'NILAI AKHIR'!I18</f>
        <v>87.67916667</v>
      </c>
      <c r="E17" s="54" t="str">
        <f>'NILAI AKHIR'!K18</f>
        <v>A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54">
        <f>'INPUT DAFTAR PESERTA'!A16</f>
        <v>14</v>
      </c>
      <c r="B18" s="54">
        <f>'INPUT DAFTAR PESERTA'!B16</f>
        <v>2409076014</v>
      </c>
      <c r="C18" s="55" t="str">
        <f>'INPUT DAFTAR PESERTA'!C16</f>
        <v>Julius Simamora</v>
      </c>
      <c r="D18" s="56">
        <f>'NILAI AKHIR'!I19</f>
        <v>82.02083333</v>
      </c>
      <c r="E18" s="54" t="str">
        <f>'NILAI AKHIR'!K19</f>
        <v>A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54">
        <f>'INPUT DAFTAR PESERTA'!A17</f>
        <v>15</v>
      </c>
      <c r="B19" s="54">
        <f>'INPUT DAFTAR PESERTA'!B17</f>
        <v>2409076015</v>
      </c>
      <c r="C19" s="55" t="str">
        <f>'INPUT DAFTAR PESERTA'!C17</f>
        <v>Gea Novtry</v>
      </c>
      <c r="D19" s="56">
        <f>'NILAI AKHIR'!I20</f>
        <v>55.79916667</v>
      </c>
      <c r="E19" s="54" t="str">
        <f>'NILAI AKHIR'!K20</f>
        <v>D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54">
        <f>'INPUT DAFTAR PESERTA'!A18</f>
        <v>16</v>
      </c>
      <c r="B20" s="54">
        <f>'INPUT DAFTAR PESERTA'!B18</f>
        <v>2409076016</v>
      </c>
      <c r="C20" s="55" t="str">
        <f>'INPUT DAFTAR PESERTA'!C18</f>
        <v>Najmi habibi</v>
      </c>
      <c r="D20" s="56">
        <f>'NILAI AKHIR'!I21</f>
        <v>60.99583333</v>
      </c>
      <c r="E20" s="54" t="str">
        <f>'NILAI AKHIR'!K21</f>
        <v>C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54">
        <f>'INPUT DAFTAR PESERTA'!A19</f>
        <v>17</v>
      </c>
      <c r="B21" s="54">
        <f>'INPUT DAFTAR PESERTA'!B19</f>
        <v>2409076017</v>
      </c>
      <c r="C21" s="55" t="str">
        <f>'INPUT DAFTAR PESERTA'!C19</f>
        <v>Muhammad Reza Aulia</v>
      </c>
      <c r="D21" s="56">
        <f>'NILAI AKHIR'!I22</f>
        <v>78.29583333</v>
      </c>
      <c r="E21" s="54" t="str">
        <f>'NILAI AKHIR'!K22</f>
        <v>B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54">
        <f>'INPUT DAFTAR PESERTA'!A20</f>
        <v>18</v>
      </c>
      <c r="B22" s="54">
        <f>'INPUT DAFTAR PESERTA'!B20</f>
        <v>2409076018</v>
      </c>
      <c r="C22" s="55" t="str">
        <f>'INPUT DAFTAR PESERTA'!C20</f>
        <v>Omar maulana ibnu rahman</v>
      </c>
      <c r="D22" s="56">
        <f>'NILAI AKHIR'!I23</f>
        <v>76.61166667</v>
      </c>
      <c r="E22" s="54" t="str">
        <f>'NILAI AKHIR'!K23</f>
        <v>B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54">
        <f>'INPUT DAFTAR PESERTA'!A21</f>
        <v>19</v>
      </c>
      <c r="B23" s="54">
        <f>'INPUT DAFTAR PESERTA'!B21</f>
        <v>2409076019</v>
      </c>
      <c r="C23" s="55" t="str">
        <f>'INPUT DAFTAR PESERTA'!C21</f>
        <v>F. Agung Setyawan. L</v>
      </c>
      <c r="D23" s="56">
        <f>'NILAI AKHIR'!I24</f>
        <v>82.49166667</v>
      </c>
      <c r="E23" s="54" t="str">
        <f>'NILAI AKHIR'!K24</f>
        <v>A</v>
      </c>
      <c r="F23" s="15"/>
      <c r="G23" s="15"/>
      <c r="H23" s="15"/>
      <c r="I23" s="15"/>
      <c r="J23" s="58" t="s">
        <v>113</v>
      </c>
      <c r="K23" s="15"/>
      <c r="L23" s="15">
        <f>H7+H8+H9</f>
        <v>46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54">
        <f>'INPUT DAFTAR PESERTA'!A22</f>
        <v>20</v>
      </c>
      <c r="B24" s="54">
        <f>'INPUT DAFTAR PESERTA'!B22</f>
        <v>2409076020</v>
      </c>
      <c r="C24" s="55" t="str">
        <f>'INPUT DAFTAR PESERTA'!C22</f>
        <v>Muhammad Rafi Ramadhan</v>
      </c>
      <c r="D24" s="56">
        <f>'NILAI AKHIR'!I25</f>
        <v>71.7125</v>
      </c>
      <c r="E24" s="54" t="str">
        <f>'NILAI AKHIR'!K25</f>
        <v>B</v>
      </c>
      <c r="F24" s="15"/>
      <c r="G24" s="15"/>
      <c r="H24" s="15"/>
      <c r="I24" s="15"/>
      <c r="J24" s="58" t="s">
        <v>114</v>
      </c>
      <c r="K24" s="15"/>
      <c r="L24" s="15">
        <f>H10+H11</f>
        <v>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54">
        <f>'INPUT DAFTAR PESERTA'!A23</f>
        <v>21</v>
      </c>
      <c r="B25" s="54">
        <f>'INPUT DAFTAR PESERTA'!B23</f>
        <v>2409076021</v>
      </c>
      <c r="C25" s="55" t="str">
        <f>'INPUT DAFTAR PESERTA'!C23</f>
        <v>Farras Alwan Putra Setyo</v>
      </c>
      <c r="D25" s="56">
        <f>'NILAI AKHIR'!I26</f>
        <v>73.275</v>
      </c>
      <c r="E25" s="54" t="str">
        <f>'NILAI AKHIR'!K26</f>
        <v>B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54">
        <f>'INPUT DAFTAR PESERTA'!A24</f>
        <v>22</v>
      </c>
      <c r="B26" s="54">
        <f>'INPUT DAFTAR PESERTA'!B24</f>
        <v>2409076022</v>
      </c>
      <c r="C26" s="55" t="str">
        <f>'INPUT DAFTAR PESERTA'!C24</f>
        <v>Dewo Dzaki</v>
      </c>
      <c r="D26" s="56">
        <f>'NILAI AKHIR'!I27</f>
        <v>82.18333333</v>
      </c>
      <c r="E26" s="54" t="str">
        <f>'NILAI AKHIR'!K27</f>
        <v>A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54">
        <f>'INPUT DAFTAR PESERTA'!A25</f>
        <v>23</v>
      </c>
      <c r="B27" s="54">
        <f>'INPUT DAFTAR PESERTA'!B25</f>
        <v>2409076023</v>
      </c>
      <c r="C27" s="55" t="str">
        <f>'INPUT DAFTAR PESERTA'!C25</f>
        <v>Yusr Gavrila</v>
      </c>
      <c r="D27" s="56">
        <f>'NILAI AKHIR'!I28</f>
        <v>85.8</v>
      </c>
      <c r="E27" s="54" t="str">
        <f>'NILAI AKHIR'!K28</f>
        <v>A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54">
        <f>'INPUT DAFTAR PESERTA'!A26</f>
        <v>24</v>
      </c>
      <c r="B28" s="54">
        <f>'INPUT DAFTAR PESERTA'!B26</f>
        <v>2409076025</v>
      </c>
      <c r="C28" s="55" t="str">
        <f>'INPUT DAFTAR PESERTA'!C26</f>
        <v>Fahrizal Prasetya</v>
      </c>
      <c r="D28" s="56">
        <f>'NILAI AKHIR'!I29</f>
        <v>70.51666667</v>
      </c>
      <c r="E28" s="54" t="str">
        <f>'NILAI AKHIR'!K29</f>
        <v>B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54">
        <f>'INPUT DAFTAR PESERTA'!A27</f>
        <v>25</v>
      </c>
      <c r="B29" s="54">
        <f>'INPUT DAFTAR PESERTA'!B27</f>
        <v>2409076026</v>
      </c>
      <c r="C29" s="55" t="str">
        <f>'INPUT DAFTAR PESERTA'!C27</f>
        <v>Ariya Kema Maulana</v>
      </c>
      <c r="D29" s="56">
        <f>'NILAI AKHIR'!I30</f>
        <v>73.25833333</v>
      </c>
      <c r="E29" s="54" t="str">
        <f>'NILAI AKHIR'!K30</f>
        <v>B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54">
        <f>'INPUT DAFTAR PESERTA'!A28</f>
        <v>26</v>
      </c>
      <c r="B30" s="54">
        <f>'INPUT DAFTAR PESERTA'!B28</f>
        <v>2409076027</v>
      </c>
      <c r="C30" s="55" t="str">
        <f>'INPUT DAFTAR PESERTA'!C28</f>
        <v>Muhammad Afdal</v>
      </c>
      <c r="D30" s="56">
        <f>'NILAI AKHIR'!I31</f>
        <v>71.72916667</v>
      </c>
      <c r="E30" s="54" t="str">
        <f>'NILAI AKHIR'!K31</f>
        <v>B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54">
        <f>'INPUT DAFTAR PESERTA'!A29</f>
        <v>27</v>
      </c>
      <c r="B31" s="54">
        <f>'INPUT DAFTAR PESERTA'!B29</f>
        <v>2409076028</v>
      </c>
      <c r="C31" s="55" t="str">
        <f>'INPUT DAFTAR PESERTA'!C29</f>
        <v>Carlos Immanuel Simanjuntak</v>
      </c>
      <c r="D31" s="56">
        <f>'NILAI AKHIR'!I32</f>
        <v>76.45</v>
      </c>
      <c r="E31" s="54" t="str">
        <f>'NILAI AKHIR'!K32</f>
        <v>B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54">
        <f>'INPUT DAFTAR PESERTA'!A30</f>
        <v>28</v>
      </c>
      <c r="B32" s="54">
        <f>'INPUT DAFTAR PESERTA'!B30</f>
        <v>2409076029</v>
      </c>
      <c r="C32" s="55" t="str">
        <f>'INPUT DAFTAR PESERTA'!C30</f>
        <v>Ardhian Arif Ananda</v>
      </c>
      <c r="D32" s="56">
        <f>'NILAI AKHIR'!I33</f>
        <v>54.75</v>
      </c>
      <c r="E32" s="54" t="str">
        <f>'NILAI AKHIR'!K33</f>
        <v>D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54">
        <f>'INPUT DAFTAR PESERTA'!A31</f>
        <v>29</v>
      </c>
      <c r="B33" s="54">
        <f>'INPUT DAFTAR PESERTA'!B31</f>
        <v>2409076030</v>
      </c>
      <c r="C33" s="55" t="str">
        <f>'INPUT DAFTAR PESERTA'!C31</f>
        <v>Ahmad Fikri Tri Utomo</v>
      </c>
      <c r="D33" s="56">
        <f>'NILAI AKHIR'!I34</f>
        <v>73.00833333</v>
      </c>
      <c r="E33" s="54" t="str">
        <f>'NILAI AKHIR'!K34</f>
        <v>B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54">
        <f>'INPUT DAFTAR PESERTA'!A32</f>
        <v>30</v>
      </c>
      <c r="B34" s="54">
        <f>'INPUT DAFTAR PESERTA'!B32</f>
        <v>2409076031</v>
      </c>
      <c r="C34" s="55" t="str">
        <f>'INPUT DAFTAR PESERTA'!C32</f>
        <v>Muhammad Alfin Alfanfa</v>
      </c>
      <c r="D34" s="56">
        <f>'NILAI AKHIR'!I35</f>
        <v>82.23333333</v>
      </c>
      <c r="E34" s="54" t="str">
        <f>'NILAI AKHIR'!K35</f>
        <v>A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54">
        <f>'INPUT DAFTAR PESERTA'!A33</f>
        <v>31</v>
      </c>
      <c r="B35" s="54">
        <f>'INPUT DAFTAR PESERTA'!B33</f>
        <v>2409076032</v>
      </c>
      <c r="C35" s="55" t="str">
        <f>'INPUT DAFTAR PESERTA'!C33</f>
        <v>Faizal Haqi</v>
      </c>
      <c r="D35" s="56">
        <f>'NILAI AKHIR'!I36</f>
        <v>79.80833333</v>
      </c>
      <c r="E35" s="54" t="str">
        <f>'NILAI AKHIR'!K36</f>
        <v>B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54">
        <f>'INPUT DAFTAR PESERTA'!A34</f>
        <v>32</v>
      </c>
      <c r="B36" s="54">
        <f>'INPUT DAFTAR PESERTA'!B34</f>
        <v>2409076033</v>
      </c>
      <c r="C36" s="55" t="str">
        <f>'INPUT DAFTAR PESERTA'!C34</f>
        <v>Joinicius Pasalin</v>
      </c>
      <c r="D36" s="56">
        <f>'NILAI AKHIR'!I37</f>
        <v>82.95</v>
      </c>
      <c r="E36" s="54" t="str">
        <f>'NILAI AKHIR'!K37</f>
        <v>A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54">
        <f>'INPUT DAFTAR PESERTA'!A35</f>
        <v>33</v>
      </c>
      <c r="B37" s="54">
        <f>'INPUT DAFTAR PESERTA'!B35</f>
        <v>2409076034</v>
      </c>
      <c r="C37" s="55" t="str">
        <f>'INPUT DAFTAR PESERTA'!C35</f>
        <v>Alwi Rudiansyah</v>
      </c>
      <c r="D37" s="56">
        <f>'NILAI AKHIR'!I38</f>
        <v>83.30416667</v>
      </c>
      <c r="E37" s="54" t="str">
        <f>'NILAI AKHIR'!K38</f>
        <v>A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54">
        <f>'INPUT DAFTAR PESERTA'!A36</f>
        <v>34</v>
      </c>
      <c r="B38" s="54">
        <f>'INPUT DAFTAR PESERTA'!B36</f>
        <v>2409076035</v>
      </c>
      <c r="C38" s="55" t="str">
        <f>'INPUT DAFTAR PESERTA'!C36</f>
        <v>Muhammad Rizki Nauval Alim</v>
      </c>
      <c r="D38" s="56">
        <f>'NILAI AKHIR'!I39</f>
        <v>84.15</v>
      </c>
      <c r="E38" s="54" t="str">
        <f>'NILAI AKHIR'!K39</f>
        <v>A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54">
        <f>'INPUT DAFTAR PESERTA'!A37</f>
        <v>35</v>
      </c>
      <c r="B39" s="54">
        <f>'INPUT DAFTAR PESERTA'!B37</f>
        <v>2409076036</v>
      </c>
      <c r="C39" s="55" t="str">
        <f>'INPUT DAFTAR PESERTA'!C37</f>
        <v>Muhammad Rico Setiawan</v>
      </c>
      <c r="D39" s="56">
        <f>'NILAI AKHIR'!I40</f>
        <v>24.23333333</v>
      </c>
      <c r="E39" s="54" t="str">
        <f>'NILAI AKHIR'!K40</f>
        <v>E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54">
        <f>'INPUT DAFTAR PESERTA'!A38</f>
        <v>36</v>
      </c>
      <c r="B40" s="54">
        <f>'INPUT DAFTAR PESERTA'!B38</f>
        <v>2409076037</v>
      </c>
      <c r="C40" s="55" t="str">
        <f>'INPUT DAFTAR PESERTA'!C38</f>
        <v>Muhammad Ananda Ryan Nur Rahman</v>
      </c>
      <c r="D40" s="56">
        <f>'NILAI AKHIR'!I41</f>
        <v>63.03333333</v>
      </c>
      <c r="E40" s="54" t="str">
        <f>'NILAI AKHIR'!K41</f>
        <v>C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54">
        <f>'INPUT DAFTAR PESERTA'!A39</f>
        <v>37</v>
      </c>
      <c r="B41" s="54">
        <f>'INPUT DAFTAR PESERTA'!B39</f>
        <v>2409076038</v>
      </c>
      <c r="C41" s="55" t="str">
        <f>'INPUT DAFTAR PESERTA'!C39</f>
        <v>Muhammad Alif Rahmat Syakir</v>
      </c>
      <c r="D41" s="56">
        <f>'NILAI AKHIR'!I42</f>
        <v>20.425</v>
      </c>
      <c r="E41" s="54" t="str">
        <f>'NILAI AKHIR'!K42</f>
        <v>E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54">
        <f>'INPUT DAFTAR PESERTA'!A40</f>
        <v>38</v>
      </c>
      <c r="B42" s="54">
        <f>'INPUT DAFTAR PESERTA'!B40</f>
        <v>2409076039</v>
      </c>
      <c r="C42" s="55" t="str">
        <f>'INPUT DAFTAR PESERTA'!C40</f>
        <v>Christopher Mahesa Aditama</v>
      </c>
      <c r="D42" s="56">
        <f>'NILAI AKHIR'!I43</f>
        <v>83.025</v>
      </c>
      <c r="E42" s="54" t="str">
        <f>'NILAI AKHIR'!K43</f>
        <v>A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54">
        <f>'INPUT DAFTAR PESERTA'!A41</f>
        <v>39</v>
      </c>
      <c r="B43" s="54">
        <f>'INPUT DAFTAR PESERTA'!B41</f>
        <v>2409076040</v>
      </c>
      <c r="C43" s="55" t="str">
        <f>'INPUT DAFTAR PESERTA'!C41</f>
        <v>Muhammad Rafli Ramadhani</v>
      </c>
      <c r="D43" s="56">
        <f>'NILAI AKHIR'!I44</f>
        <v>86.80833333</v>
      </c>
      <c r="E43" s="54" t="str">
        <f>'NILAI AKHIR'!K44</f>
        <v>A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54">
        <f>'INPUT DAFTAR PESERTA'!A42</f>
        <v>40</v>
      </c>
      <c r="B44" s="54">
        <f>'INPUT DAFTAR PESERTA'!B42</f>
        <v>2409076041</v>
      </c>
      <c r="C44" s="55" t="str">
        <f>'INPUT DAFTAR PESERTA'!C42</f>
        <v>Muhammad Rindhan Amarna</v>
      </c>
      <c r="D44" s="56">
        <f>'NILAI AKHIR'!I45</f>
        <v>80.19583333</v>
      </c>
      <c r="E44" s="54" t="str">
        <f>'NILAI AKHIR'!K45</f>
        <v>A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54">
        <f>'INPUT DAFTAR PESERTA'!A43</f>
        <v>41</v>
      </c>
      <c r="B45" s="54">
        <f>'INPUT DAFTAR PESERTA'!B43</f>
        <v>2409076043</v>
      </c>
      <c r="C45" s="55" t="str">
        <f>'INPUT DAFTAR PESERTA'!C43</f>
        <v>Bima Angga Pratama</v>
      </c>
      <c r="D45" s="56">
        <f>'NILAI AKHIR'!I46</f>
        <v>25.59583333</v>
      </c>
      <c r="E45" s="54" t="str">
        <f>'NILAI AKHIR'!K46</f>
        <v>E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54">
        <f>'INPUT DAFTAR PESERTA'!A44</f>
        <v>42</v>
      </c>
      <c r="B46" s="54">
        <f>'INPUT DAFTAR PESERTA'!B44</f>
        <v>2409076044</v>
      </c>
      <c r="C46" s="55" t="str">
        <f>'INPUT DAFTAR PESERTA'!C44</f>
        <v>Muhammad Daffa Dzakwan</v>
      </c>
      <c r="D46" s="56">
        <f>'NILAI AKHIR'!I47</f>
        <v>69.02083333</v>
      </c>
      <c r="E46" s="54" t="str">
        <f>'NILAI AKHIR'!K47</f>
        <v>C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54">
        <f>'INPUT DAFTAR PESERTA'!A45</f>
        <v>43</v>
      </c>
      <c r="B47" s="54">
        <f>'INPUT DAFTAR PESERTA'!B45</f>
        <v>2409076045</v>
      </c>
      <c r="C47" s="55" t="str">
        <f>'INPUT DAFTAR PESERTA'!C45</f>
        <v>Ahmad Purwono Aji</v>
      </c>
      <c r="D47" s="56">
        <f>'NILAI AKHIR'!I48</f>
        <v>44.1125</v>
      </c>
      <c r="E47" s="54" t="str">
        <f>'NILAI AKHIR'!K48</f>
        <v>D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54">
        <f>'INPUT DAFTAR PESERTA'!A46</f>
        <v>44</v>
      </c>
      <c r="B48" s="54">
        <f>'INPUT DAFTAR PESERTA'!B46</f>
        <v>2409076046</v>
      </c>
      <c r="C48" s="55" t="str">
        <f>'INPUT DAFTAR PESERTA'!C46</f>
        <v>Muhammad Hasan Hanif</v>
      </c>
      <c r="D48" s="56">
        <f>'NILAI AKHIR'!I49</f>
        <v>37.54166667</v>
      </c>
      <c r="E48" s="54" t="str">
        <f>'NILAI AKHIR'!K49</f>
        <v>E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54">
        <f>'INPUT DAFTAR PESERTA'!A47</f>
        <v>45</v>
      </c>
      <c r="B49" s="54">
        <f>'INPUT DAFTAR PESERTA'!B47</f>
        <v>2409076047</v>
      </c>
      <c r="C49" s="55" t="str">
        <f>'INPUT DAFTAR PESERTA'!C47</f>
        <v>Gilbert Pasolon</v>
      </c>
      <c r="D49" s="56">
        <f>'NILAI AKHIR'!I50</f>
        <v>67.89166667</v>
      </c>
      <c r="E49" s="54" t="str">
        <f>'NILAI AKHIR'!K50</f>
        <v>C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54">
        <f>'INPUT DAFTAR PESERTA'!A48</f>
        <v>46</v>
      </c>
      <c r="B50" s="54">
        <f>'INPUT DAFTAR PESERTA'!B48</f>
        <v>2409076048</v>
      </c>
      <c r="C50" s="55" t="str">
        <f>'INPUT DAFTAR PESERTA'!C48</f>
        <v>Achmad Fauzan At-Tamimi</v>
      </c>
      <c r="D50" s="56">
        <f>'NILAI AKHIR'!I51</f>
        <v>84.27916667</v>
      </c>
      <c r="E50" s="54" t="str">
        <f>'NILAI AKHIR'!K51</f>
        <v>A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54">
        <f>'INPUT DAFTAR PESERTA'!A49</f>
        <v>47</v>
      </c>
      <c r="B51" s="54">
        <f>'INPUT DAFTAR PESERTA'!B49</f>
        <v>2409076049</v>
      </c>
      <c r="C51" s="55" t="str">
        <f>'INPUT DAFTAR PESERTA'!C49</f>
        <v>Mahmud Abdul Aziz Qoby</v>
      </c>
      <c r="D51" s="56">
        <f>'NILAI AKHIR'!I52</f>
        <v>70.44166667</v>
      </c>
      <c r="E51" s="54" t="str">
        <f>'NILAI AKHIR'!K52</f>
        <v>B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54">
        <f>'INPUT DAFTAR PESERTA'!A50</f>
        <v>48</v>
      </c>
      <c r="B52" s="54">
        <f>'INPUT DAFTAR PESERTA'!B50</f>
        <v>2409076050</v>
      </c>
      <c r="C52" s="55" t="str">
        <f>'INPUT DAFTAR PESERTA'!C50</f>
        <v>Gde Nookie Carl Arya Susila</v>
      </c>
      <c r="D52" s="56">
        <f>'NILAI AKHIR'!I53</f>
        <v>77.2625</v>
      </c>
      <c r="E52" s="54" t="str">
        <f>'NILAI AKHIR'!K53</f>
        <v>B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54">
        <f>'INPUT DAFTAR PESERTA'!A51</f>
        <v>49</v>
      </c>
      <c r="B53" s="54">
        <f>'INPUT DAFTAR PESERTA'!B51</f>
        <v>2409076051</v>
      </c>
      <c r="C53" s="55" t="str">
        <f>'INPUT DAFTAR PESERTA'!C51</f>
        <v>Muhammad Afrizal</v>
      </c>
      <c r="D53" s="56">
        <f>'NILAI AKHIR'!I54</f>
        <v>9.266666667</v>
      </c>
      <c r="E53" s="54" t="str">
        <f>'NILAI AKHIR'!K54</f>
        <v>E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54">
        <f>'INPUT DAFTAR PESERTA'!A52</f>
        <v>50</v>
      </c>
      <c r="B54" s="54">
        <f>'INPUT DAFTAR PESERTA'!B52</f>
        <v>2409076052</v>
      </c>
      <c r="C54" s="55" t="str">
        <f>'INPUT DAFTAR PESERTA'!C52</f>
        <v>Rezky Yutabse</v>
      </c>
      <c r="D54" s="56">
        <f>'NILAI AKHIR'!I55</f>
        <v>79.22083333</v>
      </c>
      <c r="E54" s="54" t="str">
        <f>'NILAI AKHIR'!K55</f>
        <v>B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54">
        <f>'INPUT DAFTAR PESERTA'!A53</f>
        <v>51</v>
      </c>
      <c r="B55" s="54">
        <f>'INPUT DAFTAR PESERTA'!B53</f>
        <v>2409076053</v>
      </c>
      <c r="C55" s="55" t="str">
        <f>'INPUT DAFTAR PESERTA'!C53</f>
        <v>Dimas Wijaya Muliangto</v>
      </c>
      <c r="D55" s="56">
        <f>'NILAI AKHIR'!I56</f>
        <v>79.99583333</v>
      </c>
      <c r="E55" s="54" t="str">
        <f>'NILAI AKHIR'!K56</f>
        <v>B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54">
        <f>'INPUT DAFTAR PESERTA'!A54</f>
        <v>52</v>
      </c>
      <c r="B56" s="54">
        <f>'INPUT DAFTAR PESERTA'!B54</f>
        <v>2409076054</v>
      </c>
      <c r="C56" s="55" t="str">
        <f>'INPUT DAFTAR PESERTA'!C54</f>
        <v>Muhammad Aldi</v>
      </c>
      <c r="D56" s="56">
        <f>'NILAI AKHIR'!I57</f>
        <v>81.325</v>
      </c>
      <c r="E56" s="54" t="str">
        <f>'NILAI AKHIR'!K57</f>
        <v>A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54">
        <f>'INPUT DAFTAR PESERTA'!A55</f>
        <v>53</v>
      </c>
      <c r="B57" s="54">
        <f>'INPUT DAFTAR PESERTA'!B55</f>
        <v>2409076056</v>
      </c>
      <c r="C57" s="55" t="str">
        <f>'INPUT DAFTAR PESERTA'!C55</f>
        <v>Rivaldy Paredanun</v>
      </c>
      <c r="D57" s="56">
        <f>'NILAI AKHIR'!I58</f>
        <v>60.38333333</v>
      </c>
      <c r="E57" s="54" t="str">
        <f>'NILAI AKHIR'!K58</f>
        <v>C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54">
        <f>'INPUT DAFTAR PESERTA'!A56</f>
        <v>54</v>
      </c>
      <c r="B58" s="54">
        <f>'INPUT DAFTAR PESERTA'!B56</f>
        <v>2409076024</v>
      </c>
      <c r="C58" s="55" t="str">
        <f>'INPUT DAFTAR PESERTA'!C56</f>
        <v>Muhammad Zacky</v>
      </c>
      <c r="D58" s="56">
        <f>'NILAI AKHIR'!I59</f>
        <v>86.80416667</v>
      </c>
      <c r="E58" s="54" t="str">
        <f>'NILAI AKHIR'!K59</f>
        <v>A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5">
    <mergeCell ref="A3:A4"/>
    <mergeCell ref="B3:B4"/>
    <mergeCell ref="C3:C4"/>
    <mergeCell ref="D3:D4"/>
    <mergeCell ref="E3:E4"/>
  </mergeCells>
  <hyperlinks>
    <hyperlink display="HOME" location="'INPUT DAFTAR PESERTA'!A1" ref="A1"/>
  </hyperlink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2025-05-01T16:42:16Z</dcterms:created>
  <dc:creator>Ogiana</dc:creator>
</cp:coreProperties>
</file>