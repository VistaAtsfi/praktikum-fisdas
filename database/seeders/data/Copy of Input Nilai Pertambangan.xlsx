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5"/>
    <sheet state="visible" name="LAPORAN RESMI" sheetId="2" r:id="rId6"/>
    <sheet state="visible" name="PENULISAN LAPORAN" sheetId="3" r:id="rId7"/>
    <sheet state="visible" name="KEMAMPUAN PRAKTIKUM" sheetId="4" r:id="rId8"/>
    <sheet state="visible" name="NILAI HARIAN" sheetId="5" r:id="rId9"/>
    <sheet state="visible" name="NILAI AKHIR" sheetId="6" r:id="rId10"/>
    <sheet state="visible" name="PIE CHART" sheetId="7" r:id="rId11"/>
  </sheets>
  <definedNames/>
  <calcPr/>
</workbook>
</file>

<file path=xl/sharedStrings.xml><?xml version="1.0" encoding="utf-8"?>
<sst xmlns="http://schemas.openxmlformats.org/spreadsheetml/2006/main" count="235" uniqueCount="151">
  <si>
    <t>PRODI: TEKNIK PERTAMBANGAN</t>
  </si>
  <si>
    <t>NO</t>
  </si>
  <si>
    <t>NIM</t>
  </si>
  <si>
    <t>Nama</t>
  </si>
  <si>
    <t>WORKSHEET TEMPLATE</t>
  </si>
  <si>
    <t>Erwin</t>
  </si>
  <si>
    <t>SISTEM PENILAIAN PRAKTIKUM</t>
  </si>
  <si>
    <t>Denny Setiawan</t>
  </si>
  <si>
    <t>LABORATORIUM LAYANAN DASAR</t>
  </si>
  <si>
    <t>Rahmad Oka Aufa Ramadan</t>
  </si>
  <si>
    <t>Stewa Syaifa Bakhid</t>
  </si>
  <si>
    <t>Adnan Fadil Annur</t>
  </si>
  <si>
    <t>Muhammad Hasbi Ash Shiddieqy</t>
  </si>
  <si>
    <t>Siti Aisyah Hasanah</t>
  </si>
  <si>
    <t>D’arch Hweng Junior</t>
  </si>
  <si>
    <t>Andi Syaifullah Al Maslulil Agri</t>
  </si>
  <si>
    <t>VER 2 (April 2025)</t>
  </si>
  <si>
    <t>Andre Pratama</t>
  </si>
  <si>
    <t>Andi Afif Najib Abdillah</t>
  </si>
  <si>
    <t>Christianus Gonzaga</t>
  </si>
  <si>
    <t>Petunjuk Penggunaan Template</t>
  </si>
  <si>
    <t>Mutiara Suci Rahmadani</t>
  </si>
  <si>
    <t>Adhwa Ghinna Febrianty</t>
  </si>
  <si>
    <t xml:space="preserve">1. Isikan daftar peserta praktikum pada sheet "INPUT DAFTAR PESERTA" </t>
  </si>
  <si>
    <t>Muhammad Daffa Alifiansyah</t>
  </si>
  <si>
    <t>(Disarankan untuk menyesuaikan dengan template disamping)</t>
  </si>
  <si>
    <t>Adya Nur Adzhuriva</t>
  </si>
  <si>
    <t>2. Isian Nama dan NIM pada sheet selanjutnya akan terinput secara otomatis sesuai dengan isian sheet "INPUT DAFTAR PESERTA"</t>
  </si>
  <si>
    <t>Cheva Fasha Prathama</t>
  </si>
  <si>
    <t>3. Nilai praktikum diisikan pada sheet "PENULISAN LAPORAN", "LAPORAN RESMI", "KEMAMPUAN PRAKTIKUM dan "NILAI HARIAN"</t>
  </si>
  <si>
    <t>Muhammad Zaki Fadillah</t>
  </si>
  <si>
    <t>4. Rekapitulasi nilai praktikum permodul akan terakumulasi secara otomatis pada sheet "NILAI AKHIR" dan PIE-CHART"</t>
  </si>
  <si>
    <t>Widdyanti Fetrina Sefriany</t>
  </si>
  <si>
    <t>5. Perubahan formula pada sistem menyesuaikan dengan aturan dan SOP terbaru penilaian praktikum Lab Elektro Dasar</t>
  </si>
  <si>
    <t>Gita Mufidatuzahrah</t>
  </si>
  <si>
    <t>6. Link akses Surat Keterangan Lulus Praktikum sebagai berikut:</t>
  </si>
  <si>
    <t>Muhammad Hersal Ramadhan</t>
  </si>
  <si>
    <t>Chikal Fattiya Putri</t>
  </si>
  <si>
    <t>7. Link akses Sheet perkomponen sebagai berikut:</t>
  </si>
  <si>
    <t>Muhammad Daffa Lailitama Sinaga</t>
  </si>
  <si>
    <t>Penulisan Laporan</t>
  </si>
  <si>
    <t>Sera Ayu Ningsih</t>
  </si>
  <si>
    <t>Laporan Resmi</t>
  </si>
  <si>
    <t>Naufal Firdaus Syauqi</t>
  </si>
  <si>
    <t>Kemampuan Praktikum</t>
  </si>
  <si>
    <t>Alexander Radja Roben Saragih</t>
  </si>
  <si>
    <t>Nilai  Harian</t>
  </si>
  <si>
    <t>Tiara Aqila Azzahra</t>
  </si>
  <si>
    <t>Nilai Akhir</t>
  </si>
  <si>
    <t>Muhammad Haikal Islamy Saputra</t>
  </si>
  <si>
    <t>Pie Chart</t>
  </si>
  <si>
    <t>Faatihur Rizki</t>
  </si>
  <si>
    <t>Rashya Annara Salsabilla Tomasoa</t>
  </si>
  <si>
    <t>Desta Novie Sulfianie</t>
  </si>
  <si>
    <t>Chandra Ahmad Dwinata</t>
  </si>
  <si>
    <t>Sopando Imanuel Sipayung</t>
  </si>
  <si>
    <t>Rayhan Winata Prabowo</t>
  </si>
  <si>
    <t>Ahmad Din Nejad</t>
  </si>
  <si>
    <t>Nabil Candra Hartanto</t>
  </si>
  <si>
    <t>Muhammad Rifqi Ibnu Malik</t>
  </si>
  <si>
    <t>Aditya Alfiansyah</t>
  </si>
  <si>
    <t>Muhammad Syauqi Nail</t>
  </si>
  <si>
    <t>Muhammad Rizky Nugraha</t>
  </si>
  <si>
    <t>Reyska Bintang Afdillah</t>
  </si>
  <si>
    <t>Muhammad Elo</t>
  </si>
  <si>
    <t>Naufal Herdizza Akbar Ps</t>
  </si>
  <si>
    <t>Dea Mila Marsela</t>
  </si>
  <si>
    <t>Ahmad Salman Nur</t>
  </si>
  <si>
    <t>Syahputra Lumbantoruan</t>
  </si>
  <si>
    <t>Furqan Ahmad</t>
  </si>
  <si>
    <t>Muhammad An Naafi Zaini</t>
  </si>
  <si>
    <t>Muh. Afriansyah Syafani</t>
  </si>
  <si>
    <t>Evan Hizky Edward Juliano Sahata Manihuruk</t>
  </si>
  <si>
    <t>Rasya Ataullah Arnata</t>
  </si>
  <si>
    <t>Yadi Ramadani</t>
  </si>
  <si>
    <t>Muhammad Alief Adz Dzikry Abdillah</t>
  </si>
  <si>
    <t>Hubert Abraham Pranoto Sirait</t>
  </si>
  <si>
    <t>Indah Tessalonica</t>
  </si>
  <si>
    <t>Fahrizi Al Rosid</t>
  </si>
  <si>
    <t>Syadid Musoffa</t>
  </si>
  <si>
    <t>Oktovianus Sirante</t>
  </si>
  <si>
    <t>Cristover Rafael Milang</t>
  </si>
  <si>
    <t>Kevin Angeliano Jonathan</t>
  </si>
  <si>
    <t>Fajar Arif Suyanto</t>
  </si>
  <si>
    <t>Satria Rizla Marlanata</t>
  </si>
  <si>
    <t>Aulya Azhari</t>
  </si>
  <si>
    <t>Muhammad Farrel Ardiano</t>
  </si>
  <si>
    <t>Arlan Candra Antholyn</t>
  </si>
  <si>
    <t>Taufan Akbar Bunawan</t>
  </si>
  <si>
    <t>Mario Wildhan Wibisono</t>
  </si>
  <si>
    <t>Immanuel Wisnu Siahaan</t>
  </si>
  <si>
    <t>Hebron Ketter Pagalla'</t>
  </si>
  <si>
    <t>Wildan Akmal Zaky</t>
  </si>
  <si>
    <t>Daglish Santos Peke Deku</t>
  </si>
  <si>
    <t>Muhammad Yazid Ilmani</t>
  </si>
  <si>
    <t>Reyhan Feryand Tandililing</t>
  </si>
  <si>
    <t>Riski Apryanto</t>
  </si>
  <si>
    <t>Dina Molitha Dwi Manggarani</t>
  </si>
  <si>
    <t>Ahmad Dival Halim</t>
  </si>
  <si>
    <t>Sultan Islamy Pasha</t>
  </si>
  <si>
    <t>Reyhan Resqy Pratama</t>
  </si>
  <si>
    <t>Riendri Novtrianto Luden</t>
  </si>
  <si>
    <t>Ergie Yehezkiel Simanjuntak</t>
  </si>
  <si>
    <t>Nobergotardo .A</t>
  </si>
  <si>
    <t>Rasikhah Fitri</t>
  </si>
  <si>
    <t>Cantika Salwa Hanifa</t>
  </si>
  <si>
    <t>Andi Arief Bintang</t>
  </si>
  <si>
    <t>Al Hamdan</t>
  </si>
  <si>
    <t>Andi Muhammad Caeril Irfan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</si>
  <si>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</si>
  <si>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</si>
  <si>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</si>
  <si>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</si>
  <si>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</si>
  <si>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</si>
  <si>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</si>
  <si>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</si>
  <si>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</si>
  <si>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</si>
  <si>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Jumlah Mahasiswa Tidak Mengumpulkan Lapres</t>
  </si>
  <si>
    <t>HOME</t>
  </si>
  <si>
    <t>Nim</t>
  </si>
  <si>
    <t>Laporan Mingguan</t>
  </si>
  <si>
    <t>Resmi</t>
  </si>
  <si>
    <t>K1</t>
  </si>
  <si>
    <t>K2</t>
  </si>
  <si>
    <t>K3</t>
  </si>
  <si>
    <t>K4</t>
  </si>
  <si>
    <t>Rerata</t>
  </si>
  <si>
    <t>No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</si>
  <si>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</si>
  <si>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</si>
  <si>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</si>
  <si>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</si>
  <si>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</si>
  <si>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</si>
  <si>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</si>
  <si>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</si>
  <si>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</si>
  <si>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</si>
  <si>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</si>
  <si>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</si>
  <si>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</si>
  <si>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>No.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</si>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</sst>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b/>
      <sz val="14.0"/>
      <color theme="1"/>
      <name val="Times New Roman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434343"/>
      <name val="Times New Roman"/>
    </font>
    <font>
      <sz val="11.0"/>
      <color rgb="FF434343"/>
      <name val="&quot;Times New Roman&quot;"/>
    </font>
    <font>
      <sz val="11.0"/>
      <color theme="1"/>
      <name val="Arial"/>
      <scheme val="minor"/>
    </font>
    <font>
      <b/>
      <u/>
      <sz val="11.0"/>
      <color rgb="FF0563C1"/>
      <name val="Times New Roman"/>
    </font>
    <font>
      <color theme="1"/>
      <name val="Arial"/>
      <scheme val="minor"/>
    </font>
    <font/>
    <font>
      <b/>
      <color theme="1"/>
      <name val="Arial"/>
    </font>
    <font>
      <b/>
      <sz val="11.0"/>
      <color rgb="FFFF0000"/>
      <name val="Times New Roman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readingOrder="0" vertical="bottom"/>
    </xf>
    <xf borderId="0" fillId="0" fontId="7" numFmtId="0" xfId="0" applyFont="1"/>
    <xf borderId="0" fillId="0" fontId="3" numFmtId="0" xfId="0" applyAlignment="1" applyFont="1">
      <alignment vertical="bottom"/>
    </xf>
    <xf borderId="2" fillId="2" fontId="5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readingOrder="0" vertical="bottom"/>
    </xf>
    <xf borderId="0" fillId="2" fontId="4" numFmtId="0" xfId="0" applyAlignment="1" applyFont="1">
      <alignment vertical="bottom"/>
    </xf>
    <xf borderId="0" fillId="0" fontId="9" numFmtId="0" xfId="0" applyAlignment="1" applyFont="1">
      <alignment horizontal="center"/>
    </xf>
    <xf borderId="3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1" fillId="3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/>
    </xf>
    <xf borderId="1" fillId="4" fontId="4" numFmtId="0" xfId="0" applyBorder="1" applyFont="1"/>
    <xf borderId="1" fillId="4" fontId="4" numFmtId="0" xfId="0" applyAlignment="1" applyBorder="1" applyFont="1">
      <alignment horizontal="center" readingOrder="0" vertical="center"/>
    </xf>
    <xf borderId="1" fillId="5" fontId="4" numFmtId="2" xfId="0" applyAlignment="1" applyBorder="1" applyFill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/>
    </xf>
    <xf borderId="1" fillId="6" fontId="4" numFmtId="0" xfId="0" applyAlignment="1" applyBorder="1" applyFont="1">
      <alignment horizontal="center"/>
    </xf>
    <xf borderId="1" fillId="6" fontId="4" numFmtId="0" xfId="0" applyBorder="1" applyFont="1"/>
    <xf borderId="1" fillId="6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ont="1">
      <alignment horizontal="center"/>
    </xf>
    <xf borderId="1" fillId="7" fontId="4" numFmtId="0" xfId="0" applyBorder="1" applyFont="1"/>
    <xf borderId="1" fillId="7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bottom"/>
    </xf>
    <xf borderId="0" fillId="8" fontId="9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4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/>
    </xf>
    <xf borderId="8" fillId="0" fontId="10" numFmtId="0" xfId="0" applyBorder="1" applyFont="1"/>
    <xf borderId="1" fillId="3" fontId="3" numFmtId="0" xfId="0" applyAlignment="1" applyBorder="1" applyFont="1">
      <alignment horizontal="center"/>
    </xf>
    <xf borderId="1" fillId="0" fontId="12" numFmtId="9" xfId="0" applyAlignment="1" applyBorder="1" applyFont="1" applyNumberFormat="1">
      <alignment horizontal="center" readingOrder="0" vertical="center"/>
    </xf>
    <xf borderId="1" fillId="0" fontId="12" numFmtId="9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4" numFmtId="2" xfId="0" applyFont="1" applyNumberFormat="1"/>
    <xf borderId="4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2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/>
    </xf>
    <xf borderId="0" fillId="0" fontId="4" numFmtId="2" xfId="0" applyAlignment="1" applyFont="1" applyNumberFormat="1">
      <alignment horizontal="center"/>
    </xf>
    <xf borderId="3" fillId="3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1"/>
    </xf>
    <xf borderId="9" fillId="0" fontId="9" numFmtId="0" xfId="0" applyBorder="1" applyFont="1"/>
    <xf borderId="1" fillId="0" fontId="4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0" fillId="0" fontId="9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1">
    <tableStyle count="2" pivot="0" name="INPUT DAFTAR PESERT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00FF"/>
              </a:solidFill>
            </c:spPr>
          </c:dPt>
          <c:dPt>
            <c:idx val="1"/>
            <c:spPr>
              <a:solidFill>
                <a:srgbClr val="0B5394"/>
              </a:solidFill>
            </c:spPr>
          </c:dPt>
          <c:dPt>
            <c:idx val="2"/>
            <c:spPr>
              <a:solidFill>
                <a:srgbClr val="B7E1CD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Pt>
            <c:idx val="4"/>
            <c:explosion val="0"/>
            <c:spPr>
              <a:solidFill>
                <a:srgbClr val="99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514350</xdr:colOff>
      <xdr:row>6</xdr:row>
      <xdr:rowOff>28575</xdr:rowOff>
    </xdr:from>
    <xdr:ext cx="857250" cy="800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11</xdr:row>
      <xdr:rowOff>57150</xdr:rowOff>
    </xdr:from>
    <xdr:ext cx="3105150" cy="2505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C89" displayName="Table_1" name="Table_1" id="1">
  <tableColumns count="2">
    <tableColumn name="Column1" id="1"/>
    <tableColumn name="Column2" id="2"/>
  </tableColumns>
  <tableStyleInfo name="INPUT DAFTAR PESER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14.63"/>
    <col customWidth="1" min="3" max="3" width="40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5"/>
      <c r="E3" s="6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1.0</v>
      </c>
      <c r="B4" s="8">
        <v>2.309056046E9</v>
      </c>
      <c r="C4" s="9" t="s">
        <v>5</v>
      </c>
      <c r="D4" s="5"/>
      <c r="E4" s="6" t="s">
        <v>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2.0</v>
      </c>
      <c r="B5" s="8">
        <v>2.409056015E9</v>
      </c>
      <c r="C5" s="9" t="s">
        <v>7</v>
      </c>
      <c r="D5" s="5"/>
      <c r="E5" s="6" t="s">
        <v>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3.0</v>
      </c>
      <c r="B6" s="8">
        <v>2.409056031E9</v>
      </c>
      <c r="C6" s="9" t="s">
        <v>9</v>
      </c>
      <c r="D6" s="5"/>
      <c r="E6" s="5"/>
      <c r="F6" s="5"/>
      <c r="G6" s="5"/>
      <c r="H6" s="5"/>
      <c r="I6" s="5"/>
      <c r="J6" s="5"/>
      <c r="K6" s="5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4.0</v>
      </c>
      <c r="B7" s="8">
        <v>2.409056032E9</v>
      </c>
      <c r="C7" s="9" t="s">
        <v>10</v>
      </c>
      <c r="D7" s="5"/>
      <c r="E7" s="5"/>
      <c r="F7" s="5"/>
      <c r="G7" s="5"/>
      <c r="H7" s="5"/>
      <c r="I7" s="5"/>
      <c r="J7" s="5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5.0</v>
      </c>
      <c r="B8" s="8">
        <v>2.409056033E9</v>
      </c>
      <c r="C8" s="9" t="s">
        <v>11</v>
      </c>
      <c r="D8" s="5"/>
      <c r="E8" s="5"/>
      <c r="F8" s="5"/>
      <c r="G8" s="5"/>
      <c r="H8" s="5"/>
      <c r="I8" s="5"/>
      <c r="J8" s="5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6.0</v>
      </c>
      <c r="B9" s="8">
        <v>2.409056039E9</v>
      </c>
      <c r="C9" s="9" t="s">
        <v>12</v>
      </c>
      <c r="D9" s="5"/>
      <c r="E9" s="5"/>
      <c r="F9" s="5"/>
      <c r="G9" s="5"/>
      <c r="H9" s="10"/>
      <c r="I9" s="5"/>
      <c r="J9" s="5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7.0</v>
      </c>
      <c r="B10" s="8">
        <v>2.409056044E9</v>
      </c>
      <c r="C10" s="9" t="s">
        <v>13</v>
      </c>
      <c r="D10" s="5"/>
      <c r="E10" s="5"/>
      <c r="F10" s="5"/>
      <c r="G10" s="5"/>
      <c r="H10" s="5"/>
      <c r="I10" s="5"/>
      <c r="J10" s="5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8.0</v>
      </c>
      <c r="B11" s="8">
        <v>2.409056047E9</v>
      </c>
      <c r="C11" s="9" t="s">
        <v>14</v>
      </c>
      <c r="D11" s="5"/>
      <c r="E11" s="5"/>
      <c r="F11" s="5"/>
      <c r="G11" s="5"/>
      <c r="H11" s="5"/>
      <c r="I11" s="5"/>
      <c r="J11" s="5"/>
      <c r="K11" s="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9.0</v>
      </c>
      <c r="B12" s="8">
        <v>2.409056052E9</v>
      </c>
      <c r="C12" s="9" t="s">
        <v>15</v>
      </c>
      <c r="D12" s="5"/>
      <c r="E12" s="6" t="s">
        <v>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10.0</v>
      </c>
      <c r="B13" s="8">
        <v>2.409056058E9</v>
      </c>
      <c r="C13" s="9" t="s">
        <v>17</v>
      </c>
      <c r="D13" s="5"/>
      <c r="E13" s="5"/>
      <c r="F13" s="5"/>
      <c r="G13" s="5"/>
      <c r="H13" s="5"/>
      <c r="I13" s="5"/>
      <c r="J13" s="5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11.0</v>
      </c>
      <c r="B14" s="8">
        <v>2.409056067E9</v>
      </c>
      <c r="C14" s="9" t="s">
        <v>18</v>
      </c>
      <c r="D14" s="5"/>
      <c r="E14" s="5"/>
      <c r="F14" s="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12.0</v>
      </c>
      <c r="B15" s="8">
        <v>2.409056068E9</v>
      </c>
      <c r="C15" s="9" t="s">
        <v>19</v>
      </c>
      <c r="D15" s="5"/>
      <c r="E15" s="11" t="s">
        <v>20</v>
      </c>
      <c r="F15" s="5"/>
      <c r="G15" s="5"/>
      <c r="H15" s="5"/>
      <c r="I15" s="5"/>
      <c r="J15" s="5"/>
      <c r="K15" s="5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13.0</v>
      </c>
      <c r="B16" s="8">
        <v>2.509056001E9</v>
      </c>
      <c r="C16" s="9" t="s">
        <v>21</v>
      </c>
      <c r="D16" s="5"/>
      <c r="E16" s="5"/>
      <c r="F16" s="5"/>
      <c r="G16" s="5"/>
      <c r="H16" s="5"/>
      <c r="I16" s="5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14.0</v>
      </c>
      <c r="B17" s="8">
        <v>2.509056002E9</v>
      </c>
      <c r="C17" s="9" t="s">
        <v>22</v>
      </c>
      <c r="D17" s="5"/>
      <c r="E17" s="5" t="s">
        <v>23</v>
      </c>
      <c r="F17" s="5"/>
      <c r="G17" s="5"/>
      <c r="H17" s="5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15.0</v>
      </c>
      <c r="B18" s="8">
        <v>2.509056003E9</v>
      </c>
      <c r="C18" s="9" t="s">
        <v>24</v>
      </c>
      <c r="D18" s="5"/>
      <c r="E18" s="12" t="s">
        <v>25</v>
      </c>
      <c r="F18" s="5"/>
      <c r="G18" s="5"/>
      <c r="H18" s="5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16.0</v>
      </c>
      <c r="B19" s="8">
        <v>2.509056004E9</v>
      </c>
      <c r="C19" s="9" t="s">
        <v>26</v>
      </c>
      <c r="D19" s="5"/>
      <c r="E19" s="5" t="s">
        <v>27</v>
      </c>
      <c r="F19" s="5"/>
      <c r="G19" s="5"/>
      <c r="H19" s="5"/>
      <c r="I19" s="5"/>
      <c r="J19" s="5"/>
      <c r="K19" s="5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17.0</v>
      </c>
      <c r="B20" s="8">
        <v>2.509056005E9</v>
      </c>
      <c r="C20" s="9" t="s">
        <v>28</v>
      </c>
      <c r="D20" s="5"/>
      <c r="E20" s="5" t="s">
        <v>29</v>
      </c>
      <c r="F20" s="5"/>
      <c r="G20" s="5"/>
      <c r="H20" s="5"/>
      <c r="I20" s="5"/>
      <c r="J20" s="5"/>
      <c r="K20" s="5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>
        <v>18.0</v>
      </c>
      <c r="B21" s="8">
        <v>2.509056006E9</v>
      </c>
      <c r="C21" s="9" t="s">
        <v>30</v>
      </c>
      <c r="D21" s="5"/>
      <c r="E21" s="5" t="s">
        <v>31</v>
      </c>
      <c r="F21" s="5"/>
      <c r="G21" s="5"/>
      <c r="H21" s="5"/>
      <c r="I21" s="5"/>
      <c r="J21" s="5"/>
      <c r="K21" s="5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19.0</v>
      </c>
      <c r="B22" s="8">
        <v>2.509056007E9</v>
      </c>
      <c r="C22" s="9" t="s">
        <v>32</v>
      </c>
      <c r="D22" s="5"/>
      <c r="E22" s="5" t="s">
        <v>33</v>
      </c>
      <c r="F22" s="5"/>
      <c r="G22" s="5"/>
      <c r="H22" s="5"/>
      <c r="I22" s="5"/>
      <c r="J22" s="5"/>
      <c r="K22" s="5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>
        <v>20.0</v>
      </c>
      <c r="B23" s="8">
        <v>2.509056008E9</v>
      </c>
      <c r="C23" s="9" t="s">
        <v>34</v>
      </c>
      <c r="D23" s="5"/>
      <c r="E23" s="5" t="s">
        <v>35</v>
      </c>
      <c r="F23" s="5"/>
      <c r="G23" s="5"/>
      <c r="H23" s="5"/>
      <c r="I23" s="5"/>
      <c r="J23" s="5"/>
      <c r="K23" s="5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>
        <v>21.0</v>
      </c>
      <c r="B24" s="8">
        <v>2.509056009E9</v>
      </c>
      <c r="C24" s="9" t="s">
        <v>36</v>
      </c>
      <c r="D24" s="5"/>
      <c r="E24" s="5"/>
      <c r="F24" s="5"/>
      <c r="G24" s="5"/>
      <c r="H24" s="5"/>
      <c r="I24" s="5"/>
      <c r="J24" s="5"/>
      <c r="K24" s="5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>
        <v>22.0</v>
      </c>
      <c r="B25" s="8">
        <v>2.50905601E9</v>
      </c>
      <c r="C25" s="9" t="s">
        <v>37</v>
      </c>
      <c r="D25" s="5"/>
      <c r="E25" s="5" t="s">
        <v>38</v>
      </c>
      <c r="F25" s="5"/>
      <c r="G25" s="5"/>
      <c r="H25" s="5"/>
      <c r="I25" s="5"/>
      <c r="J25" s="5"/>
      <c r="K25" s="5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>
        <v>23.0</v>
      </c>
      <c r="B26" s="8">
        <v>2.509056011E9</v>
      </c>
      <c r="C26" s="9" t="s">
        <v>39</v>
      </c>
      <c r="D26" s="5"/>
      <c r="E26" s="13" t="s">
        <v>40</v>
      </c>
      <c r="F26" s="5"/>
      <c r="G26" s="5"/>
      <c r="H26" s="5"/>
      <c r="I26" s="5"/>
      <c r="J26" s="5"/>
      <c r="K26" s="5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>
        <v>24.0</v>
      </c>
      <c r="B27" s="8">
        <v>2.509056012E9</v>
      </c>
      <c r="C27" s="9" t="s">
        <v>41</v>
      </c>
      <c r="D27" s="5"/>
      <c r="E27" s="13" t="s">
        <v>42</v>
      </c>
      <c r="F27" s="5"/>
      <c r="G27" s="5"/>
      <c r="H27" s="5"/>
      <c r="I27" s="5"/>
      <c r="J27" s="5"/>
      <c r="K27" s="5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>
        <v>25.0</v>
      </c>
      <c r="B28" s="8">
        <v>2.509056013E9</v>
      </c>
      <c r="C28" s="9" t="s">
        <v>43</v>
      </c>
      <c r="D28" s="5"/>
      <c r="E28" s="13" t="s">
        <v>44</v>
      </c>
      <c r="F28" s="5"/>
      <c r="G28" s="5"/>
      <c r="H28" s="5"/>
      <c r="I28" s="5"/>
      <c r="J28" s="5"/>
      <c r="K28" s="5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>
        <v>26.0</v>
      </c>
      <c r="B29" s="8">
        <v>2.509056014E9</v>
      </c>
      <c r="C29" s="9" t="s">
        <v>45</v>
      </c>
      <c r="D29" s="5"/>
      <c r="E29" s="13" t="s">
        <v>46</v>
      </c>
      <c r="F29" s="5"/>
      <c r="G29" s="5"/>
      <c r="H29" s="5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>
        <v>27.0</v>
      </c>
      <c r="B30" s="8">
        <v>2.509056015E9</v>
      </c>
      <c r="C30" s="9" t="s">
        <v>47</v>
      </c>
      <c r="D30" s="5"/>
      <c r="E30" s="13" t="s">
        <v>48</v>
      </c>
      <c r="F30" s="5"/>
      <c r="G30" s="5"/>
      <c r="H30" s="5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>
        <v>28.0</v>
      </c>
      <c r="B31" s="8">
        <v>2.509056016E9</v>
      </c>
      <c r="C31" s="9" t="s">
        <v>49</v>
      </c>
      <c r="D31" s="5"/>
      <c r="E31" s="13" t="s">
        <v>50</v>
      </c>
      <c r="F31" s="5"/>
      <c r="G31" s="5"/>
      <c r="H31" s="5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>
        <v>29.0</v>
      </c>
      <c r="B32" s="8">
        <v>2.509056017E9</v>
      </c>
      <c r="C32" s="9" t="s">
        <v>51</v>
      </c>
      <c r="D32" s="5"/>
      <c r="E32" s="5"/>
      <c r="F32" s="5"/>
      <c r="G32" s="5"/>
      <c r="H32" s="5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>
        <v>30.0</v>
      </c>
      <c r="B33" s="8">
        <v>2.509056018E9</v>
      </c>
      <c r="C33" s="9" t="s">
        <v>52</v>
      </c>
      <c r="D33" s="5"/>
      <c r="E33" s="5"/>
      <c r="F33" s="5"/>
      <c r="G33" s="5"/>
      <c r="H33" s="5"/>
      <c r="I33" s="5"/>
      <c r="J33" s="5"/>
      <c r="K33" s="5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>
        <v>31.0</v>
      </c>
      <c r="B34" s="8">
        <v>2.509056019E9</v>
      </c>
      <c r="C34" s="9" t="s">
        <v>53</v>
      </c>
      <c r="D34" s="5"/>
      <c r="E34" s="5"/>
      <c r="F34" s="5"/>
      <c r="G34" s="5"/>
      <c r="H34" s="5"/>
      <c r="I34" s="5"/>
      <c r="J34" s="5"/>
      <c r="K34" s="5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>
        <v>32.0</v>
      </c>
      <c r="B35" s="8">
        <v>2.50905602E9</v>
      </c>
      <c r="C35" s="9" t="s">
        <v>54</v>
      </c>
      <c r="D35" s="5"/>
      <c r="E35" s="5"/>
      <c r="F35" s="5"/>
      <c r="G35" s="5"/>
      <c r="H35" s="5"/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>
        <v>33.0</v>
      </c>
      <c r="B36" s="8">
        <v>2.509056021E9</v>
      </c>
      <c r="C36" s="9" t="s">
        <v>55</v>
      </c>
      <c r="D36" s="5"/>
      <c r="E36" s="5"/>
      <c r="F36" s="5"/>
      <c r="G36" s="5"/>
      <c r="H36" s="5"/>
      <c r="I36" s="5"/>
      <c r="J36" s="5"/>
      <c r="K36" s="5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>
        <v>34.0</v>
      </c>
      <c r="B37" s="8">
        <v>2.509056022E9</v>
      </c>
      <c r="C37" s="9" t="s">
        <v>56</v>
      </c>
      <c r="D37" s="5"/>
      <c r="E37" s="5"/>
      <c r="F37" s="5"/>
      <c r="G37" s="5"/>
      <c r="H37" s="5"/>
      <c r="I37" s="5"/>
      <c r="J37" s="5"/>
      <c r="K37" s="5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>
        <v>35.0</v>
      </c>
      <c r="B38" s="8">
        <v>2.509056023E9</v>
      </c>
      <c r="C38" s="9" t="s">
        <v>57</v>
      </c>
      <c r="D38" s="5"/>
      <c r="E38" s="5"/>
      <c r="F38" s="5"/>
      <c r="G38" s="5"/>
      <c r="H38" s="5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>
        <v>36.0</v>
      </c>
      <c r="B39" s="8">
        <v>2.509056024E9</v>
      </c>
      <c r="C39" s="9" t="s">
        <v>58</v>
      </c>
      <c r="D39" s="5"/>
      <c r="E39" s="5"/>
      <c r="F39" s="5"/>
      <c r="G39" s="5"/>
      <c r="H39" s="5"/>
      <c r="I39" s="5"/>
      <c r="J39" s="5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>
        <v>37.0</v>
      </c>
      <c r="B40" s="8">
        <v>2.509056025E9</v>
      </c>
      <c r="C40" s="9" t="s">
        <v>59</v>
      </c>
      <c r="D40" s="5"/>
      <c r="E40" s="5"/>
      <c r="F40" s="5"/>
      <c r="G40" s="5"/>
      <c r="H40" s="5"/>
      <c r="I40" s="5"/>
      <c r="J40" s="5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>
        <v>38.0</v>
      </c>
      <c r="B41" s="8">
        <v>2.509056026E9</v>
      </c>
      <c r="C41" s="9" t="s">
        <v>60</v>
      </c>
      <c r="D41" s="5"/>
      <c r="E41" s="5"/>
      <c r="F41" s="5"/>
      <c r="G41" s="5"/>
      <c r="H41" s="5"/>
      <c r="I41" s="5"/>
      <c r="J41" s="5"/>
      <c r="K41" s="5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>
        <v>39.0</v>
      </c>
      <c r="B42" s="8">
        <v>2.509056027E9</v>
      </c>
      <c r="C42" s="9" t="s">
        <v>61</v>
      </c>
      <c r="D42" s="5"/>
      <c r="E42" s="5"/>
      <c r="F42" s="5"/>
      <c r="G42" s="5"/>
      <c r="H42" s="5"/>
      <c r="I42" s="5"/>
      <c r="J42" s="5"/>
      <c r="K42" s="5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>
        <v>40.0</v>
      </c>
      <c r="B43" s="8">
        <v>2.509056028E9</v>
      </c>
      <c r="C43" s="9" t="s">
        <v>62</v>
      </c>
      <c r="D43" s="5"/>
      <c r="E43" s="5"/>
      <c r="F43" s="5"/>
      <c r="G43" s="5"/>
      <c r="H43" s="5"/>
      <c r="I43" s="5"/>
      <c r="J43" s="5"/>
      <c r="K43" s="5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>
        <v>41.0</v>
      </c>
      <c r="B44" s="8">
        <v>2.509056029E9</v>
      </c>
      <c r="C44" s="9" t="s">
        <v>63</v>
      </c>
      <c r="D44" s="5"/>
      <c r="E44" s="5"/>
      <c r="F44" s="5"/>
      <c r="G44" s="5"/>
      <c r="H44" s="5"/>
      <c r="I44" s="5"/>
      <c r="J44" s="5"/>
      <c r="K44" s="5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>
        <v>42.0</v>
      </c>
      <c r="B45" s="8">
        <v>2.50905603E9</v>
      </c>
      <c r="C45" s="9" t="s">
        <v>64</v>
      </c>
      <c r="D45" s="5"/>
      <c r="E45" s="5"/>
      <c r="F45" s="5"/>
      <c r="G45" s="5"/>
      <c r="H45" s="5"/>
      <c r="I45" s="5"/>
      <c r="J45" s="5"/>
      <c r="K45" s="5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>
        <v>43.0</v>
      </c>
      <c r="B46" s="8">
        <v>2.509056031E9</v>
      </c>
      <c r="C46" s="9" t="s">
        <v>65</v>
      </c>
      <c r="D46" s="5"/>
      <c r="E46" s="5"/>
      <c r="F46" s="5"/>
      <c r="G46" s="5"/>
      <c r="H46" s="5"/>
      <c r="I46" s="5"/>
      <c r="J46" s="5"/>
      <c r="K46" s="5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>
        <v>44.0</v>
      </c>
      <c r="B47" s="8">
        <v>2.509056032E9</v>
      </c>
      <c r="C47" s="9" t="s">
        <v>66</v>
      </c>
      <c r="D47" s="5"/>
      <c r="E47" s="5"/>
      <c r="F47" s="5"/>
      <c r="G47" s="5"/>
      <c r="H47" s="5"/>
      <c r="I47" s="5"/>
      <c r="J47" s="5"/>
      <c r="K47" s="5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>
        <v>45.0</v>
      </c>
      <c r="B48" s="8">
        <v>2.509056033E9</v>
      </c>
      <c r="C48" s="9" t="s">
        <v>67</v>
      </c>
      <c r="D48" s="5"/>
      <c r="E48" s="5"/>
      <c r="F48" s="5"/>
      <c r="G48" s="5"/>
      <c r="H48" s="5"/>
      <c r="I48" s="5"/>
      <c r="J48" s="5"/>
      <c r="K48" s="5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>
        <v>46.0</v>
      </c>
      <c r="B49" s="8">
        <v>2.509056035E9</v>
      </c>
      <c r="C49" s="9" t="s">
        <v>68</v>
      </c>
      <c r="D49" s="5"/>
      <c r="E49" s="5"/>
      <c r="F49" s="5"/>
      <c r="G49" s="5"/>
      <c r="H49" s="5"/>
      <c r="I49" s="5"/>
      <c r="J49" s="5"/>
      <c r="K49" s="5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>
        <v>47.0</v>
      </c>
      <c r="B50" s="8">
        <v>2.509056036E9</v>
      </c>
      <c r="C50" s="9" t="s">
        <v>69</v>
      </c>
      <c r="D50" s="5"/>
      <c r="E50" s="5"/>
      <c r="F50" s="5"/>
      <c r="G50" s="5"/>
      <c r="H50" s="5"/>
      <c r="I50" s="5"/>
      <c r="J50" s="5"/>
      <c r="K50" s="5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>
        <v>48.0</v>
      </c>
      <c r="B51" s="8">
        <v>2.509056037E9</v>
      </c>
      <c r="C51" s="9" t="s">
        <v>70</v>
      </c>
      <c r="D51" s="5"/>
      <c r="E51" s="5"/>
      <c r="F51" s="5"/>
      <c r="G51" s="5"/>
      <c r="H51" s="5"/>
      <c r="I51" s="5"/>
      <c r="J51" s="5"/>
      <c r="K51" s="5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>
        <v>49.0</v>
      </c>
      <c r="B52" s="8">
        <v>2.509056038E9</v>
      </c>
      <c r="C52" s="9" t="s">
        <v>71</v>
      </c>
      <c r="D52" s="5"/>
      <c r="E52" s="5"/>
      <c r="F52" s="5"/>
      <c r="G52" s="5"/>
      <c r="H52" s="5"/>
      <c r="I52" s="5"/>
      <c r="J52" s="5"/>
      <c r="K52" s="5"/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>
        <v>50.0</v>
      </c>
      <c r="B53" s="8">
        <v>2.509056039E9</v>
      </c>
      <c r="C53" s="9" t="s">
        <v>72</v>
      </c>
      <c r="D53" s="5"/>
      <c r="E53" s="5" t="str">
        <f>PROPER(D53)</f>
        <v/>
      </c>
      <c r="F53" s="5"/>
      <c r="G53" s="5"/>
      <c r="H53" s="5"/>
      <c r="I53" s="5"/>
      <c r="J53" s="5"/>
      <c r="K53" s="5"/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>
        <v>51.0</v>
      </c>
      <c r="B54" s="8">
        <v>2.50905604E9</v>
      </c>
      <c r="C54" s="9" t="s">
        <v>73</v>
      </c>
      <c r="D54" s="5"/>
      <c r="E54" s="5"/>
      <c r="F54" s="5"/>
      <c r="G54" s="5"/>
      <c r="H54" s="5"/>
      <c r="I54" s="5"/>
      <c r="J54" s="5"/>
      <c r="K54" s="5"/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>
        <v>52.0</v>
      </c>
      <c r="B55" s="8">
        <v>2.509056041E9</v>
      </c>
      <c r="C55" s="9" t="s">
        <v>74</v>
      </c>
      <c r="D55" s="5"/>
      <c r="E55" s="5"/>
      <c r="F55" s="5"/>
      <c r="G55" s="5"/>
      <c r="H55" s="5"/>
      <c r="I55" s="5"/>
      <c r="J55" s="5"/>
      <c r="K55" s="5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>
        <v>53.0</v>
      </c>
      <c r="B56" s="8">
        <v>2.509056042E9</v>
      </c>
      <c r="C56" s="9" t="s">
        <v>75</v>
      </c>
      <c r="D56" s="5"/>
      <c r="E56" s="5"/>
      <c r="F56" s="5"/>
      <c r="G56" s="5"/>
      <c r="H56" s="5"/>
      <c r="I56" s="5"/>
      <c r="J56" s="5"/>
      <c r="K56" s="5"/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>
        <v>54.0</v>
      </c>
      <c r="B57" s="8">
        <v>2.509056043E9</v>
      </c>
      <c r="C57" s="9" t="s">
        <v>76</v>
      </c>
      <c r="D57" s="5"/>
      <c r="E57" s="5"/>
      <c r="F57" s="5"/>
      <c r="G57" s="5"/>
      <c r="H57" s="5"/>
      <c r="I57" s="5"/>
      <c r="J57" s="5"/>
      <c r="K57" s="5"/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>
        <v>55.0</v>
      </c>
      <c r="B58" s="8">
        <v>2.509056044E9</v>
      </c>
      <c r="C58" s="9" t="s">
        <v>77</v>
      </c>
      <c r="D58" s="5"/>
      <c r="E58" s="5"/>
      <c r="F58" s="5"/>
      <c r="G58" s="5"/>
      <c r="H58" s="5"/>
      <c r="I58" s="5"/>
      <c r="J58" s="5"/>
      <c r="K58" s="5"/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>
        <v>56.0</v>
      </c>
      <c r="B59" s="8">
        <v>2.509056045E9</v>
      </c>
      <c r="C59" s="9" t="s">
        <v>78</v>
      </c>
      <c r="D59" s="5"/>
      <c r="E59" s="5"/>
      <c r="F59" s="5"/>
      <c r="G59" s="5"/>
      <c r="H59" s="5"/>
      <c r="I59" s="5"/>
      <c r="J59" s="5"/>
      <c r="K59" s="5"/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>
        <v>57.0</v>
      </c>
      <c r="B60" s="8">
        <v>2.509056046E9</v>
      </c>
      <c r="C60" s="9" t="s">
        <v>79</v>
      </c>
      <c r="D60" s="5"/>
      <c r="E60" s="5"/>
      <c r="F60" s="5"/>
      <c r="G60" s="5"/>
      <c r="H60" s="5"/>
      <c r="I60" s="5"/>
      <c r="J60" s="5"/>
      <c r="K60" s="5"/>
      <c r="L60" s="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>
        <v>58.0</v>
      </c>
      <c r="B61" s="8">
        <v>2.509056047E9</v>
      </c>
      <c r="C61" s="9" t="s">
        <v>80</v>
      </c>
      <c r="D61" s="5"/>
      <c r="E61" s="5"/>
      <c r="F61" s="5"/>
      <c r="G61" s="5"/>
      <c r="H61" s="5"/>
      <c r="I61" s="5"/>
      <c r="J61" s="5"/>
      <c r="K61" s="5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>
        <v>59.0</v>
      </c>
      <c r="B62" s="8">
        <v>2.509056048E9</v>
      </c>
      <c r="C62" s="9" t="s">
        <v>81</v>
      </c>
      <c r="D62" s="5"/>
      <c r="E62" s="5"/>
      <c r="F62" s="5"/>
      <c r="G62" s="5"/>
      <c r="H62" s="5"/>
      <c r="I62" s="5"/>
      <c r="J62" s="5"/>
      <c r="K62" s="5"/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>
        <v>60.0</v>
      </c>
      <c r="B63" s="8">
        <v>2.509056049E9</v>
      </c>
      <c r="C63" s="9" t="s">
        <v>82</v>
      </c>
      <c r="D63" s="5"/>
      <c r="E63" s="5"/>
      <c r="F63" s="5"/>
      <c r="G63" s="5"/>
      <c r="H63" s="5"/>
      <c r="I63" s="5"/>
      <c r="J63" s="5"/>
      <c r="K63" s="5"/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>
        <v>61.0</v>
      </c>
      <c r="B64" s="8">
        <v>2.50905605E9</v>
      </c>
      <c r="C64" s="9" t="s">
        <v>83</v>
      </c>
      <c r="D64" s="5"/>
      <c r="E64" s="5"/>
      <c r="F64" s="5"/>
      <c r="G64" s="5"/>
      <c r="H64" s="5"/>
      <c r="I64" s="5"/>
      <c r="J64" s="5"/>
      <c r="K64" s="5"/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>
        <v>62.0</v>
      </c>
      <c r="B65" s="8">
        <v>2.509056051E9</v>
      </c>
      <c r="C65" s="9" t="s">
        <v>84</v>
      </c>
      <c r="D65" s="5"/>
      <c r="E65" s="5"/>
      <c r="F65" s="5"/>
      <c r="G65" s="5"/>
      <c r="H65" s="5"/>
      <c r="I65" s="5"/>
      <c r="J65" s="5"/>
      <c r="K65" s="5"/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>
        <v>63.0</v>
      </c>
      <c r="B66" s="8">
        <v>2.509056052E9</v>
      </c>
      <c r="C66" s="9" t="s">
        <v>85</v>
      </c>
      <c r="D66" s="5"/>
      <c r="E66" s="5"/>
      <c r="F66" s="5"/>
      <c r="G66" s="5"/>
      <c r="H66" s="5"/>
      <c r="I66" s="5"/>
      <c r="J66" s="5"/>
      <c r="K66" s="5"/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>
        <v>64.0</v>
      </c>
      <c r="B67" s="8">
        <v>2.509056053E9</v>
      </c>
      <c r="C67" s="9" t="s">
        <v>86</v>
      </c>
      <c r="D67" s="5"/>
      <c r="E67" s="5"/>
      <c r="F67" s="5"/>
      <c r="G67" s="5"/>
      <c r="H67" s="5"/>
      <c r="I67" s="5"/>
      <c r="J67" s="5"/>
      <c r="K67" s="5"/>
      <c r="L67" s="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>
        <v>65.0</v>
      </c>
      <c r="B68" s="8">
        <v>2.509056054E9</v>
      </c>
      <c r="C68" s="9" t="s">
        <v>87</v>
      </c>
      <c r="D68" s="5"/>
      <c r="E68" s="5"/>
      <c r="F68" s="5"/>
      <c r="G68" s="5"/>
      <c r="H68" s="5"/>
      <c r="I68" s="5"/>
      <c r="J68" s="5"/>
      <c r="K68" s="5"/>
      <c r="L68" s="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>
        <v>66.0</v>
      </c>
      <c r="B69" s="8">
        <v>2.509056055E9</v>
      </c>
      <c r="C69" s="9" t="s">
        <v>88</v>
      </c>
      <c r="D69" s="5"/>
      <c r="E69" s="5"/>
      <c r="F69" s="5"/>
      <c r="G69" s="5"/>
      <c r="H69" s="5"/>
      <c r="I69" s="5"/>
      <c r="J69" s="5"/>
      <c r="K69" s="5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>
        <v>67.0</v>
      </c>
      <c r="B70" s="8">
        <v>2.509056056E9</v>
      </c>
      <c r="C70" s="9" t="s">
        <v>89</v>
      </c>
      <c r="D70" s="5"/>
      <c r="E70" s="5"/>
      <c r="F70" s="5"/>
      <c r="G70" s="5"/>
      <c r="H70" s="5"/>
      <c r="I70" s="5"/>
      <c r="J70" s="5"/>
      <c r="K70" s="5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>
        <v>68.0</v>
      </c>
      <c r="B71" s="8">
        <v>2.509056057E9</v>
      </c>
      <c r="C71" s="9" t="s">
        <v>90</v>
      </c>
      <c r="D71" s="5"/>
      <c r="E71" s="5"/>
      <c r="F71" s="5"/>
      <c r="G71" s="5"/>
      <c r="H71" s="5"/>
      <c r="I71" s="5"/>
      <c r="J71" s="5"/>
      <c r="K71" s="5"/>
      <c r="L71" s="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>
        <v>69.0</v>
      </c>
      <c r="B72" s="8">
        <v>2.509056058E9</v>
      </c>
      <c r="C72" s="9" t="s">
        <v>91</v>
      </c>
      <c r="D72" s="5"/>
      <c r="E72" s="5"/>
      <c r="F72" s="5"/>
      <c r="G72" s="5"/>
      <c r="H72" s="5"/>
      <c r="I72" s="5"/>
      <c r="J72" s="5"/>
      <c r="K72" s="5"/>
      <c r="L72" s="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>
        <v>70.0</v>
      </c>
      <c r="B73" s="8">
        <v>2.509056059E9</v>
      </c>
      <c r="C73" s="9" t="s">
        <v>92</v>
      </c>
      <c r="D73" s="5"/>
      <c r="E73" s="5"/>
      <c r="F73" s="5"/>
      <c r="G73" s="5"/>
      <c r="H73" s="5"/>
      <c r="I73" s="5"/>
      <c r="J73" s="5"/>
      <c r="K73" s="5"/>
      <c r="L73" s="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>
        <v>71.0</v>
      </c>
      <c r="B74" s="8">
        <v>2.50905606E9</v>
      </c>
      <c r="C74" s="9" t="s">
        <v>93</v>
      </c>
      <c r="D74" s="5"/>
      <c r="E74" s="5"/>
      <c r="F74" s="5"/>
      <c r="G74" s="5"/>
      <c r="H74" s="5"/>
      <c r="I74" s="5"/>
      <c r="J74" s="5"/>
      <c r="K74" s="5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>
        <v>72.0</v>
      </c>
      <c r="B75" s="8">
        <v>2.509056061E9</v>
      </c>
      <c r="C75" s="9" t="s">
        <v>94</v>
      </c>
      <c r="D75" s="5"/>
      <c r="E75" s="5"/>
      <c r="F75" s="5"/>
      <c r="G75" s="5"/>
      <c r="H75" s="5"/>
      <c r="I75" s="5"/>
      <c r="J75" s="5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>
        <v>73.0</v>
      </c>
      <c r="B76" s="8">
        <v>2.509056062E9</v>
      </c>
      <c r="C76" s="9" t="s">
        <v>95</v>
      </c>
      <c r="D76" s="5"/>
      <c r="E76" s="5"/>
      <c r="F76" s="5"/>
      <c r="G76" s="5"/>
      <c r="H76" s="5"/>
      <c r="I76" s="5"/>
      <c r="J76" s="5"/>
      <c r="K76" s="5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>
        <v>74.0</v>
      </c>
      <c r="B77" s="8">
        <v>2.509056063E9</v>
      </c>
      <c r="C77" s="9" t="s">
        <v>96</v>
      </c>
      <c r="D77" s="5"/>
      <c r="E77" s="5"/>
      <c r="F77" s="5"/>
      <c r="G77" s="5"/>
      <c r="H77" s="5"/>
      <c r="I77" s="5"/>
      <c r="J77" s="5"/>
      <c r="K77" s="5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>
        <v>75.0</v>
      </c>
      <c r="B78" s="8">
        <v>2.509056064E9</v>
      </c>
      <c r="C78" s="9" t="s">
        <v>97</v>
      </c>
      <c r="D78" s="5"/>
      <c r="E78" s="5"/>
      <c r="F78" s="5"/>
      <c r="G78" s="5"/>
      <c r="H78" s="5"/>
      <c r="I78" s="5"/>
      <c r="J78" s="5"/>
      <c r="K78" s="5"/>
      <c r="L78" s="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>
        <v>76.0</v>
      </c>
      <c r="B79" s="8">
        <v>2.509056065E9</v>
      </c>
      <c r="C79" s="9" t="s">
        <v>98</v>
      </c>
      <c r="D79" s="5"/>
      <c r="E79" s="5"/>
      <c r="F79" s="5"/>
      <c r="G79" s="5"/>
      <c r="H79" s="5"/>
      <c r="I79" s="5"/>
      <c r="J79" s="5"/>
      <c r="K79" s="5"/>
      <c r="L79" s="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>
        <v>77.0</v>
      </c>
      <c r="B80" s="8">
        <v>2.509056066E9</v>
      </c>
      <c r="C80" s="9" t="s">
        <v>99</v>
      </c>
      <c r="D80" s="5"/>
      <c r="E80" s="5"/>
      <c r="F80" s="5"/>
      <c r="G80" s="5"/>
      <c r="H80" s="5"/>
      <c r="I80" s="5"/>
      <c r="J80" s="5"/>
      <c r="K80" s="5"/>
      <c r="L80" s="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>
        <v>78.0</v>
      </c>
      <c r="B81" s="8">
        <v>2.509056069E9</v>
      </c>
      <c r="C81" s="9" t="s">
        <v>100</v>
      </c>
      <c r="D81" s="5"/>
      <c r="E81" s="5"/>
      <c r="F81" s="5"/>
      <c r="G81" s="5"/>
      <c r="H81" s="5"/>
      <c r="I81" s="5"/>
      <c r="J81" s="5"/>
      <c r="K81" s="5"/>
      <c r="L81" s="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>
        <v>79.0</v>
      </c>
      <c r="B82" s="8">
        <v>2.50905607E9</v>
      </c>
      <c r="C82" s="9" t="s">
        <v>101</v>
      </c>
      <c r="D82" s="5"/>
      <c r="E82" s="5"/>
      <c r="F82" s="5"/>
      <c r="G82" s="5"/>
      <c r="H82" s="5"/>
      <c r="I82" s="5"/>
      <c r="J82" s="5"/>
      <c r="K82" s="5"/>
      <c r="L82" s="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>
        <v>80.0</v>
      </c>
      <c r="B83" s="8">
        <v>2.509056071E9</v>
      </c>
      <c r="C83" s="9" t="s">
        <v>102</v>
      </c>
      <c r="D83" s="5"/>
      <c r="E83" s="5"/>
      <c r="F83" s="5"/>
      <c r="G83" s="5"/>
      <c r="H83" s="5"/>
      <c r="I83" s="5"/>
      <c r="J83" s="5"/>
      <c r="K83" s="5"/>
      <c r="L83" s="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>
        <v>81.0</v>
      </c>
      <c r="B84" s="8">
        <v>2.509056072E9</v>
      </c>
      <c r="C84" s="9" t="s">
        <v>103</v>
      </c>
      <c r="D84" s="5"/>
      <c r="E84" s="5"/>
      <c r="F84" s="5"/>
      <c r="G84" s="5"/>
      <c r="H84" s="5"/>
      <c r="I84" s="5"/>
      <c r="J84" s="5"/>
      <c r="K84" s="5"/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>
        <v>82.0</v>
      </c>
      <c r="B85" s="8">
        <v>2.509056073E9</v>
      </c>
      <c r="C85" s="9" t="s">
        <v>104</v>
      </c>
      <c r="D85" s="5"/>
      <c r="E85" s="5"/>
      <c r="F85" s="5"/>
      <c r="G85" s="5"/>
      <c r="H85" s="5"/>
      <c r="I85" s="5"/>
      <c r="J85" s="5"/>
      <c r="K85" s="5"/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>
        <v>83.0</v>
      </c>
      <c r="B86" s="8">
        <v>2.509056075E9</v>
      </c>
      <c r="C86" s="9" t="s">
        <v>105</v>
      </c>
      <c r="D86" s="5"/>
      <c r="E86" s="5"/>
      <c r="F86" s="5"/>
      <c r="G86" s="5"/>
      <c r="H86" s="5"/>
      <c r="I86" s="5"/>
      <c r="J86" s="5"/>
      <c r="K86" s="5"/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>
        <v>84.0</v>
      </c>
      <c r="B87" s="8">
        <v>2.509056076E9</v>
      </c>
      <c r="C87" s="9" t="s">
        <v>106</v>
      </c>
      <c r="D87" s="5"/>
      <c r="E87" s="5"/>
      <c r="F87" s="5"/>
      <c r="G87" s="5"/>
      <c r="H87" s="5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>
        <v>85.0</v>
      </c>
      <c r="B88" s="8">
        <v>2.509056077E9</v>
      </c>
      <c r="C88" s="9" t="s">
        <v>107</v>
      </c>
      <c r="D88" s="5"/>
      <c r="E88" s="5"/>
      <c r="F88" s="5"/>
      <c r="G88" s="5"/>
      <c r="H88" s="5"/>
      <c r="I88" s="5"/>
      <c r="J88" s="5"/>
      <c r="K88" s="5"/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4">
        <v>86.0</v>
      </c>
      <c r="B89" s="15">
        <v>2.509056074E9</v>
      </c>
      <c r="C89" s="16" t="s">
        <v>108</v>
      </c>
      <c r="D89" s="5"/>
      <c r="E89" s="5"/>
      <c r="F89" s="5"/>
      <c r="G89" s="5"/>
      <c r="H89" s="5"/>
      <c r="I89" s="5"/>
      <c r="J89" s="5"/>
      <c r="K89" s="5"/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17"/>
      <c r="C90" s="5"/>
      <c r="D90" s="5"/>
      <c r="E90" s="5"/>
      <c r="F90" s="5"/>
      <c r="G90" s="5"/>
      <c r="H90" s="5"/>
      <c r="I90" s="5"/>
      <c r="J90" s="5"/>
      <c r="K90" s="5"/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17"/>
      <c r="C91" s="5"/>
      <c r="D91" s="5"/>
      <c r="E91" s="5"/>
      <c r="F91" s="5"/>
      <c r="G91" s="5"/>
      <c r="H91" s="5"/>
      <c r="I91" s="5"/>
      <c r="J91" s="5"/>
      <c r="K91" s="5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17"/>
      <c r="C92" s="5"/>
      <c r="D92" s="5"/>
      <c r="E92" s="5"/>
      <c r="F92" s="5"/>
      <c r="G92" s="5"/>
      <c r="H92" s="5"/>
      <c r="I92" s="5"/>
      <c r="J92" s="5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17"/>
      <c r="C93" s="5"/>
      <c r="D93" s="5"/>
      <c r="E93" s="5"/>
      <c r="F93" s="5"/>
      <c r="G93" s="5"/>
      <c r="H93" s="5"/>
      <c r="I93" s="5"/>
      <c r="J93" s="5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17"/>
      <c r="C94" s="5"/>
      <c r="D94" s="5"/>
      <c r="E94" s="5"/>
      <c r="F94" s="5"/>
      <c r="G94" s="5"/>
      <c r="H94" s="5"/>
      <c r="I94" s="5"/>
      <c r="J94" s="5"/>
      <c r="K94" s="5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17"/>
      <c r="C95" s="5"/>
      <c r="D95" s="5"/>
      <c r="E95" s="5"/>
      <c r="F95" s="5"/>
      <c r="G95" s="5"/>
      <c r="H95" s="5"/>
      <c r="I95" s="5"/>
      <c r="J95" s="5"/>
      <c r="K95" s="5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17"/>
      <c r="C96" s="5"/>
      <c r="D96" s="5"/>
      <c r="E96" s="5"/>
      <c r="F96" s="5"/>
      <c r="G96" s="5"/>
      <c r="H96" s="5"/>
      <c r="I96" s="5"/>
      <c r="J96" s="5"/>
      <c r="K96" s="5"/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17"/>
      <c r="C97" s="5"/>
      <c r="D97" s="5"/>
      <c r="E97" s="5"/>
      <c r="F97" s="5"/>
      <c r="G97" s="5"/>
      <c r="H97" s="5"/>
      <c r="I97" s="5"/>
      <c r="J97" s="5"/>
      <c r="K97" s="5"/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E3:L3"/>
    <mergeCell ref="E4:L4"/>
    <mergeCell ref="E5:L5"/>
    <mergeCell ref="E12:L12"/>
  </mergeCells>
  <hyperlinks>
    <hyperlink display="Penulisan Laporan" location="null!A1" ref="E26"/>
    <hyperlink display="Laporan Resmi" location="null!A1" ref="E27"/>
    <hyperlink display="Kemampuan Praktikum" location="null!A1" ref="E28"/>
    <hyperlink display="Nilai  Harian" location="null!A1" ref="E29"/>
    <hyperlink display="Nilai Akhir" location="null!A1" ref="E30"/>
    <hyperlink display="Pie Chart" location="null!A1" ref="E31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3.25"/>
  </cols>
  <sheetData>
    <row r="1">
      <c r="A1" s="18"/>
      <c r="B1" s="18"/>
    </row>
    <row r="2">
      <c r="A2" s="19" t="s">
        <v>1</v>
      </c>
      <c r="B2" s="19" t="s">
        <v>2</v>
      </c>
      <c r="C2" s="19" t="s">
        <v>109</v>
      </c>
      <c r="D2" s="20" t="s">
        <v>42</v>
      </c>
      <c r="E2" s="21"/>
      <c r="F2" s="21"/>
      <c r="G2" s="21"/>
      <c r="H2" s="21"/>
      <c r="I2" s="21"/>
      <c r="J2" s="21"/>
      <c r="K2" s="22"/>
      <c r="L2" s="19" t="s">
        <v>110</v>
      </c>
    </row>
    <row r="3">
      <c r="A3" s="23"/>
      <c r="B3" s="23"/>
      <c r="C3" s="23"/>
      <c r="D3" s="24" t="s">
        <v>111</v>
      </c>
      <c r="E3" s="24" t="s">
        <v>112</v>
      </c>
      <c r="F3" s="24" t="s">
        <v>113</v>
      </c>
      <c r="G3" s="24" t="s">
        <v>114</v>
      </c>
      <c r="H3" s="24" t="s">
        <v>115</v>
      </c>
      <c r="I3" s="24" t="s">
        <v>116</v>
      </c>
      <c r="J3" s="24" t="s">
        <v>117</v>
      </c>
      <c r="K3" s="24" t="s">
        <v>118</v>
      </c>
      <c r="L3" s="23"/>
    </row>
    <row r="4">
      <c r="A4" s="7">
        <f>'INPUT DAFTAR PESERTA'!A4</f>
        <v>1</v>
      </c>
      <c r="B4" s="25">
        <f>'INPUT DAFTAR PESERTA'!B4</f>
        <v>2309056046</v>
      </c>
      <c r="C4" s="26" t="str">
        <f>'INPUT DAFTAR PESERTA'!C4</f>
        <v>Erwin</v>
      </c>
      <c r="D4" s="27">
        <v>50.0</v>
      </c>
      <c r="E4" s="27">
        <v>45.0</v>
      </c>
      <c r="F4" s="27">
        <v>30.0</v>
      </c>
      <c r="G4" s="27">
        <v>40.0</v>
      </c>
      <c r="H4" s="27">
        <v>60.0</v>
      </c>
      <c r="I4" s="27">
        <v>10.0</v>
      </c>
      <c r="J4" s="27">
        <v>30.0</v>
      </c>
      <c r="K4" s="27">
        <v>50.0</v>
      </c>
      <c r="L4" s="28">
        <f t="shared" ref="L4:L89" si="1">(D4+E4+F4+G4+H4+I4+J4+K4)/8</f>
        <v>39.375</v>
      </c>
    </row>
    <row r="5">
      <c r="A5" s="29">
        <f>'INPUT DAFTAR PESERTA'!A5</f>
        <v>2</v>
      </c>
      <c r="B5" s="30">
        <f>'INPUT DAFTAR PESERTA'!B5</f>
        <v>2409056015</v>
      </c>
      <c r="C5" s="31" t="str">
        <f>'INPUT DAFTAR PESERTA'!C5</f>
        <v>Denny Setiawan</v>
      </c>
      <c r="D5" s="32"/>
      <c r="E5" s="32"/>
      <c r="F5" s="32"/>
      <c r="G5" s="32"/>
      <c r="H5" s="32"/>
      <c r="I5" s="32"/>
      <c r="J5" s="32"/>
      <c r="K5" s="32"/>
      <c r="L5" s="33">
        <f t="shared" si="1"/>
        <v>0</v>
      </c>
    </row>
    <row r="6">
      <c r="A6" s="29">
        <f>'INPUT DAFTAR PESERTA'!A6</f>
        <v>3</v>
      </c>
      <c r="B6" s="30">
        <f>'INPUT DAFTAR PESERTA'!B6</f>
        <v>2409056031</v>
      </c>
      <c r="C6" s="31" t="str">
        <f>'INPUT DAFTAR PESERTA'!C6</f>
        <v>Rahmad Oka Aufa Ramadan</v>
      </c>
      <c r="D6" s="34"/>
      <c r="E6" s="34"/>
      <c r="F6" s="34"/>
      <c r="G6" s="34"/>
      <c r="H6" s="34"/>
      <c r="I6" s="34"/>
      <c r="J6" s="34"/>
      <c r="K6" s="34"/>
      <c r="L6" s="33">
        <f t="shared" si="1"/>
        <v>0</v>
      </c>
    </row>
    <row r="7">
      <c r="A7" s="29">
        <f>'INPUT DAFTAR PESERTA'!A7</f>
        <v>4</v>
      </c>
      <c r="B7" s="30">
        <f>'INPUT DAFTAR PESERTA'!B7</f>
        <v>2409056032</v>
      </c>
      <c r="C7" s="31" t="str">
        <f>'INPUT DAFTAR PESERTA'!C7</f>
        <v>Stewa Syaifa Bakhid</v>
      </c>
      <c r="D7" s="34"/>
      <c r="E7" s="34"/>
      <c r="F7" s="34"/>
      <c r="G7" s="34"/>
      <c r="H7" s="34"/>
      <c r="I7" s="34"/>
      <c r="J7" s="34"/>
      <c r="K7" s="34"/>
      <c r="L7" s="33">
        <f t="shared" si="1"/>
        <v>0</v>
      </c>
    </row>
    <row r="8">
      <c r="A8" s="29">
        <f>'INPUT DAFTAR PESERTA'!A8</f>
        <v>5</v>
      </c>
      <c r="B8" s="30">
        <f>'INPUT DAFTAR PESERTA'!B8</f>
        <v>2409056033</v>
      </c>
      <c r="C8" s="31" t="str">
        <f>'INPUT DAFTAR PESERTA'!C8</f>
        <v>Adnan Fadil Annur</v>
      </c>
      <c r="D8" s="34"/>
      <c r="E8" s="34"/>
      <c r="F8" s="34"/>
      <c r="G8" s="34"/>
      <c r="H8" s="34"/>
      <c r="I8" s="34"/>
      <c r="J8" s="34"/>
      <c r="K8" s="34"/>
      <c r="L8" s="33">
        <f t="shared" si="1"/>
        <v>0</v>
      </c>
    </row>
    <row r="9">
      <c r="A9" s="29">
        <f>'INPUT DAFTAR PESERTA'!A9</f>
        <v>6</v>
      </c>
      <c r="B9" s="30">
        <f>'INPUT DAFTAR PESERTA'!B9</f>
        <v>2409056039</v>
      </c>
      <c r="C9" s="31" t="str">
        <f>'INPUT DAFTAR PESERTA'!C9</f>
        <v>Muhammad Hasbi Ash Shiddieqy</v>
      </c>
      <c r="D9" s="34"/>
      <c r="E9" s="34"/>
      <c r="F9" s="34"/>
      <c r="G9" s="34"/>
      <c r="H9" s="34"/>
      <c r="I9" s="34"/>
      <c r="J9" s="34"/>
      <c r="K9" s="34"/>
      <c r="L9" s="33">
        <f t="shared" si="1"/>
        <v>0</v>
      </c>
    </row>
    <row r="10">
      <c r="A10" s="29">
        <f>'INPUT DAFTAR PESERTA'!A10</f>
        <v>7</v>
      </c>
      <c r="B10" s="30">
        <f>'INPUT DAFTAR PESERTA'!B10</f>
        <v>2409056044</v>
      </c>
      <c r="C10" s="31" t="str">
        <f>'INPUT DAFTAR PESERTA'!C10</f>
        <v>Siti Aisyah Hasanah</v>
      </c>
      <c r="D10" s="34"/>
      <c r="E10" s="34"/>
      <c r="F10" s="34"/>
      <c r="G10" s="34"/>
      <c r="H10" s="34"/>
      <c r="I10" s="34"/>
      <c r="J10" s="34"/>
      <c r="K10" s="34"/>
      <c r="L10" s="33">
        <f t="shared" si="1"/>
        <v>0</v>
      </c>
    </row>
    <row r="11">
      <c r="A11" s="29">
        <f>'INPUT DAFTAR PESERTA'!A11</f>
        <v>8</v>
      </c>
      <c r="B11" s="30">
        <f>'INPUT DAFTAR PESERTA'!B11</f>
        <v>2409056047</v>
      </c>
      <c r="C11" s="31" t="str">
        <f>'INPUT DAFTAR PESERTA'!C11</f>
        <v>D’arch Hweng Junior</v>
      </c>
      <c r="D11" s="34"/>
      <c r="E11" s="34"/>
      <c r="F11" s="34"/>
      <c r="G11" s="34"/>
      <c r="H11" s="34"/>
      <c r="I11" s="34"/>
      <c r="J11" s="34"/>
      <c r="K11" s="34"/>
      <c r="L11" s="33">
        <f t="shared" si="1"/>
        <v>0</v>
      </c>
    </row>
    <row r="12">
      <c r="A12" s="29">
        <f>'INPUT DAFTAR PESERTA'!A12</f>
        <v>9</v>
      </c>
      <c r="B12" s="30">
        <f>'INPUT DAFTAR PESERTA'!B12</f>
        <v>2409056052</v>
      </c>
      <c r="C12" s="31" t="str">
        <f>'INPUT DAFTAR PESERTA'!C12</f>
        <v>Andi Syaifullah Al Maslulil Agri</v>
      </c>
      <c r="D12" s="34"/>
      <c r="E12" s="34"/>
      <c r="F12" s="34"/>
      <c r="G12" s="34"/>
      <c r="H12" s="34"/>
      <c r="I12" s="34"/>
      <c r="J12" s="34"/>
      <c r="K12" s="34"/>
      <c r="L12" s="33">
        <f t="shared" si="1"/>
        <v>0</v>
      </c>
    </row>
    <row r="13">
      <c r="A13" s="29">
        <f>'INPUT DAFTAR PESERTA'!A13</f>
        <v>10</v>
      </c>
      <c r="B13" s="30">
        <f>'INPUT DAFTAR PESERTA'!B13</f>
        <v>2409056058</v>
      </c>
      <c r="C13" s="31" t="str">
        <f>'INPUT DAFTAR PESERTA'!C13</f>
        <v>Andre Pratama</v>
      </c>
      <c r="D13" s="34"/>
      <c r="E13" s="34"/>
      <c r="F13" s="34"/>
      <c r="G13" s="34"/>
      <c r="H13" s="34"/>
      <c r="I13" s="34"/>
      <c r="J13" s="34"/>
      <c r="K13" s="34"/>
      <c r="L13" s="33">
        <f t="shared" si="1"/>
        <v>0</v>
      </c>
    </row>
    <row r="14">
      <c r="A14" s="29">
        <f>'INPUT DAFTAR PESERTA'!A14</f>
        <v>11</v>
      </c>
      <c r="B14" s="30">
        <f>'INPUT DAFTAR PESERTA'!B14</f>
        <v>2409056067</v>
      </c>
      <c r="C14" s="31" t="str">
        <f>'INPUT DAFTAR PESERTA'!C14</f>
        <v>Andi Afif Najib Abdillah</v>
      </c>
      <c r="D14" s="34"/>
      <c r="E14" s="34"/>
      <c r="F14" s="34"/>
      <c r="G14" s="34"/>
      <c r="H14" s="34"/>
      <c r="I14" s="34"/>
      <c r="J14" s="34"/>
      <c r="K14" s="34"/>
      <c r="L14" s="33">
        <f t="shared" si="1"/>
        <v>0</v>
      </c>
    </row>
    <row r="15">
      <c r="A15" s="29">
        <f>'INPUT DAFTAR PESERTA'!A15</f>
        <v>12</v>
      </c>
      <c r="B15" s="30">
        <f>'INPUT DAFTAR PESERTA'!B15</f>
        <v>2409056068</v>
      </c>
      <c r="C15" s="31" t="str">
        <f>'INPUT DAFTAR PESERTA'!C15</f>
        <v>Christianus Gonzaga</v>
      </c>
      <c r="D15" s="34"/>
      <c r="E15" s="34"/>
      <c r="F15" s="34"/>
      <c r="G15" s="34"/>
      <c r="H15" s="34"/>
      <c r="I15" s="34"/>
      <c r="J15" s="34"/>
      <c r="K15" s="34"/>
      <c r="L15" s="33">
        <f t="shared" si="1"/>
        <v>0</v>
      </c>
    </row>
    <row r="16">
      <c r="A16" s="7">
        <f>'INPUT DAFTAR PESERTA'!A16</f>
        <v>13</v>
      </c>
      <c r="B16" s="25">
        <f>'INPUT DAFTAR PESERTA'!B16</f>
        <v>2509056001</v>
      </c>
      <c r="C16" s="26" t="str">
        <f>'INPUT DAFTAR PESERTA'!C16</f>
        <v>Mutiara Suci Rahmadani</v>
      </c>
      <c r="D16" s="14">
        <v>95.0</v>
      </c>
      <c r="E16" s="27">
        <v>87.0</v>
      </c>
      <c r="F16" s="27">
        <v>98.0</v>
      </c>
      <c r="G16" s="27">
        <v>89.0</v>
      </c>
      <c r="H16" s="27">
        <v>95.0</v>
      </c>
      <c r="I16" s="27">
        <v>100.0</v>
      </c>
      <c r="J16" s="27">
        <v>96.0</v>
      </c>
      <c r="K16" s="27">
        <v>90.0</v>
      </c>
      <c r="L16" s="33">
        <f t="shared" si="1"/>
        <v>93.75</v>
      </c>
    </row>
    <row r="17">
      <c r="A17" s="7">
        <f>'INPUT DAFTAR PESERTA'!A17</f>
        <v>14</v>
      </c>
      <c r="B17" s="25">
        <f>'INPUT DAFTAR PESERTA'!B17</f>
        <v>2509056002</v>
      </c>
      <c r="C17" s="26" t="str">
        <f>'INPUT DAFTAR PESERTA'!C17</f>
        <v>Adhwa Ghinna Febrianty</v>
      </c>
      <c r="D17" s="14">
        <v>95.0</v>
      </c>
      <c r="E17" s="27">
        <v>86.0</v>
      </c>
      <c r="F17" s="27">
        <v>100.0</v>
      </c>
      <c r="G17" s="27">
        <v>92.0</v>
      </c>
      <c r="H17" s="27">
        <v>90.0</v>
      </c>
      <c r="I17" s="27">
        <v>100.0</v>
      </c>
      <c r="J17" s="27">
        <v>95.0</v>
      </c>
      <c r="K17" s="27">
        <v>90.0</v>
      </c>
      <c r="L17" s="33">
        <f t="shared" si="1"/>
        <v>93.5</v>
      </c>
    </row>
    <row r="18">
      <c r="A18" s="7">
        <f>'INPUT DAFTAR PESERTA'!A18</f>
        <v>15</v>
      </c>
      <c r="B18" s="25">
        <f>'INPUT DAFTAR PESERTA'!B18</f>
        <v>2509056003</v>
      </c>
      <c r="C18" s="26" t="str">
        <f>'INPUT DAFTAR PESERTA'!C18</f>
        <v>Muhammad Daffa Alifiansyah</v>
      </c>
      <c r="D18" s="14">
        <v>90.0</v>
      </c>
      <c r="E18" s="27">
        <v>90.0</v>
      </c>
      <c r="F18" s="27">
        <v>100.0</v>
      </c>
      <c r="G18" s="27">
        <v>86.0</v>
      </c>
      <c r="H18" s="27">
        <v>90.0</v>
      </c>
      <c r="I18" s="27">
        <v>30.0</v>
      </c>
      <c r="J18" s="27">
        <v>94.0</v>
      </c>
      <c r="K18" s="27">
        <v>90.0</v>
      </c>
      <c r="L18" s="33">
        <f t="shared" si="1"/>
        <v>83.75</v>
      </c>
    </row>
    <row r="19">
      <c r="A19" s="35">
        <f>'INPUT DAFTAR PESERTA'!A19</f>
        <v>16</v>
      </c>
      <c r="B19" s="36">
        <f>'INPUT DAFTAR PESERTA'!B19</f>
        <v>2509056004</v>
      </c>
      <c r="C19" s="37" t="str">
        <f>'INPUT DAFTAR PESERTA'!C19</f>
        <v>Adya Nur Adzhuriva</v>
      </c>
      <c r="D19" s="38"/>
      <c r="E19" s="38"/>
      <c r="F19" s="34"/>
      <c r="G19" s="38"/>
      <c r="H19" s="38"/>
      <c r="I19" s="38"/>
      <c r="J19" s="38"/>
      <c r="K19" s="38"/>
      <c r="L19" s="33">
        <f t="shared" si="1"/>
        <v>0</v>
      </c>
    </row>
    <row r="20">
      <c r="A20" s="35">
        <f>'INPUT DAFTAR PESERTA'!A20</f>
        <v>17</v>
      </c>
      <c r="B20" s="36">
        <f>'INPUT DAFTAR PESERTA'!B20</f>
        <v>2509056005</v>
      </c>
      <c r="C20" s="37" t="str">
        <f>'INPUT DAFTAR PESERTA'!C20</f>
        <v>Cheva Fasha Prathama</v>
      </c>
      <c r="D20" s="38"/>
      <c r="E20" s="38"/>
      <c r="F20" s="38"/>
      <c r="G20" s="38"/>
      <c r="H20" s="38"/>
      <c r="I20" s="38"/>
      <c r="J20" s="38"/>
      <c r="K20" s="38"/>
      <c r="L20" s="33">
        <f t="shared" si="1"/>
        <v>0</v>
      </c>
    </row>
    <row r="21">
      <c r="A21" s="35">
        <f>'INPUT DAFTAR PESERTA'!A21</f>
        <v>18</v>
      </c>
      <c r="B21" s="36">
        <f>'INPUT DAFTAR PESERTA'!B21</f>
        <v>2509056006</v>
      </c>
      <c r="C21" s="37" t="str">
        <f>'INPUT DAFTAR PESERTA'!C21</f>
        <v>Muhammad Zaki Fadillah</v>
      </c>
      <c r="D21" s="38"/>
      <c r="E21" s="38"/>
      <c r="F21" s="38"/>
      <c r="G21" s="38"/>
      <c r="H21" s="38"/>
      <c r="I21" s="38"/>
      <c r="J21" s="38"/>
      <c r="K21" s="38"/>
      <c r="L21" s="33">
        <f t="shared" si="1"/>
        <v>0</v>
      </c>
    </row>
    <row r="22">
      <c r="A22" s="35">
        <f>'INPUT DAFTAR PESERTA'!A22</f>
        <v>19</v>
      </c>
      <c r="B22" s="36">
        <f>'INPUT DAFTAR PESERTA'!B22</f>
        <v>2509056007</v>
      </c>
      <c r="C22" s="37" t="str">
        <f>'INPUT DAFTAR PESERTA'!C22</f>
        <v>Widdyanti Fetrina Sefriany</v>
      </c>
      <c r="D22" s="38"/>
      <c r="E22" s="38"/>
      <c r="F22" s="38"/>
      <c r="G22" s="38"/>
      <c r="H22" s="38"/>
      <c r="I22" s="38"/>
      <c r="J22" s="38"/>
      <c r="K22" s="38"/>
      <c r="L22" s="33">
        <f t="shared" si="1"/>
        <v>0</v>
      </c>
    </row>
    <row r="23">
      <c r="A23" s="35">
        <f>'INPUT DAFTAR PESERTA'!A23</f>
        <v>20</v>
      </c>
      <c r="B23" s="36">
        <f>'INPUT DAFTAR PESERTA'!B23</f>
        <v>2509056008</v>
      </c>
      <c r="C23" s="37" t="str">
        <f>'INPUT DAFTAR PESERTA'!C23</f>
        <v>Gita Mufidatuzahrah</v>
      </c>
      <c r="D23" s="38"/>
      <c r="E23" s="38"/>
      <c r="F23" s="38"/>
      <c r="G23" s="38"/>
      <c r="H23" s="38"/>
      <c r="I23" s="38"/>
      <c r="J23" s="38"/>
      <c r="K23" s="38"/>
      <c r="L23" s="33">
        <f t="shared" si="1"/>
        <v>0</v>
      </c>
    </row>
    <row r="24">
      <c r="A24" s="7">
        <f>'INPUT DAFTAR PESERTA'!A24</f>
        <v>21</v>
      </c>
      <c r="B24" s="25">
        <f>'INPUT DAFTAR PESERTA'!B24</f>
        <v>2509056009</v>
      </c>
      <c r="C24" s="26" t="str">
        <f>'INPUT DAFTAR PESERTA'!C24</f>
        <v>Muhammad Hersal Ramadhan</v>
      </c>
      <c r="D24" s="14">
        <v>90.0</v>
      </c>
      <c r="E24" s="27">
        <v>73.0</v>
      </c>
      <c r="F24" s="27">
        <v>96.0</v>
      </c>
      <c r="G24" s="27">
        <v>99.0</v>
      </c>
      <c r="H24" s="27">
        <v>80.0</v>
      </c>
      <c r="I24" s="27">
        <v>80.0</v>
      </c>
      <c r="J24" s="27">
        <v>96.0</v>
      </c>
      <c r="K24" s="27">
        <v>98.0</v>
      </c>
      <c r="L24" s="33">
        <f t="shared" si="1"/>
        <v>89</v>
      </c>
    </row>
    <row r="25">
      <c r="A25" s="35">
        <f>'INPUT DAFTAR PESERTA'!A25</f>
        <v>22</v>
      </c>
      <c r="B25" s="36">
        <f>'INPUT DAFTAR PESERTA'!B25</f>
        <v>2509056010</v>
      </c>
      <c r="C25" s="37" t="str">
        <f>'INPUT DAFTAR PESERTA'!C25</f>
        <v>Chikal Fattiya Putri</v>
      </c>
      <c r="D25" s="38"/>
      <c r="E25" s="38"/>
      <c r="F25" s="38"/>
      <c r="G25" s="38"/>
      <c r="H25" s="38"/>
      <c r="I25" s="38"/>
      <c r="J25" s="38"/>
      <c r="K25" s="38"/>
      <c r="L25" s="33">
        <f t="shared" si="1"/>
        <v>0</v>
      </c>
    </row>
    <row r="26">
      <c r="A26" s="7">
        <f>'INPUT DAFTAR PESERTA'!A26</f>
        <v>23</v>
      </c>
      <c r="B26" s="25">
        <f>'INPUT DAFTAR PESERTA'!B26</f>
        <v>2509056011</v>
      </c>
      <c r="C26" s="26" t="str">
        <f>'INPUT DAFTAR PESERTA'!C26</f>
        <v>Muhammad Daffa Lailitama Sinaga</v>
      </c>
      <c r="D26" s="27">
        <v>95.0</v>
      </c>
      <c r="E26" s="27">
        <v>92.0</v>
      </c>
      <c r="F26" s="27">
        <v>98.0</v>
      </c>
      <c r="G26" s="27">
        <v>95.0</v>
      </c>
      <c r="H26" s="27">
        <v>100.0</v>
      </c>
      <c r="I26" s="27">
        <v>100.0</v>
      </c>
      <c r="J26" s="27">
        <v>96.0</v>
      </c>
      <c r="K26" s="27">
        <v>98.0</v>
      </c>
      <c r="L26" s="33">
        <f t="shared" si="1"/>
        <v>96.75</v>
      </c>
    </row>
    <row r="27">
      <c r="A27" s="7">
        <f>'INPUT DAFTAR PESERTA'!A27</f>
        <v>24</v>
      </c>
      <c r="B27" s="25">
        <f>'INPUT DAFTAR PESERTA'!B27</f>
        <v>2509056012</v>
      </c>
      <c r="C27" s="26" t="str">
        <f>'INPUT DAFTAR PESERTA'!C27</f>
        <v>Sera Ayu Ningsih</v>
      </c>
      <c r="D27" s="27">
        <v>90.0</v>
      </c>
      <c r="E27" s="27">
        <v>42.0</v>
      </c>
      <c r="F27" s="27">
        <v>30.0</v>
      </c>
      <c r="G27" s="27">
        <v>60.0</v>
      </c>
      <c r="H27" s="27">
        <v>60.0</v>
      </c>
      <c r="I27" s="27">
        <v>35.0</v>
      </c>
      <c r="J27" s="27">
        <v>62.0</v>
      </c>
      <c r="K27" s="27">
        <v>90.0</v>
      </c>
      <c r="L27" s="33">
        <f t="shared" si="1"/>
        <v>58.625</v>
      </c>
    </row>
    <row r="28">
      <c r="A28" s="7">
        <f>'INPUT DAFTAR PESERTA'!A28</f>
        <v>25</v>
      </c>
      <c r="B28" s="25">
        <f>'INPUT DAFTAR PESERTA'!B28</f>
        <v>2509056013</v>
      </c>
      <c r="C28" s="26" t="str">
        <f>'INPUT DAFTAR PESERTA'!C28</f>
        <v>Naufal Firdaus Syauqi</v>
      </c>
      <c r="D28" s="27">
        <v>90.0</v>
      </c>
      <c r="E28" s="27">
        <v>83.0</v>
      </c>
      <c r="F28" s="27">
        <v>98.0</v>
      </c>
      <c r="G28" s="27">
        <v>83.0</v>
      </c>
      <c r="H28" s="27">
        <v>80.0</v>
      </c>
      <c r="I28" s="27">
        <v>100.0</v>
      </c>
      <c r="J28" s="27">
        <v>95.0</v>
      </c>
      <c r="K28" s="27">
        <v>90.0</v>
      </c>
      <c r="L28" s="33">
        <f t="shared" si="1"/>
        <v>89.875</v>
      </c>
    </row>
    <row r="29">
      <c r="A29" s="7">
        <f>'INPUT DAFTAR PESERTA'!A29</f>
        <v>26</v>
      </c>
      <c r="B29" s="25">
        <f>'INPUT DAFTAR PESERTA'!B29</f>
        <v>2509056014</v>
      </c>
      <c r="C29" s="26" t="str">
        <f>'INPUT DAFTAR PESERTA'!C29</f>
        <v>Alexander Radja Roben Saragih</v>
      </c>
      <c r="D29" s="27">
        <v>98.0</v>
      </c>
      <c r="E29" s="27">
        <v>88.0</v>
      </c>
      <c r="F29" s="27">
        <v>99.0</v>
      </c>
      <c r="G29" s="27">
        <v>99.0</v>
      </c>
      <c r="H29" s="27">
        <v>90.0</v>
      </c>
      <c r="I29" s="27">
        <v>100.0</v>
      </c>
      <c r="J29" s="27">
        <v>95.0</v>
      </c>
      <c r="K29" s="27">
        <v>98.0</v>
      </c>
      <c r="L29" s="33">
        <f t="shared" si="1"/>
        <v>95.875</v>
      </c>
    </row>
    <row r="30">
      <c r="A30" s="7">
        <f>'INPUT DAFTAR PESERTA'!A30</f>
        <v>27</v>
      </c>
      <c r="B30" s="25">
        <f>'INPUT DAFTAR PESERTA'!B30</f>
        <v>2509056015</v>
      </c>
      <c r="C30" s="26" t="str">
        <f>'INPUT DAFTAR PESERTA'!C30</f>
        <v>Tiara Aqila Azzahra</v>
      </c>
      <c r="D30" s="14">
        <v>90.0</v>
      </c>
      <c r="E30" s="27">
        <v>87.0</v>
      </c>
      <c r="F30" s="27">
        <v>100.0</v>
      </c>
      <c r="G30" s="27">
        <v>98.0</v>
      </c>
      <c r="H30" s="27">
        <v>80.0</v>
      </c>
      <c r="I30" s="27">
        <v>100.0</v>
      </c>
      <c r="J30" s="27">
        <v>96.0</v>
      </c>
      <c r="K30" s="27">
        <v>98.0</v>
      </c>
      <c r="L30" s="33">
        <f t="shared" si="1"/>
        <v>93.625</v>
      </c>
    </row>
    <row r="31">
      <c r="A31" s="7">
        <f>'INPUT DAFTAR PESERTA'!A31</f>
        <v>28</v>
      </c>
      <c r="B31" s="25">
        <f>'INPUT DAFTAR PESERTA'!B31</f>
        <v>2509056016</v>
      </c>
      <c r="C31" s="26" t="str">
        <f>'INPUT DAFTAR PESERTA'!C31</f>
        <v>Muhammad Haikal Islamy Saputra</v>
      </c>
      <c r="D31" s="27">
        <v>96.0</v>
      </c>
      <c r="E31" s="27">
        <v>81.0</v>
      </c>
      <c r="F31" s="27">
        <v>99.0</v>
      </c>
      <c r="G31" s="27">
        <v>89.0</v>
      </c>
      <c r="H31" s="27">
        <v>80.0</v>
      </c>
      <c r="I31" s="27">
        <v>100.0</v>
      </c>
      <c r="J31" s="27">
        <v>74.0</v>
      </c>
      <c r="K31" s="27">
        <v>90.0</v>
      </c>
      <c r="L31" s="33">
        <f t="shared" si="1"/>
        <v>88.625</v>
      </c>
    </row>
    <row r="32">
      <c r="A32" s="7">
        <f>'INPUT DAFTAR PESERTA'!A32</f>
        <v>29</v>
      </c>
      <c r="B32" s="25">
        <f>'INPUT DAFTAR PESERTA'!B32</f>
        <v>2509056017</v>
      </c>
      <c r="C32" s="26" t="str">
        <f>'INPUT DAFTAR PESERTA'!C32</f>
        <v>Faatihur Rizki</v>
      </c>
      <c r="D32" s="27">
        <v>96.0</v>
      </c>
      <c r="E32" s="27">
        <v>88.0</v>
      </c>
      <c r="F32" s="27">
        <v>98.0</v>
      </c>
      <c r="G32" s="27">
        <v>96.0</v>
      </c>
      <c r="H32" s="27">
        <v>90.0</v>
      </c>
      <c r="I32" s="27">
        <v>100.0</v>
      </c>
      <c r="J32" s="27">
        <v>96.0</v>
      </c>
      <c r="K32" s="27">
        <v>90.0</v>
      </c>
      <c r="L32" s="33">
        <f t="shared" si="1"/>
        <v>94.25</v>
      </c>
    </row>
    <row r="33">
      <c r="A33" s="7">
        <f>'INPUT DAFTAR PESERTA'!A33</f>
        <v>30</v>
      </c>
      <c r="B33" s="25">
        <f>'INPUT DAFTAR PESERTA'!B33</f>
        <v>2509056018</v>
      </c>
      <c r="C33" s="26" t="str">
        <f>'INPUT DAFTAR PESERTA'!C33</f>
        <v>Rashya Annara Salsabilla Tomasoa</v>
      </c>
      <c r="D33" s="27">
        <v>96.0</v>
      </c>
      <c r="E33" s="27">
        <v>97.0</v>
      </c>
      <c r="F33" s="27">
        <v>100.0</v>
      </c>
      <c r="G33" s="27">
        <v>98.0</v>
      </c>
      <c r="H33" s="27">
        <v>80.0</v>
      </c>
      <c r="I33" s="27">
        <v>100.0</v>
      </c>
      <c r="J33" s="27">
        <v>96.0</v>
      </c>
      <c r="K33" s="27">
        <v>98.0</v>
      </c>
      <c r="L33" s="33">
        <f t="shared" si="1"/>
        <v>95.625</v>
      </c>
    </row>
    <row r="34">
      <c r="A34" s="35">
        <f>'INPUT DAFTAR PESERTA'!A34</f>
        <v>31</v>
      </c>
      <c r="B34" s="36">
        <f>'INPUT DAFTAR PESERTA'!B34</f>
        <v>2509056019</v>
      </c>
      <c r="C34" s="37" t="str">
        <f>'INPUT DAFTAR PESERTA'!C34</f>
        <v>Desta Novie Sulfianie</v>
      </c>
      <c r="D34" s="38"/>
      <c r="E34" s="38"/>
      <c r="F34" s="38"/>
      <c r="G34" s="38"/>
      <c r="H34" s="38"/>
      <c r="I34" s="38"/>
      <c r="J34" s="38"/>
      <c r="K34" s="38"/>
      <c r="L34" s="33">
        <f t="shared" si="1"/>
        <v>0</v>
      </c>
    </row>
    <row r="35">
      <c r="A35" s="39">
        <f>'INPUT DAFTAR PESERTA'!A35</f>
        <v>32</v>
      </c>
      <c r="B35" s="40">
        <f>'INPUT DAFTAR PESERTA'!B35</f>
        <v>2509056020</v>
      </c>
      <c r="C35" s="41" t="str">
        <f>'INPUT DAFTAR PESERTA'!C35</f>
        <v>Chandra Ahmad Dwinata</v>
      </c>
      <c r="D35" s="42">
        <v>17.0</v>
      </c>
      <c r="E35" s="42">
        <v>25.0</v>
      </c>
      <c r="F35" s="42">
        <v>15.0</v>
      </c>
      <c r="G35" s="42">
        <v>42.0</v>
      </c>
      <c r="H35" s="42">
        <v>50.0</v>
      </c>
      <c r="I35" s="42">
        <v>27.0</v>
      </c>
      <c r="J35" s="42">
        <v>40.0</v>
      </c>
      <c r="K35" s="42">
        <v>50.0</v>
      </c>
      <c r="L35" s="33">
        <f t="shared" si="1"/>
        <v>33.25</v>
      </c>
    </row>
    <row r="36">
      <c r="A36" s="7">
        <f>'INPUT DAFTAR PESERTA'!A36</f>
        <v>33</v>
      </c>
      <c r="B36" s="25">
        <f>'INPUT DAFTAR PESERTA'!B36</f>
        <v>2509056021</v>
      </c>
      <c r="C36" s="26" t="str">
        <f>'INPUT DAFTAR PESERTA'!C36</f>
        <v>Sopando Imanuel Sipayung</v>
      </c>
      <c r="D36" s="27">
        <v>80.0</v>
      </c>
      <c r="E36" s="27">
        <v>98.0</v>
      </c>
      <c r="F36" s="27">
        <v>95.0</v>
      </c>
      <c r="G36" s="27">
        <v>91.0</v>
      </c>
      <c r="H36" s="27">
        <v>80.0</v>
      </c>
      <c r="I36" s="27">
        <v>100.0</v>
      </c>
      <c r="J36" s="27">
        <v>94.0</v>
      </c>
      <c r="K36" s="27">
        <v>98.0</v>
      </c>
      <c r="L36" s="33">
        <f t="shared" si="1"/>
        <v>92</v>
      </c>
    </row>
    <row r="37">
      <c r="A37" s="7">
        <f>'INPUT DAFTAR PESERTA'!A37</f>
        <v>34</v>
      </c>
      <c r="B37" s="25">
        <f>'INPUT DAFTAR PESERTA'!B37</f>
        <v>2509056022</v>
      </c>
      <c r="C37" s="26" t="str">
        <f>'INPUT DAFTAR PESERTA'!C37</f>
        <v>Rayhan Winata Prabowo</v>
      </c>
      <c r="D37" s="27">
        <v>80.0</v>
      </c>
      <c r="E37" s="27">
        <v>85.0</v>
      </c>
      <c r="F37" s="27">
        <v>100.0</v>
      </c>
      <c r="G37" s="27">
        <v>96.0</v>
      </c>
      <c r="H37" s="27">
        <v>90.0</v>
      </c>
      <c r="I37" s="27">
        <v>100.0</v>
      </c>
      <c r="J37" s="27">
        <v>96.0</v>
      </c>
      <c r="K37" s="27">
        <v>90.0</v>
      </c>
      <c r="L37" s="33">
        <f t="shared" si="1"/>
        <v>92.125</v>
      </c>
    </row>
    <row r="38">
      <c r="A38" s="35">
        <f>'INPUT DAFTAR PESERTA'!A38</f>
        <v>35</v>
      </c>
      <c r="B38" s="36">
        <f>'INPUT DAFTAR PESERTA'!B38</f>
        <v>2509056023</v>
      </c>
      <c r="C38" s="37" t="str">
        <f>'INPUT DAFTAR PESERTA'!C38</f>
        <v>Ahmad Din Nejad</v>
      </c>
      <c r="D38" s="38"/>
      <c r="E38" s="38"/>
      <c r="F38" s="38"/>
      <c r="G38" s="38"/>
      <c r="H38" s="38"/>
      <c r="I38" s="38"/>
      <c r="J38" s="38"/>
      <c r="K38" s="34"/>
      <c r="L38" s="33">
        <f t="shared" si="1"/>
        <v>0</v>
      </c>
    </row>
    <row r="39">
      <c r="A39" s="7">
        <f>'INPUT DAFTAR PESERTA'!A39</f>
        <v>36</v>
      </c>
      <c r="B39" s="25">
        <f>'INPUT DAFTAR PESERTA'!B39</f>
        <v>2509056024</v>
      </c>
      <c r="C39" s="26" t="str">
        <f>'INPUT DAFTAR PESERTA'!C39</f>
        <v>Nabil Candra Hartanto</v>
      </c>
      <c r="D39" s="27">
        <v>85.0</v>
      </c>
      <c r="E39" s="27">
        <v>78.0</v>
      </c>
      <c r="F39" s="27">
        <v>98.0</v>
      </c>
      <c r="G39" s="27">
        <v>92.0</v>
      </c>
      <c r="H39" s="27">
        <v>70.0</v>
      </c>
      <c r="I39" s="27">
        <v>100.0</v>
      </c>
      <c r="J39" s="27">
        <v>96.0</v>
      </c>
      <c r="K39" s="27">
        <v>90.0</v>
      </c>
      <c r="L39" s="33">
        <f t="shared" si="1"/>
        <v>88.625</v>
      </c>
    </row>
    <row r="40">
      <c r="A40" s="35">
        <f>'INPUT DAFTAR PESERTA'!A40</f>
        <v>37</v>
      </c>
      <c r="B40" s="36">
        <f>'INPUT DAFTAR PESERTA'!B40</f>
        <v>2509056025</v>
      </c>
      <c r="C40" s="37" t="str">
        <f>'INPUT DAFTAR PESERTA'!C40</f>
        <v>Muhammad Rifqi Ibnu Malik</v>
      </c>
      <c r="D40" s="38"/>
      <c r="E40" s="38"/>
      <c r="F40" s="38"/>
      <c r="G40" s="38"/>
      <c r="H40" s="38"/>
      <c r="I40" s="38"/>
      <c r="J40" s="38"/>
      <c r="K40" s="38"/>
      <c r="L40" s="33">
        <f t="shared" si="1"/>
        <v>0</v>
      </c>
    </row>
    <row r="41">
      <c r="A41" s="35">
        <f>'INPUT DAFTAR PESERTA'!A41</f>
        <v>38</v>
      </c>
      <c r="B41" s="36">
        <f>'INPUT DAFTAR PESERTA'!B41</f>
        <v>2509056026</v>
      </c>
      <c r="C41" s="37" t="str">
        <f>'INPUT DAFTAR PESERTA'!C41</f>
        <v>Aditya Alfiansyah</v>
      </c>
      <c r="D41" s="38"/>
      <c r="E41" s="38"/>
      <c r="F41" s="38"/>
      <c r="G41" s="38"/>
      <c r="H41" s="38"/>
      <c r="I41" s="38"/>
      <c r="J41" s="38"/>
      <c r="K41" s="38"/>
      <c r="L41" s="33">
        <f t="shared" si="1"/>
        <v>0</v>
      </c>
    </row>
    <row r="42">
      <c r="A42" s="7">
        <f>'INPUT DAFTAR PESERTA'!A42</f>
        <v>39</v>
      </c>
      <c r="B42" s="25">
        <f>'INPUT DAFTAR PESERTA'!B42</f>
        <v>2509056027</v>
      </c>
      <c r="C42" s="26" t="str">
        <f>'INPUT DAFTAR PESERTA'!C42</f>
        <v>Muhammad Syauqi Nail</v>
      </c>
      <c r="D42" s="27">
        <v>95.0</v>
      </c>
      <c r="E42" s="27">
        <v>91.0</v>
      </c>
      <c r="F42" s="27">
        <v>100.0</v>
      </c>
      <c r="G42" s="27">
        <v>90.0</v>
      </c>
      <c r="H42" s="27">
        <v>95.0</v>
      </c>
      <c r="I42" s="27">
        <v>80.0</v>
      </c>
      <c r="J42" s="27">
        <v>94.0</v>
      </c>
      <c r="K42" s="27">
        <v>90.0</v>
      </c>
      <c r="L42" s="33">
        <f t="shared" si="1"/>
        <v>91.875</v>
      </c>
    </row>
    <row r="43">
      <c r="A43" s="7">
        <f>'INPUT DAFTAR PESERTA'!A43</f>
        <v>40</v>
      </c>
      <c r="B43" s="25">
        <f>'INPUT DAFTAR PESERTA'!B43</f>
        <v>2509056028</v>
      </c>
      <c r="C43" s="26" t="str">
        <f>'INPUT DAFTAR PESERTA'!C43</f>
        <v>Muhammad Rizky Nugraha</v>
      </c>
      <c r="D43" s="27">
        <v>85.0</v>
      </c>
      <c r="E43" s="27">
        <v>85.0</v>
      </c>
      <c r="F43" s="27">
        <v>98.0</v>
      </c>
      <c r="G43" s="27">
        <v>92.0</v>
      </c>
      <c r="H43" s="27">
        <v>90.0</v>
      </c>
      <c r="I43" s="27">
        <v>100.0</v>
      </c>
      <c r="J43" s="27">
        <v>80.0</v>
      </c>
      <c r="K43" s="27">
        <v>80.0</v>
      </c>
      <c r="L43" s="33">
        <f t="shared" si="1"/>
        <v>88.75</v>
      </c>
    </row>
    <row r="44">
      <c r="A44" s="35">
        <f>'INPUT DAFTAR PESERTA'!A44</f>
        <v>41</v>
      </c>
      <c r="B44" s="36">
        <f>'INPUT DAFTAR PESERTA'!B44</f>
        <v>2509056029</v>
      </c>
      <c r="C44" s="37" t="str">
        <f>'INPUT DAFTAR PESERTA'!C44</f>
        <v>Reyska Bintang Afdillah</v>
      </c>
      <c r="D44" s="38"/>
      <c r="E44" s="38"/>
      <c r="F44" s="38"/>
      <c r="G44" s="38"/>
      <c r="H44" s="38"/>
      <c r="I44" s="38"/>
      <c r="J44" s="38"/>
      <c r="K44" s="38"/>
      <c r="L44" s="33">
        <f t="shared" si="1"/>
        <v>0</v>
      </c>
    </row>
    <row r="45">
      <c r="A45" s="7">
        <f>'INPUT DAFTAR PESERTA'!A45</f>
        <v>42</v>
      </c>
      <c r="B45" s="25">
        <f>'INPUT DAFTAR PESERTA'!B45</f>
        <v>2509056030</v>
      </c>
      <c r="C45" s="26" t="str">
        <f>'INPUT DAFTAR PESERTA'!C45</f>
        <v>Muhammad Elo</v>
      </c>
      <c r="D45" s="14">
        <v>73.0</v>
      </c>
      <c r="E45" s="27">
        <v>89.0</v>
      </c>
      <c r="F45" s="27">
        <v>100.0</v>
      </c>
      <c r="G45" s="27">
        <v>95.0</v>
      </c>
      <c r="H45" s="27">
        <v>80.0</v>
      </c>
      <c r="I45" s="27">
        <v>48.0</v>
      </c>
      <c r="J45" s="27">
        <v>85.0</v>
      </c>
      <c r="K45" s="27">
        <v>80.0</v>
      </c>
      <c r="L45" s="33">
        <f t="shared" si="1"/>
        <v>81.25</v>
      </c>
    </row>
    <row r="46">
      <c r="A46" s="7">
        <f>'INPUT DAFTAR PESERTA'!A46</f>
        <v>43</v>
      </c>
      <c r="B46" s="25">
        <f>'INPUT DAFTAR PESERTA'!B46</f>
        <v>2509056031</v>
      </c>
      <c r="C46" s="26" t="str">
        <f>'INPUT DAFTAR PESERTA'!C46</f>
        <v>Naufal Herdizza Akbar Ps</v>
      </c>
      <c r="D46" s="27">
        <v>96.0</v>
      </c>
      <c r="E46" s="27">
        <v>92.0</v>
      </c>
      <c r="F46" s="27">
        <v>100.0</v>
      </c>
      <c r="G46" s="27">
        <v>99.0</v>
      </c>
      <c r="H46" s="27">
        <v>80.0</v>
      </c>
      <c r="I46" s="27">
        <v>85.0</v>
      </c>
      <c r="J46" s="27">
        <v>96.0</v>
      </c>
      <c r="K46" s="27">
        <v>90.0</v>
      </c>
      <c r="L46" s="33">
        <f t="shared" si="1"/>
        <v>92.25</v>
      </c>
    </row>
    <row r="47">
      <c r="A47" s="29">
        <f>'INPUT DAFTAR PESERTA'!A47</f>
        <v>44</v>
      </c>
      <c r="B47" s="30">
        <f>'INPUT DAFTAR PESERTA'!B47</f>
        <v>2509056032</v>
      </c>
      <c r="C47" s="31" t="str">
        <f>'INPUT DAFTAR PESERTA'!C47</f>
        <v>Dea Mila Marsela</v>
      </c>
      <c r="D47" s="32"/>
      <c r="E47" s="34"/>
      <c r="F47" s="34"/>
      <c r="G47" s="34"/>
      <c r="H47" s="34"/>
      <c r="I47" s="32"/>
      <c r="J47" s="34"/>
      <c r="K47" s="34"/>
      <c r="L47" s="33">
        <f t="shared" si="1"/>
        <v>0</v>
      </c>
    </row>
    <row r="48">
      <c r="A48" s="7">
        <f>'INPUT DAFTAR PESERTA'!A48</f>
        <v>45</v>
      </c>
      <c r="B48" s="25">
        <f>'INPUT DAFTAR PESERTA'!B48</f>
        <v>2509056033</v>
      </c>
      <c r="C48" s="26" t="str">
        <f>'INPUT DAFTAR PESERTA'!C48</f>
        <v>Ahmad Salman Nur</v>
      </c>
      <c r="D48" s="27">
        <v>80.0</v>
      </c>
      <c r="E48" s="27">
        <v>89.0</v>
      </c>
      <c r="F48" s="27">
        <v>100.0</v>
      </c>
      <c r="G48" s="27">
        <v>98.0</v>
      </c>
      <c r="H48" s="27">
        <v>80.0</v>
      </c>
      <c r="I48" s="27">
        <v>85.0</v>
      </c>
      <c r="J48" s="27">
        <v>85.0</v>
      </c>
      <c r="K48" s="43">
        <v>90.0</v>
      </c>
      <c r="L48" s="33">
        <f t="shared" si="1"/>
        <v>88.375</v>
      </c>
    </row>
    <row r="49">
      <c r="A49" s="35">
        <f>'INPUT DAFTAR PESERTA'!A49</f>
        <v>46</v>
      </c>
      <c r="B49" s="36">
        <f>'INPUT DAFTAR PESERTA'!B49</f>
        <v>2509056035</v>
      </c>
      <c r="C49" s="37" t="str">
        <f>'INPUT DAFTAR PESERTA'!C49</f>
        <v>Syahputra Lumbantoruan</v>
      </c>
      <c r="D49" s="38"/>
      <c r="E49" s="38"/>
      <c r="F49" s="38"/>
      <c r="G49" s="38"/>
      <c r="H49" s="38"/>
      <c r="I49" s="38"/>
      <c r="J49" s="38"/>
      <c r="K49" s="38"/>
      <c r="L49" s="33">
        <f t="shared" si="1"/>
        <v>0</v>
      </c>
    </row>
    <row r="50">
      <c r="A50" s="35">
        <f>'INPUT DAFTAR PESERTA'!A50</f>
        <v>47</v>
      </c>
      <c r="B50" s="36">
        <f>'INPUT DAFTAR PESERTA'!B50</f>
        <v>2509056036</v>
      </c>
      <c r="C50" s="37" t="str">
        <f>'INPUT DAFTAR PESERTA'!C50</f>
        <v>Furqan Ahmad</v>
      </c>
      <c r="D50" s="38"/>
      <c r="E50" s="38"/>
      <c r="F50" s="38"/>
      <c r="G50" s="38"/>
      <c r="H50" s="38"/>
      <c r="I50" s="38"/>
      <c r="J50" s="38"/>
      <c r="K50" s="38"/>
      <c r="L50" s="33">
        <f t="shared" si="1"/>
        <v>0</v>
      </c>
    </row>
    <row r="51">
      <c r="A51" s="35">
        <f>'INPUT DAFTAR PESERTA'!A51</f>
        <v>48</v>
      </c>
      <c r="B51" s="36">
        <f>'INPUT DAFTAR PESERTA'!B51</f>
        <v>2509056037</v>
      </c>
      <c r="C51" s="37" t="str">
        <f>'INPUT DAFTAR PESERTA'!C51</f>
        <v>Muhammad An Naafi Zaini</v>
      </c>
      <c r="D51" s="38"/>
      <c r="E51" s="38"/>
      <c r="F51" s="38"/>
      <c r="G51" s="38"/>
      <c r="H51" s="38"/>
      <c r="I51" s="38"/>
      <c r="J51" s="38"/>
      <c r="K51" s="38"/>
      <c r="L51" s="33">
        <f t="shared" si="1"/>
        <v>0</v>
      </c>
    </row>
    <row r="52">
      <c r="A52" s="35">
        <f>'INPUT DAFTAR PESERTA'!A52</f>
        <v>49</v>
      </c>
      <c r="B52" s="36">
        <f>'INPUT DAFTAR PESERTA'!B52</f>
        <v>2509056038</v>
      </c>
      <c r="C52" s="37" t="str">
        <f>'INPUT DAFTAR PESERTA'!C52</f>
        <v>Muh. Afriansyah Syafani</v>
      </c>
      <c r="D52" s="38"/>
      <c r="E52" s="38"/>
      <c r="F52" s="38"/>
      <c r="G52" s="38"/>
      <c r="H52" s="38"/>
      <c r="I52" s="38"/>
      <c r="J52" s="38"/>
      <c r="K52" s="38"/>
      <c r="L52" s="33">
        <f t="shared" si="1"/>
        <v>0</v>
      </c>
    </row>
    <row r="53">
      <c r="A53" s="35">
        <f>'INPUT DAFTAR PESERTA'!A53</f>
        <v>50</v>
      </c>
      <c r="B53" s="36">
        <f>'INPUT DAFTAR PESERTA'!B53</f>
        <v>2509056039</v>
      </c>
      <c r="C53" s="37" t="str">
        <f>'INPUT DAFTAR PESERTA'!C53</f>
        <v>Evan Hizky Edward Juliano Sahata Manihuruk</v>
      </c>
      <c r="D53" s="38"/>
      <c r="E53" s="38"/>
      <c r="F53" s="38"/>
      <c r="G53" s="38"/>
      <c r="H53" s="38"/>
      <c r="I53" s="38"/>
      <c r="J53" s="38"/>
      <c r="K53" s="38"/>
      <c r="L53" s="33">
        <f t="shared" si="1"/>
        <v>0</v>
      </c>
    </row>
    <row r="54">
      <c r="A54" s="35">
        <f>'INPUT DAFTAR PESERTA'!A54</f>
        <v>51</v>
      </c>
      <c r="B54" s="36">
        <f>'INPUT DAFTAR PESERTA'!B54</f>
        <v>2509056040</v>
      </c>
      <c r="C54" s="37" t="str">
        <f>'INPUT DAFTAR PESERTA'!C54</f>
        <v>Rasya Ataullah Arnata</v>
      </c>
      <c r="D54" s="38"/>
      <c r="E54" s="38"/>
      <c r="F54" s="38"/>
      <c r="G54" s="38"/>
      <c r="H54" s="38"/>
      <c r="I54" s="38"/>
      <c r="J54" s="38"/>
      <c r="K54" s="38"/>
      <c r="L54" s="33">
        <f t="shared" si="1"/>
        <v>0</v>
      </c>
    </row>
    <row r="55">
      <c r="A55" s="7">
        <f>'INPUT DAFTAR PESERTA'!A55</f>
        <v>52</v>
      </c>
      <c r="B55" s="25">
        <f>'INPUT DAFTAR PESERTA'!B55</f>
        <v>2509056041</v>
      </c>
      <c r="C55" s="26" t="str">
        <f>'INPUT DAFTAR PESERTA'!C55</f>
        <v>Yadi Ramadani</v>
      </c>
      <c r="D55" s="27">
        <v>80.0</v>
      </c>
      <c r="E55" s="27">
        <v>80.0</v>
      </c>
      <c r="F55" s="27">
        <v>99.0</v>
      </c>
      <c r="G55" s="27">
        <v>87.0</v>
      </c>
      <c r="H55" s="27">
        <v>80.0</v>
      </c>
      <c r="I55" s="27">
        <v>100.0</v>
      </c>
      <c r="J55" s="27">
        <v>75.0</v>
      </c>
      <c r="K55" s="27">
        <v>90.0</v>
      </c>
      <c r="L55" s="33">
        <f t="shared" si="1"/>
        <v>86.375</v>
      </c>
    </row>
    <row r="56">
      <c r="A56" s="29">
        <f>'INPUT DAFTAR PESERTA'!A56</f>
        <v>53</v>
      </c>
      <c r="B56" s="30">
        <f>'INPUT DAFTAR PESERTA'!B56</f>
        <v>2509056042</v>
      </c>
      <c r="C56" s="31" t="str">
        <f>'INPUT DAFTAR PESERTA'!C56</f>
        <v>Muhammad Alief Adz Dzikry Abdillah</v>
      </c>
      <c r="D56" s="34"/>
      <c r="E56" s="34"/>
      <c r="F56" s="34"/>
      <c r="G56" s="34"/>
      <c r="H56" s="34"/>
      <c r="I56" s="34"/>
      <c r="J56" s="34"/>
      <c r="K56" s="34"/>
      <c r="L56" s="33">
        <f t="shared" si="1"/>
        <v>0</v>
      </c>
    </row>
    <row r="57">
      <c r="A57" s="7">
        <f>'INPUT DAFTAR PESERTA'!A57</f>
        <v>54</v>
      </c>
      <c r="B57" s="25">
        <f>'INPUT DAFTAR PESERTA'!B57</f>
        <v>2509056043</v>
      </c>
      <c r="C57" s="26" t="str">
        <f>'INPUT DAFTAR PESERTA'!C57</f>
        <v>Hubert Abraham Pranoto Sirait</v>
      </c>
      <c r="D57" s="27">
        <v>17.0</v>
      </c>
      <c r="E57" s="27">
        <v>43.0</v>
      </c>
      <c r="F57" s="27">
        <v>50.0</v>
      </c>
      <c r="G57" s="27">
        <v>47.0</v>
      </c>
      <c r="H57" s="27">
        <v>60.0</v>
      </c>
      <c r="I57" s="27">
        <v>10.0</v>
      </c>
      <c r="J57" s="27">
        <v>80.0</v>
      </c>
      <c r="K57" s="27">
        <v>60.0</v>
      </c>
      <c r="L57" s="33">
        <f t="shared" si="1"/>
        <v>45.875</v>
      </c>
    </row>
    <row r="58">
      <c r="A58" s="29">
        <f>'INPUT DAFTAR PESERTA'!A58</f>
        <v>55</v>
      </c>
      <c r="B58" s="30">
        <f>'INPUT DAFTAR PESERTA'!B58</f>
        <v>2509056044</v>
      </c>
      <c r="C58" s="31" t="str">
        <f>'INPUT DAFTAR PESERTA'!C58</f>
        <v>Indah Tessalonica</v>
      </c>
      <c r="D58" s="34"/>
      <c r="E58" s="34"/>
      <c r="F58" s="34"/>
      <c r="G58" s="34"/>
      <c r="H58" s="34"/>
      <c r="I58" s="34"/>
      <c r="J58" s="34"/>
      <c r="K58" s="34"/>
      <c r="L58" s="33">
        <f t="shared" si="1"/>
        <v>0</v>
      </c>
    </row>
    <row r="59">
      <c r="A59" s="29">
        <f>'INPUT DAFTAR PESERTA'!A59</f>
        <v>56</v>
      </c>
      <c r="B59" s="30">
        <f>'INPUT DAFTAR PESERTA'!B59</f>
        <v>2509056045</v>
      </c>
      <c r="C59" s="31" t="str">
        <f>'INPUT DAFTAR PESERTA'!C59</f>
        <v>Fahrizi Al Rosid</v>
      </c>
      <c r="D59" s="34"/>
      <c r="E59" s="34"/>
      <c r="F59" s="34"/>
      <c r="G59" s="34"/>
      <c r="H59" s="34"/>
      <c r="I59" s="34"/>
      <c r="J59" s="34"/>
      <c r="K59" s="34"/>
      <c r="L59" s="33">
        <f t="shared" si="1"/>
        <v>0</v>
      </c>
    </row>
    <row r="60">
      <c r="A60" s="29">
        <f>'INPUT DAFTAR PESERTA'!A60</f>
        <v>57</v>
      </c>
      <c r="B60" s="30">
        <f>'INPUT DAFTAR PESERTA'!B60</f>
        <v>2509056046</v>
      </c>
      <c r="C60" s="31" t="str">
        <f>'INPUT DAFTAR PESERTA'!C60</f>
        <v>Syadid Musoffa</v>
      </c>
      <c r="D60" s="34"/>
      <c r="E60" s="34"/>
      <c r="F60" s="34"/>
      <c r="G60" s="34"/>
      <c r="H60" s="34"/>
      <c r="I60" s="34"/>
      <c r="J60" s="34"/>
      <c r="K60" s="34"/>
      <c r="L60" s="33">
        <f t="shared" si="1"/>
        <v>0</v>
      </c>
    </row>
    <row r="61">
      <c r="A61" s="7">
        <f>'INPUT DAFTAR PESERTA'!A61</f>
        <v>58</v>
      </c>
      <c r="B61" s="25">
        <f>'INPUT DAFTAR PESERTA'!B61</f>
        <v>2509056047</v>
      </c>
      <c r="C61" s="26" t="str">
        <f>'INPUT DAFTAR PESERTA'!C61</f>
        <v>Oktovianus Sirante</v>
      </c>
      <c r="D61" s="27">
        <v>96.0</v>
      </c>
      <c r="E61" s="27">
        <v>90.0</v>
      </c>
      <c r="F61" s="27">
        <v>98.0</v>
      </c>
      <c r="G61" s="27">
        <v>92.0</v>
      </c>
      <c r="H61" s="27">
        <v>80.0</v>
      </c>
      <c r="I61" s="27">
        <v>90.0</v>
      </c>
      <c r="J61" s="27">
        <v>96.0</v>
      </c>
      <c r="K61" s="27">
        <v>98.0</v>
      </c>
      <c r="L61" s="33">
        <f t="shared" si="1"/>
        <v>92.5</v>
      </c>
    </row>
    <row r="62">
      <c r="A62" s="29">
        <f>'INPUT DAFTAR PESERTA'!A62</f>
        <v>59</v>
      </c>
      <c r="B62" s="30">
        <f>'INPUT DAFTAR PESERTA'!B62</f>
        <v>2509056048</v>
      </c>
      <c r="C62" s="31" t="str">
        <f>'INPUT DAFTAR PESERTA'!C62</f>
        <v>Cristover Rafael Milang</v>
      </c>
      <c r="D62" s="34"/>
      <c r="E62" s="34"/>
      <c r="F62" s="34"/>
      <c r="G62" s="34"/>
      <c r="H62" s="34"/>
      <c r="I62" s="34"/>
      <c r="J62" s="34"/>
      <c r="K62" s="34"/>
      <c r="L62" s="33">
        <f t="shared" si="1"/>
        <v>0</v>
      </c>
    </row>
    <row r="63">
      <c r="A63" s="7">
        <f>'INPUT DAFTAR PESERTA'!A63</f>
        <v>60</v>
      </c>
      <c r="B63" s="25">
        <f>'INPUT DAFTAR PESERTA'!B63</f>
        <v>2509056049</v>
      </c>
      <c r="C63" s="26" t="str">
        <f>'INPUT DAFTAR PESERTA'!C63</f>
        <v>Kevin Angeliano Jonathan</v>
      </c>
      <c r="D63" s="27">
        <v>86.0</v>
      </c>
      <c r="E63" s="27">
        <v>83.0</v>
      </c>
      <c r="F63" s="27">
        <v>99.0</v>
      </c>
      <c r="G63" s="27">
        <v>98.0</v>
      </c>
      <c r="H63" s="27">
        <v>80.0</v>
      </c>
      <c r="I63" s="27">
        <v>90.0</v>
      </c>
      <c r="J63" s="27">
        <v>94.0</v>
      </c>
      <c r="K63" s="27">
        <v>90.0</v>
      </c>
      <c r="L63" s="33">
        <f t="shared" si="1"/>
        <v>90</v>
      </c>
    </row>
    <row r="64">
      <c r="A64" s="29">
        <f>'INPUT DAFTAR PESERTA'!A64</f>
        <v>61</v>
      </c>
      <c r="B64" s="30">
        <f>'INPUT DAFTAR PESERTA'!B64</f>
        <v>2509056050</v>
      </c>
      <c r="C64" s="31" t="str">
        <f>'INPUT DAFTAR PESERTA'!C64</f>
        <v>Fajar Arif Suyanto</v>
      </c>
      <c r="D64" s="34"/>
      <c r="E64" s="34"/>
      <c r="F64" s="34"/>
      <c r="G64" s="34"/>
      <c r="H64" s="34"/>
      <c r="I64" s="34"/>
      <c r="J64" s="34"/>
      <c r="K64" s="34"/>
      <c r="L64" s="33">
        <f t="shared" si="1"/>
        <v>0</v>
      </c>
    </row>
    <row r="65">
      <c r="A65" s="7">
        <f>'INPUT DAFTAR PESERTA'!A65</f>
        <v>62</v>
      </c>
      <c r="B65" s="25">
        <f>'INPUT DAFTAR PESERTA'!B65</f>
        <v>2509056051</v>
      </c>
      <c r="C65" s="26" t="str">
        <f>'INPUT DAFTAR PESERTA'!C65</f>
        <v>Satria Rizla Marlanata</v>
      </c>
      <c r="D65" s="14">
        <v>90.0</v>
      </c>
      <c r="E65" s="27">
        <v>87.0</v>
      </c>
      <c r="F65" s="27">
        <v>99.0</v>
      </c>
      <c r="G65" s="27">
        <v>92.0</v>
      </c>
      <c r="H65" s="27">
        <v>90.0</v>
      </c>
      <c r="I65" s="27">
        <v>85.0</v>
      </c>
      <c r="J65" s="27">
        <v>95.0</v>
      </c>
      <c r="K65" s="27">
        <v>98.0</v>
      </c>
      <c r="L65" s="33">
        <f t="shared" si="1"/>
        <v>92</v>
      </c>
    </row>
    <row r="66">
      <c r="A66" s="29">
        <f>'INPUT DAFTAR PESERTA'!A66</f>
        <v>63</v>
      </c>
      <c r="B66" s="30">
        <f>'INPUT DAFTAR PESERTA'!B66</f>
        <v>2509056052</v>
      </c>
      <c r="C66" s="31" t="str">
        <f>'INPUT DAFTAR PESERTA'!C66</f>
        <v>Aulya Azhari</v>
      </c>
      <c r="D66" s="34"/>
      <c r="E66" s="34"/>
      <c r="F66" s="34"/>
      <c r="G66" s="34"/>
      <c r="H66" s="34"/>
      <c r="I66" s="34"/>
      <c r="J66" s="34"/>
      <c r="K66" s="34"/>
      <c r="L66" s="33">
        <f t="shared" si="1"/>
        <v>0</v>
      </c>
    </row>
    <row r="67">
      <c r="A67" s="7">
        <f>'INPUT DAFTAR PESERTA'!A67</f>
        <v>64</v>
      </c>
      <c r="B67" s="25">
        <f>'INPUT DAFTAR PESERTA'!B67</f>
        <v>2509056053</v>
      </c>
      <c r="C67" s="26" t="str">
        <f>'INPUT DAFTAR PESERTA'!C67</f>
        <v>Muhammad Farrel Ardiano</v>
      </c>
      <c r="D67" s="14">
        <v>58.0</v>
      </c>
      <c r="E67" s="27">
        <v>83.0</v>
      </c>
      <c r="F67" s="27">
        <v>100.0</v>
      </c>
      <c r="G67" s="27">
        <v>89.0</v>
      </c>
      <c r="H67" s="27">
        <v>90.0</v>
      </c>
      <c r="I67" s="27">
        <v>100.0</v>
      </c>
      <c r="J67" s="27">
        <v>96.0</v>
      </c>
      <c r="K67" s="27">
        <v>90.0</v>
      </c>
      <c r="L67" s="33">
        <f t="shared" si="1"/>
        <v>88.25</v>
      </c>
    </row>
    <row r="68">
      <c r="A68" s="7">
        <f>'INPUT DAFTAR PESERTA'!A68</f>
        <v>65</v>
      </c>
      <c r="B68" s="25">
        <f>'INPUT DAFTAR PESERTA'!B68</f>
        <v>2509056054</v>
      </c>
      <c r="C68" s="26" t="str">
        <f>'INPUT DAFTAR PESERTA'!C68</f>
        <v>Arlan Candra Antholyn</v>
      </c>
      <c r="D68" s="14">
        <v>90.0</v>
      </c>
      <c r="E68" s="27">
        <v>84.0</v>
      </c>
      <c r="F68" s="27">
        <v>98.0</v>
      </c>
      <c r="G68" s="27">
        <v>97.0</v>
      </c>
      <c r="H68" s="27">
        <v>80.0</v>
      </c>
      <c r="I68" s="27">
        <v>45.0</v>
      </c>
      <c r="J68" s="27">
        <v>95.0</v>
      </c>
      <c r="K68" s="27">
        <v>90.0</v>
      </c>
      <c r="L68" s="33">
        <f t="shared" si="1"/>
        <v>84.875</v>
      </c>
    </row>
    <row r="69">
      <c r="A69" s="7">
        <f>'INPUT DAFTAR PESERTA'!A69</f>
        <v>66</v>
      </c>
      <c r="B69" s="25">
        <f>'INPUT DAFTAR PESERTA'!B69</f>
        <v>2509056055</v>
      </c>
      <c r="C69" s="26" t="str">
        <f>'INPUT DAFTAR PESERTA'!C69</f>
        <v>Taufan Akbar Bunawan</v>
      </c>
      <c r="D69" s="27">
        <v>85.0</v>
      </c>
      <c r="E69" s="27">
        <v>86.0</v>
      </c>
      <c r="F69" s="27">
        <v>98.0</v>
      </c>
      <c r="G69" s="27">
        <v>96.0</v>
      </c>
      <c r="H69" s="27">
        <v>90.0</v>
      </c>
      <c r="I69" s="27">
        <v>100.0</v>
      </c>
      <c r="J69" s="27">
        <v>94.0</v>
      </c>
      <c r="K69" s="27">
        <v>90.0</v>
      </c>
      <c r="L69" s="33">
        <f t="shared" si="1"/>
        <v>92.375</v>
      </c>
    </row>
    <row r="70">
      <c r="A70" s="29">
        <f>'INPUT DAFTAR PESERTA'!A70</f>
        <v>67</v>
      </c>
      <c r="B70" s="30">
        <f>'INPUT DAFTAR PESERTA'!B70</f>
        <v>2509056056</v>
      </c>
      <c r="C70" s="31" t="str">
        <f>'INPUT DAFTAR PESERTA'!C70</f>
        <v>Mario Wildhan Wibisono</v>
      </c>
      <c r="D70" s="34"/>
      <c r="E70" s="34"/>
      <c r="F70" s="34"/>
      <c r="G70" s="34"/>
      <c r="H70" s="34"/>
      <c r="I70" s="34"/>
      <c r="J70" s="34"/>
      <c r="K70" s="34"/>
      <c r="L70" s="33">
        <f t="shared" si="1"/>
        <v>0</v>
      </c>
    </row>
    <row r="71">
      <c r="A71" s="7">
        <f>'INPUT DAFTAR PESERTA'!A71</f>
        <v>68</v>
      </c>
      <c r="B71" s="25">
        <f>'INPUT DAFTAR PESERTA'!B71</f>
        <v>2509056057</v>
      </c>
      <c r="C71" s="26" t="str">
        <f>'INPUT DAFTAR PESERTA'!C71</f>
        <v>Immanuel Wisnu Siahaan</v>
      </c>
      <c r="D71" s="27">
        <v>80.0</v>
      </c>
      <c r="E71" s="27">
        <v>98.0</v>
      </c>
      <c r="F71" s="27">
        <v>100.0</v>
      </c>
      <c r="G71" s="27">
        <v>99.0</v>
      </c>
      <c r="H71" s="27">
        <v>100.0</v>
      </c>
      <c r="I71" s="27">
        <v>100.0</v>
      </c>
      <c r="J71" s="27">
        <v>97.0</v>
      </c>
      <c r="K71" s="27">
        <v>98.0</v>
      </c>
      <c r="L71" s="33">
        <f t="shared" si="1"/>
        <v>96.5</v>
      </c>
    </row>
    <row r="72">
      <c r="A72" s="7">
        <f>'INPUT DAFTAR PESERTA'!A72</f>
        <v>69</v>
      </c>
      <c r="B72" s="25">
        <f>'INPUT DAFTAR PESERTA'!B72</f>
        <v>2509056058</v>
      </c>
      <c r="C72" s="26" t="str">
        <f>'INPUT DAFTAR PESERTA'!C72</f>
        <v>Hebron Ketter Pagalla'</v>
      </c>
      <c r="D72" s="27">
        <v>80.0</v>
      </c>
      <c r="E72" s="27">
        <v>46.0</v>
      </c>
      <c r="F72" s="27">
        <v>34.0</v>
      </c>
      <c r="G72" s="27">
        <v>52.0</v>
      </c>
      <c r="H72" s="27">
        <v>60.0</v>
      </c>
      <c r="I72" s="27">
        <v>0.0</v>
      </c>
      <c r="J72" s="27">
        <v>33.0</v>
      </c>
      <c r="K72" s="27">
        <v>70.0</v>
      </c>
      <c r="L72" s="33">
        <f t="shared" si="1"/>
        <v>46.875</v>
      </c>
    </row>
    <row r="73">
      <c r="A73" s="7">
        <f>'INPUT DAFTAR PESERTA'!A73</f>
        <v>70</v>
      </c>
      <c r="B73" s="25">
        <f>'INPUT DAFTAR PESERTA'!B73</f>
        <v>2509056059</v>
      </c>
      <c r="C73" s="26" t="str">
        <f>'INPUT DAFTAR PESERTA'!C73</f>
        <v>Wildan Akmal Zaky</v>
      </c>
      <c r="D73" s="27">
        <v>85.0</v>
      </c>
      <c r="E73" s="27">
        <v>79.0</v>
      </c>
      <c r="F73" s="27">
        <v>80.0</v>
      </c>
      <c r="G73" s="27">
        <v>86.0</v>
      </c>
      <c r="H73" s="27">
        <v>70.0</v>
      </c>
      <c r="I73" s="27">
        <v>80.0</v>
      </c>
      <c r="J73" s="27">
        <v>85.0</v>
      </c>
      <c r="K73" s="27">
        <v>80.0</v>
      </c>
      <c r="L73" s="33">
        <f t="shared" si="1"/>
        <v>80.625</v>
      </c>
    </row>
    <row r="74">
      <c r="A74" s="29">
        <f>'INPUT DAFTAR PESERTA'!A74</f>
        <v>71</v>
      </c>
      <c r="B74" s="30">
        <f>'INPUT DAFTAR PESERTA'!B74</f>
        <v>2509056060</v>
      </c>
      <c r="C74" s="31" t="str">
        <f>'INPUT DAFTAR PESERTA'!C74</f>
        <v>Daglish Santos Peke Deku</v>
      </c>
      <c r="D74" s="34"/>
      <c r="E74" s="34"/>
      <c r="F74" s="34"/>
      <c r="G74" s="34"/>
      <c r="H74" s="34"/>
      <c r="I74" s="34"/>
      <c r="J74" s="34"/>
      <c r="K74" s="34"/>
      <c r="L74" s="33">
        <f t="shared" si="1"/>
        <v>0</v>
      </c>
    </row>
    <row r="75">
      <c r="A75" s="7">
        <f>'INPUT DAFTAR PESERTA'!A75</f>
        <v>72</v>
      </c>
      <c r="B75" s="25">
        <f>'INPUT DAFTAR PESERTA'!B75</f>
        <v>2509056061</v>
      </c>
      <c r="C75" s="26" t="str">
        <f>'INPUT DAFTAR PESERTA'!C75</f>
        <v>Muhammad Yazid Ilmani</v>
      </c>
      <c r="D75" s="27">
        <v>85.0</v>
      </c>
      <c r="E75" s="27">
        <v>80.0</v>
      </c>
      <c r="F75" s="27">
        <v>98.0</v>
      </c>
      <c r="G75" s="27">
        <v>92.0</v>
      </c>
      <c r="H75" s="27">
        <v>95.0</v>
      </c>
      <c r="I75" s="27">
        <v>100.0</v>
      </c>
      <c r="J75" s="27">
        <v>90.0</v>
      </c>
      <c r="K75" s="27">
        <v>95.0</v>
      </c>
      <c r="L75" s="33">
        <f t="shared" si="1"/>
        <v>91.875</v>
      </c>
    </row>
    <row r="76">
      <c r="A76" s="39">
        <f>'INPUT DAFTAR PESERTA'!A76</f>
        <v>73</v>
      </c>
      <c r="B76" s="40">
        <f>'INPUT DAFTAR PESERTA'!B76</f>
        <v>2509056062</v>
      </c>
      <c r="C76" s="41" t="str">
        <f>'INPUT DAFTAR PESERTA'!C76</f>
        <v>Reyhan Feryand Tandililing</v>
      </c>
      <c r="D76" s="42">
        <v>57.0</v>
      </c>
      <c r="E76" s="42">
        <v>35.0</v>
      </c>
      <c r="F76" s="42">
        <v>15.0</v>
      </c>
      <c r="G76" s="42">
        <v>32.0</v>
      </c>
      <c r="H76" s="42">
        <v>50.0</v>
      </c>
      <c r="I76" s="42">
        <v>23.5</v>
      </c>
      <c r="J76" s="42">
        <v>40.0</v>
      </c>
      <c r="K76" s="42">
        <v>50.0</v>
      </c>
      <c r="L76" s="33">
        <f t="shared" si="1"/>
        <v>37.8125</v>
      </c>
    </row>
    <row r="77">
      <c r="A77" s="35">
        <f>'INPUT DAFTAR PESERTA'!A77</f>
        <v>74</v>
      </c>
      <c r="B77" s="36">
        <f>'INPUT DAFTAR PESERTA'!B77</f>
        <v>2509056063</v>
      </c>
      <c r="C77" s="37" t="str">
        <f>'INPUT DAFTAR PESERTA'!C77</f>
        <v>Riski Apryanto</v>
      </c>
      <c r="D77" s="38"/>
      <c r="E77" s="38"/>
      <c r="F77" s="38"/>
      <c r="G77" s="38"/>
      <c r="H77" s="38"/>
      <c r="I77" s="38"/>
      <c r="J77" s="38"/>
      <c r="K77" s="38"/>
      <c r="L77" s="33">
        <f t="shared" si="1"/>
        <v>0</v>
      </c>
    </row>
    <row r="78">
      <c r="A78" s="7">
        <f>'INPUT DAFTAR PESERTA'!A78</f>
        <v>75</v>
      </c>
      <c r="B78" s="25">
        <f>'INPUT DAFTAR PESERTA'!B78</f>
        <v>2509056064</v>
      </c>
      <c r="C78" s="26" t="str">
        <f>'INPUT DAFTAR PESERTA'!C78</f>
        <v>Dina Molitha Dwi Manggarani</v>
      </c>
      <c r="D78" s="14">
        <v>74.0</v>
      </c>
      <c r="E78" s="27">
        <v>92.0</v>
      </c>
      <c r="F78" s="27">
        <v>98.0</v>
      </c>
      <c r="G78" s="27">
        <v>93.0</v>
      </c>
      <c r="H78" s="27">
        <v>90.0</v>
      </c>
      <c r="I78" s="27">
        <v>100.0</v>
      </c>
      <c r="J78" s="27">
        <v>96.0</v>
      </c>
      <c r="K78" s="27">
        <v>100.0</v>
      </c>
      <c r="L78" s="33">
        <f t="shared" si="1"/>
        <v>92.875</v>
      </c>
    </row>
    <row r="79">
      <c r="A79" s="7">
        <f>'INPUT DAFTAR PESERTA'!A79</f>
        <v>76</v>
      </c>
      <c r="B79" s="25">
        <f>'INPUT DAFTAR PESERTA'!B79</f>
        <v>2509056065</v>
      </c>
      <c r="C79" s="26" t="str">
        <f>'INPUT DAFTAR PESERTA'!C79</f>
        <v>Ahmad Dival Halim</v>
      </c>
      <c r="D79" s="27">
        <v>88.0</v>
      </c>
      <c r="E79" s="27">
        <v>90.0</v>
      </c>
      <c r="F79" s="27">
        <v>98.0</v>
      </c>
      <c r="G79" s="27">
        <v>90.0</v>
      </c>
      <c r="H79" s="27">
        <v>80.0</v>
      </c>
      <c r="I79" s="27">
        <v>100.0</v>
      </c>
      <c r="J79" s="27">
        <v>75.0</v>
      </c>
      <c r="K79" s="27">
        <v>95.0</v>
      </c>
      <c r="L79" s="33">
        <f t="shared" si="1"/>
        <v>89.5</v>
      </c>
    </row>
    <row r="80">
      <c r="A80" s="7">
        <f>'INPUT DAFTAR PESERTA'!A80</f>
        <v>77</v>
      </c>
      <c r="B80" s="25">
        <f>'INPUT DAFTAR PESERTA'!B80</f>
        <v>2509056066</v>
      </c>
      <c r="C80" s="26" t="str">
        <f>'INPUT DAFTAR PESERTA'!C80</f>
        <v>Sultan Islamy Pasha</v>
      </c>
      <c r="D80" s="14">
        <v>47.0</v>
      </c>
      <c r="E80" s="27">
        <v>81.0</v>
      </c>
      <c r="F80" s="27">
        <v>98.0</v>
      </c>
      <c r="G80" s="27">
        <v>92.0</v>
      </c>
      <c r="H80" s="27">
        <v>80.0</v>
      </c>
      <c r="I80" s="27">
        <v>85.0</v>
      </c>
      <c r="J80" s="27">
        <v>97.0</v>
      </c>
      <c r="K80" s="27">
        <v>90.0</v>
      </c>
      <c r="L80" s="33">
        <f t="shared" si="1"/>
        <v>83.75</v>
      </c>
    </row>
    <row r="81">
      <c r="A81" s="35">
        <f>'INPUT DAFTAR PESERTA'!A81</f>
        <v>78</v>
      </c>
      <c r="B81" s="36">
        <f>'INPUT DAFTAR PESERTA'!B81</f>
        <v>2509056069</v>
      </c>
      <c r="C81" s="37" t="str">
        <f>'INPUT DAFTAR PESERTA'!C81</f>
        <v>Reyhan Resqy Pratama</v>
      </c>
      <c r="D81" s="38"/>
      <c r="E81" s="38"/>
      <c r="F81" s="38"/>
      <c r="G81" s="38"/>
      <c r="H81" s="38"/>
      <c r="I81" s="38"/>
      <c r="J81" s="38"/>
      <c r="K81" s="38"/>
      <c r="L81" s="33">
        <f t="shared" si="1"/>
        <v>0</v>
      </c>
    </row>
    <row r="82">
      <c r="A82" s="35">
        <f>'INPUT DAFTAR PESERTA'!A82</f>
        <v>79</v>
      </c>
      <c r="B82" s="36">
        <f>'INPUT DAFTAR PESERTA'!B82</f>
        <v>2509056070</v>
      </c>
      <c r="C82" s="37" t="str">
        <f>'INPUT DAFTAR PESERTA'!C82</f>
        <v>Riendri Novtrianto Luden</v>
      </c>
      <c r="D82" s="38"/>
      <c r="E82" s="38"/>
      <c r="F82" s="38"/>
      <c r="G82" s="38"/>
      <c r="H82" s="38"/>
      <c r="I82" s="38"/>
      <c r="J82" s="38"/>
      <c r="K82" s="38"/>
      <c r="L82" s="33">
        <f t="shared" si="1"/>
        <v>0</v>
      </c>
    </row>
    <row r="83">
      <c r="A83" s="35">
        <f>'INPUT DAFTAR PESERTA'!A83</f>
        <v>80</v>
      </c>
      <c r="B83" s="36">
        <f>'INPUT DAFTAR PESERTA'!B83</f>
        <v>2509056071</v>
      </c>
      <c r="C83" s="37" t="str">
        <f>'INPUT DAFTAR PESERTA'!C83</f>
        <v>Ergie Yehezkiel Simanjuntak</v>
      </c>
      <c r="D83" s="38"/>
      <c r="E83" s="38"/>
      <c r="F83" s="38"/>
      <c r="G83" s="38"/>
      <c r="H83" s="38"/>
      <c r="I83" s="38"/>
      <c r="J83" s="38"/>
      <c r="K83" s="38"/>
      <c r="L83" s="33">
        <f t="shared" si="1"/>
        <v>0</v>
      </c>
    </row>
    <row r="84">
      <c r="A84" s="35">
        <f>'INPUT DAFTAR PESERTA'!A84</f>
        <v>81</v>
      </c>
      <c r="B84" s="36">
        <f>'INPUT DAFTAR PESERTA'!B84</f>
        <v>2509056072</v>
      </c>
      <c r="C84" s="37" t="str">
        <f>'INPUT DAFTAR PESERTA'!C84</f>
        <v>Nobergotardo .A</v>
      </c>
      <c r="D84" s="38"/>
      <c r="E84" s="38"/>
      <c r="F84" s="38"/>
      <c r="G84" s="38"/>
      <c r="H84" s="38"/>
      <c r="I84" s="38"/>
      <c r="J84" s="38"/>
      <c r="K84" s="38"/>
      <c r="L84" s="33">
        <f t="shared" si="1"/>
        <v>0</v>
      </c>
    </row>
    <row r="85">
      <c r="A85" s="35">
        <f>'INPUT DAFTAR PESERTA'!A85</f>
        <v>82</v>
      </c>
      <c r="B85" s="36">
        <f>'INPUT DAFTAR PESERTA'!B85</f>
        <v>2509056073</v>
      </c>
      <c r="C85" s="37" t="str">
        <f>'INPUT DAFTAR PESERTA'!C85</f>
        <v>Rasikhah Fitri</v>
      </c>
      <c r="D85" s="38"/>
      <c r="E85" s="38"/>
      <c r="F85" s="38"/>
      <c r="G85" s="38"/>
      <c r="H85" s="38"/>
      <c r="I85" s="38"/>
      <c r="J85" s="38"/>
      <c r="K85" s="38"/>
      <c r="L85" s="33">
        <f t="shared" si="1"/>
        <v>0</v>
      </c>
    </row>
    <row r="86">
      <c r="A86" s="35">
        <f>'INPUT DAFTAR PESERTA'!A86</f>
        <v>83</v>
      </c>
      <c r="B86" s="36">
        <f>'INPUT DAFTAR PESERTA'!B86</f>
        <v>2509056075</v>
      </c>
      <c r="C86" s="37" t="str">
        <f>'INPUT DAFTAR PESERTA'!C86</f>
        <v>Cantika Salwa Hanifa</v>
      </c>
      <c r="D86" s="38"/>
      <c r="E86" s="38"/>
      <c r="F86" s="38"/>
      <c r="G86" s="38"/>
      <c r="H86" s="38"/>
      <c r="I86" s="44"/>
      <c r="J86" s="38"/>
      <c r="K86" s="38"/>
      <c r="L86" s="33">
        <f t="shared" si="1"/>
        <v>0</v>
      </c>
    </row>
    <row r="87">
      <c r="A87" s="7">
        <f>'INPUT DAFTAR PESERTA'!A87</f>
        <v>84</v>
      </c>
      <c r="B87" s="25">
        <f>'INPUT DAFTAR PESERTA'!B87</f>
        <v>2509056076</v>
      </c>
      <c r="C87" s="26" t="str">
        <f>'INPUT DAFTAR PESERTA'!C87</f>
        <v>Andi Arief Bintang</v>
      </c>
      <c r="D87" s="27">
        <v>90.0</v>
      </c>
      <c r="E87" s="27">
        <v>53.0</v>
      </c>
      <c r="F87" s="27">
        <v>85.0</v>
      </c>
      <c r="G87" s="27">
        <v>87.0</v>
      </c>
      <c r="H87" s="27">
        <v>60.0</v>
      </c>
      <c r="I87" s="27">
        <v>40.0</v>
      </c>
      <c r="J87" s="27">
        <v>75.0</v>
      </c>
      <c r="K87" s="27">
        <v>95.0</v>
      </c>
      <c r="L87" s="33">
        <f t="shared" si="1"/>
        <v>73.125</v>
      </c>
    </row>
    <row r="88">
      <c r="A88" s="35">
        <f>'INPUT DAFTAR PESERTA'!A88</f>
        <v>85</v>
      </c>
      <c r="B88" s="36">
        <f>'INPUT DAFTAR PESERTA'!B88</f>
        <v>2509056077</v>
      </c>
      <c r="C88" s="37" t="str">
        <f>'INPUT DAFTAR PESERTA'!C88</f>
        <v>Al Hamdan</v>
      </c>
      <c r="D88" s="38"/>
      <c r="E88" s="38"/>
      <c r="F88" s="38"/>
      <c r="G88" s="38"/>
      <c r="H88" s="38"/>
      <c r="I88" s="38"/>
      <c r="J88" s="38"/>
      <c r="K88" s="38"/>
      <c r="L88" s="33">
        <f t="shared" si="1"/>
        <v>0</v>
      </c>
    </row>
    <row r="89">
      <c r="A89" s="35">
        <f>'INPUT DAFTAR PESERTA'!A89</f>
        <v>86</v>
      </c>
      <c r="B89" s="35">
        <f>'INPUT DAFTAR PESERTA'!B89</f>
        <v>2509056074</v>
      </c>
      <c r="C89" s="37" t="str">
        <f>'INPUT DAFTAR PESERTA'!C89</f>
        <v>Andi Muhammad Caeril Irfan</v>
      </c>
      <c r="D89" s="38"/>
      <c r="E89" s="38"/>
      <c r="F89" s="38"/>
      <c r="G89" s="44"/>
      <c r="H89" s="38"/>
      <c r="I89" s="38"/>
      <c r="J89" s="38"/>
      <c r="K89" s="38"/>
      <c r="L89" s="33">
        <f t="shared" si="1"/>
        <v>0</v>
      </c>
    </row>
    <row r="90">
      <c r="A90" s="45" t="s">
        <v>119</v>
      </c>
      <c r="L90" s="46">
        <f>COUNTIF(L4:L89, 0)</f>
        <v>47</v>
      </c>
    </row>
    <row r="98">
      <c r="A98" s="18" t="str">
        <f>'INPUT DAFTAR PESERTA'!A98</f>
        <v/>
      </c>
      <c r="B98" s="18"/>
    </row>
    <row r="99">
      <c r="A99" s="18" t="str">
        <f>'INPUT DAFTAR PESERTA'!A99</f>
        <v/>
      </c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  <row r="1000">
      <c r="A1000" s="18"/>
      <c r="B1000" s="18"/>
    </row>
  </sheetData>
  <mergeCells count="6">
    <mergeCell ref="A2:A3"/>
    <mergeCell ref="B2:B3"/>
    <mergeCell ref="C2:C3"/>
    <mergeCell ref="D2:K2"/>
    <mergeCell ref="L2:L3"/>
    <mergeCell ref="A90:K9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13"/>
    <col customWidth="1" min="3" max="3" width="35.5"/>
  </cols>
  <sheetData>
    <row r="1">
      <c r="A1" s="47" t="s">
        <v>120</v>
      </c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19" t="s">
        <v>1</v>
      </c>
      <c r="B3" s="19" t="s">
        <v>121</v>
      </c>
      <c r="C3" s="19" t="s">
        <v>3</v>
      </c>
      <c r="D3" s="50" t="s">
        <v>122</v>
      </c>
      <c r="E3" s="21"/>
      <c r="F3" s="21"/>
      <c r="G3" s="21"/>
      <c r="H3" s="21"/>
      <c r="I3" s="21"/>
      <c r="J3" s="21"/>
      <c r="K3" s="22"/>
      <c r="L3" s="51" t="s">
        <v>110</v>
      </c>
      <c r="M3" s="51" t="s">
        <v>123</v>
      </c>
      <c r="N3" s="19" t="s">
        <v>48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23"/>
      <c r="B4" s="23"/>
      <c r="C4" s="23"/>
      <c r="D4" s="24" t="s">
        <v>111</v>
      </c>
      <c r="E4" s="24" t="s">
        <v>112</v>
      </c>
      <c r="F4" s="24" t="s">
        <v>113</v>
      </c>
      <c r="G4" s="24" t="s">
        <v>114</v>
      </c>
      <c r="H4" s="24" t="s">
        <v>115</v>
      </c>
      <c r="I4" s="24" t="s">
        <v>116</v>
      </c>
      <c r="J4" s="24" t="s">
        <v>117</v>
      </c>
      <c r="K4" s="24" t="s">
        <v>118</v>
      </c>
      <c r="L4" s="52">
        <v>0.5</v>
      </c>
      <c r="M4" s="52">
        <v>0.5</v>
      </c>
      <c r="N4" s="23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7">
        <f>'INPUT DAFTAR PESERTA'!A4</f>
        <v>1</v>
      </c>
      <c r="B5" s="25">
        <f>'INPUT DAFTAR PESERTA'!B4</f>
        <v>2309056046</v>
      </c>
      <c r="C5" s="53" t="str">
        <f>'INPUT DAFTAR PESERTA'!C4</f>
        <v>Erwin</v>
      </c>
      <c r="D5" s="14">
        <v>50.0</v>
      </c>
      <c r="E5" s="14">
        <v>0.0</v>
      </c>
      <c r="F5" s="14">
        <v>0.0</v>
      </c>
      <c r="G5" s="14">
        <v>0.0</v>
      </c>
      <c r="H5" s="14">
        <v>70.0</v>
      </c>
      <c r="I5" s="14">
        <v>0.0</v>
      </c>
      <c r="J5" s="14">
        <v>0.0</v>
      </c>
      <c r="K5" s="14">
        <v>0.0</v>
      </c>
      <c r="L5" s="54">
        <f t="shared" ref="L5:L69" si="1">(D5+E5+F5+G5+H5+I5+J5+K5)/8</f>
        <v>15</v>
      </c>
      <c r="M5" s="54">
        <f>'LAPORAN RESMI'!L4</f>
        <v>39.375</v>
      </c>
      <c r="N5" s="54">
        <f t="shared" ref="N5:N90" si="2">(L5*$L$4)+(M5*$M$4)</f>
        <v>27.1875</v>
      </c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7">
        <f>'INPUT DAFTAR PESERTA'!A5</f>
        <v>2</v>
      </c>
      <c r="B6" s="25">
        <f>'INPUT DAFTAR PESERTA'!B5</f>
        <v>2409056015</v>
      </c>
      <c r="C6" s="53" t="str">
        <f>'INPUT DAFTAR PESERTA'!C5</f>
        <v>Denny Setiawan</v>
      </c>
      <c r="D6" s="14"/>
      <c r="E6" s="14"/>
      <c r="F6" s="14"/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54">
        <f t="shared" si="1"/>
        <v>0</v>
      </c>
      <c r="M6" s="54">
        <f>'LAPORAN RESMI'!L5</f>
        <v>0</v>
      </c>
      <c r="N6" s="54">
        <f t="shared" si="2"/>
        <v>0</v>
      </c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7">
        <f>'INPUT DAFTAR PESERTA'!A6</f>
        <v>3</v>
      </c>
      <c r="B7" s="25">
        <f>'INPUT DAFTAR PESERTA'!B6</f>
        <v>2409056031</v>
      </c>
      <c r="C7" s="53" t="str">
        <f>'INPUT DAFTAR PESERTA'!C6</f>
        <v>Rahmad Oka Aufa Ramadan</v>
      </c>
      <c r="D7" s="7"/>
      <c r="E7" s="7"/>
      <c r="F7" s="7"/>
      <c r="G7" s="14">
        <v>0.0</v>
      </c>
      <c r="H7" s="14">
        <v>0.0</v>
      </c>
      <c r="I7" s="14">
        <v>0.0</v>
      </c>
      <c r="J7" s="7"/>
      <c r="K7" s="14">
        <v>0.0</v>
      </c>
      <c r="L7" s="54">
        <f t="shared" si="1"/>
        <v>0</v>
      </c>
      <c r="M7" s="54">
        <f>'LAPORAN RESMI'!L6</f>
        <v>0</v>
      </c>
      <c r="N7" s="54">
        <f t="shared" si="2"/>
        <v>0</v>
      </c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7">
        <f>'INPUT DAFTAR PESERTA'!A7</f>
        <v>4</v>
      </c>
      <c r="B8" s="25">
        <f>'INPUT DAFTAR PESERTA'!B7</f>
        <v>2409056032</v>
      </c>
      <c r="C8" s="53" t="str">
        <f>'INPUT DAFTAR PESERTA'!C7</f>
        <v>Stewa Syaifa Bakhid</v>
      </c>
      <c r="D8" s="7"/>
      <c r="E8" s="7"/>
      <c r="F8" s="7"/>
      <c r="G8" s="14">
        <v>0.0</v>
      </c>
      <c r="H8" s="14">
        <v>0.0</v>
      </c>
      <c r="I8" s="14">
        <v>0.0</v>
      </c>
      <c r="J8" s="7"/>
      <c r="K8" s="14">
        <v>0.0</v>
      </c>
      <c r="L8" s="54">
        <f t="shared" si="1"/>
        <v>0</v>
      </c>
      <c r="M8" s="54">
        <f>'LAPORAN RESMI'!L7</f>
        <v>0</v>
      </c>
      <c r="N8" s="54">
        <f t="shared" si="2"/>
        <v>0</v>
      </c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7">
        <f>'INPUT DAFTAR PESERTA'!A8</f>
        <v>5</v>
      </c>
      <c r="B9" s="25">
        <f>'INPUT DAFTAR PESERTA'!B8</f>
        <v>2409056033</v>
      </c>
      <c r="C9" s="53" t="str">
        <f>'INPUT DAFTAR PESERTA'!C8</f>
        <v>Adnan Fadil Annur</v>
      </c>
      <c r="D9" s="14">
        <v>85.0</v>
      </c>
      <c r="E9" s="7"/>
      <c r="F9" s="7"/>
      <c r="G9" s="14">
        <v>0.0</v>
      </c>
      <c r="H9" s="14">
        <v>0.0</v>
      </c>
      <c r="I9" s="14">
        <v>0.0</v>
      </c>
      <c r="J9" s="7"/>
      <c r="K9" s="14">
        <v>0.0</v>
      </c>
      <c r="L9" s="54">
        <f t="shared" si="1"/>
        <v>10.625</v>
      </c>
      <c r="M9" s="54">
        <f>'LAPORAN RESMI'!L8</f>
        <v>0</v>
      </c>
      <c r="N9" s="54">
        <f t="shared" si="2"/>
        <v>5.3125</v>
      </c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7">
        <f>'INPUT DAFTAR PESERTA'!A9</f>
        <v>6</v>
      </c>
      <c r="B10" s="25">
        <f>'INPUT DAFTAR PESERTA'!B9</f>
        <v>2409056039</v>
      </c>
      <c r="C10" s="53" t="str">
        <f>'INPUT DAFTAR PESERTA'!C9</f>
        <v>Muhammad Hasbi Ash Shiddieqy</v>
      </c>
      <c r="D10" s="7"/>
      <c r="E10" s="7"/>
      <c r="F10" s="7"/>
      <c r="G10" s="14">
        <v>0.0</v>
      </c>
      <c r="H10" s="14">
        <v>0.0</v>
      </c>
      <c r="I10" s="14">
        <v>0.0</v>
      </c>
      <c r="J10" s="7"/>
      <c r="K10" s="14">
        <v>0.0</v>
      </c>
      <c r="L10" s="54">
        <f t="shared" si="1"/>
        <v>0</v>
      </c>
      <c r="M10" s="54">
        <f>'LAPORAN RESMI'!L9</f>
        <v>0</v>
      </c>
      <c r="N10" s="54">
        <f t="shared" si="2"/>
        <v>0</v>
      </c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7">
        <f>'INPUT DAFTAR PESERTA'!A10</f>
        <v>7</v>
      </c>
      <c r="B11" s="25">
        <f>'INPUT DAFTAR PESERTA'!B10</f>
        <v>2409056044</v>
      </c>
      <c r="C11" s="53" t="str">
        <f>'INPUT DAFTAR PESERTA'!C10</f>
        <v>Siti Aisyah Hasanah</v>
      </c>
      <c r="D11" s="7"/>
      <c r="E11" s="7"/>
      <c r="F11" s="7"/>
      <c r="G11" s="14">
        <v>0.0</v>
      </c>
      <c r="H11" s="14">
        <v>0.0</v>
      </c>
      <c r="I11" s="14">
        <v>0.0</v>
      </c>
      <c r="J11" s="7"/>
      <c r="K11" s="14">
        <v>0.0</v>
      </c>
      <c r="L11" s="54">
        <f t="shared" si="1"/>
        <v>0</v>
      </c>
      <c r="M11" s="54">
        <f>'LAPORAN RESMI'!L10</f>
        <v>0</v>
      </c>
      <c r="N11" s="54">
        <f t="shared" si="2"/>
        <v>0</v>
      </c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7">
        <f>'INPUT DAFTAR PESERTA'!A11</f>
        <v>8</v>
      </c>
      <c r="B12" s="25">
        <f>'INPUT DAFTAR PESERTA'!B11</f>
        <v>2409056047</v>
      </c>
      <c r="C12" s="53" t="str">
        <f>'INPUT DAFTAR PESERTA'!C11</f>
        <v>D’arch Hweng Junior</v>
      </c>
      <c r="D12" s="7"/>
      <c r="E12" s="7"/>
      <c r="F12" s="7"/>
      <c r="G12" s="14">
        <v>0.0</v>
      </c>
      <c r="H12" s="14">
        <v>0.0</v>
      </c>
      <c r="I12" s="14">
        <v>0.0</v>
      </c>
      <c r="J12" s="7"/>
      <c r="K12" s="14">
        <v>0.0</v>
      </c>
      <c r="L12" s="54">
        <f t="shared" si="1"/>
        <v>0</v>
      </c>
      <c r="M12" s="54">
        <f>'LAPORAN RESMI'!L11</f>
        <v>0</v>
      </c>
      <c r="N12" s="54">
        <f t="shared" si="2"/>
        <v>0</v>
      </c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7">
        <f>'INPUT DAFTAR PESERTA'!A12</f>
        <v>9</v>
      </c>
      <c r="B13" s="25">
        <f>'INPUT DAFTAR PESERTA'!B12</f>
        <v>2409056052</v>
      </c>
      <c r="C13" s="53" t="str">
        <f>'INPUT DAFTAR PESERTA'!C12</f>
        <v>Andi Syaifullah Al Maslulil Agri</v>
      </c>
      <c r="D13" s="7"/>
      <c r="E13" s="7"/>
      <c r="F13" s="7"/>
      <c r="G13" s="14">
        <v>0.0</v>
      </c>
      <c r="H13" s="14">
        <v>0.0</v>
      </c>
      <c r="I13" s="14">
        <v>0.0</v>
      </c>
      <c r="J13" s="7"/>
      <c r="K13" s="14">
        <v>0.0</v>
      </c>
      <c r="L13" s="54">
        <f t="shared" si="1"/>
        <v>0</v>
      </c>
      <c r="M13" s="54">
        <f>'LAPORAN RESMI'!L12</f>
        <v>0</v>
      </c>
      <c r="N13" s="54">
        <f t="shared" si="2"/>
        <v>0</v>
      </c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">
        <f>'INPUT DAFTAR PESERTA'!A13</f>
        <v>10</v>
      </c>
      <c r="B14" s="25">
        <f>'INPUT DAFTAR PESERTA'!B13</f>
        <v>2409056058</v>
      </c>
      <c r="C14" s="53" t="str">
        <f>'INPUT DAFTAR PESERTA'!C13</f>
        <v>Andre Pratama</v>
      </c>
      <c r="D14" s="7"/>
      <c r="E14" s="7"/>
      <c r="F14" s="7"/>
      <c r="G14" s="14">
        <v>0.0</v>
      </c>
      <c r="H14" s="14">
        <v>0.0</v>
      </c>
      <c r="I14" s="14">
        <v>0.0</v>
      </c>
      <c r="J14" s="7"/>
      <c r="K14" s="14">
        <v>0.0</v>
      </c>
      <c r="L14" s="54">
        <f t="shared" si="1"/>
        <v>0</v>
      </c>
      <c r="M14" s="54">
        <f>'LAPORAN RESMI'!L13</f>
        <v>0</v>
      </c>
      <c r="N14" s="54">
        <f t="shared" si="2"/>
        <v>0</v>
      </c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7">
        <f>'INPUT DAFTAR PESERTA'!A14</f>
        <v>11</v>
      </c>
      <c r="B15" s="25">
        <f>'INPUT DAFTAR PESERTA'!B14</f>
        <v>2409056067</v>
      </c>
      <c r="C15" s="53" t="str">
        <f>'INPUT DAFTAR PESERTA'!C14</f>
        <v>Andi Afif Najib Abdillah</v>
      </c>
      <c r="D15" s="7"/>
      <c r="E15" s="7"/>
      <c r="F15" s="7"/>
      <c r="G15" s="14">
        <v>0.0</v>
      </c>
      <c r="H15" s="14">
        <v>0.0</v>
      </c>
      <c r="I15" s="14">
        <v>0.0</v>
      </c>
      <c r="J15" s="7"/>
      <c r="K15" s="14">
        <v>0.0</v>
      </c>
      <c r="L15" s="54">
        <f t="shared" si="1"/>
        <v>0</v>
      </c>
      <c r="M15" s="54">
        <f>'LAPORAN RESMI'!L14</f>
        <v>0</v>
      </c>
      <c r="N15" s="54">
        <f t="shared" si="2"/>
        <v>0</v>
      </c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7">
        <f>'INPUT DAFTAR PESERTA'!A15</f>
        <v>12</v>
      </c>
      <c r="B16" s="25">
        <f>'INPUT DAFTAR PESERTA'!B15</f>
        <v>2409056068</v>
      </c>
      <c r="C16" s="53" t="str">
        <f>'INPUT DAFTAR PESERTA'!C15</f>
        <v>Christianus Gonzaga</v>
      </c>
      <c r="D16" s="7"/>
      <c r="E16" s="7"/>
      <c r="F16" s="7"/>
      <c r="G16" s="14">
        <v>0.0</v>
      </c>
      <c r="H16" s="14">
        <v>0.0</v>
      </c>
      <c r="I16" s="14">
        <v>0.0</v>
      </c>
      <c r="J16" s="7"/>
      <c r="K16" s="14">
        <v>0.0</v>
      </c>
      <c r="L16" s="54">
        <f t="shared" si="1"/>
        <v>0</v>
      </c>
      <c r="M16" s="54">
        <f>'LAPORAN RESMI'!L15</f>
        <v>0</v>
      </c>
      <c r="N16" s="54">
        <f t="shared" si="2"/>
        <v>0</v>
      </c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7">
        <f>'INPUT DAFTAR PESERTA'!A16</f>
        <v>13</v>
      </c>
      <c r="B17" s="25">
        <f>'INPUT DAFTAR PESERTA'!B16</f>
        <v>2509056001</v>
      </c>
      <c r="C17" s="53" t="str">
        <f>'INPUT DAFTAR PESERTA'!C16</f>
        <v>Mutiara Suci Rahmadani</v>
      </c>
      <c r="D17" s="14">
        <v>50.0</v>
      </c>
      <c r="E17" s="14">
        <v>57.0</v>
      </c>
      <c r="F17" s="14">
        <v>71.0</v>
      </c>
      <c r="G17" s="14">
        <v>84.0</v>
      </c>
      <c r="H17" s="14">
        <v>37.0</v>
      </c>
      <c r="I17" s="14">
        <v>36.0</v>
      </c>
      <c r="J17" s="14">
        <v>91.0</v>
      </c>
      <c r="K17" s="14">
        <v>49.0</v>
      </c>
      <c r="L17" s="54">
        <f t="shared" si="1"/>
        <v>59.375</v>
      </c>
      <c r="M17" s="54">
        <f>'LAPORAN RESMI'!L16</f>
        <v>93.75</v>
      </c>
      <c r="N17" s="54">
        <f t="shared" si="2"/>
        <v>76.5625</v>
      </c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7">
        <f>'INPUT DAFTAR PESERTA'!A17</f>
        <v>14</v>
      </c>
      <c r="B18" s="25">
        <f>'INPUT DAFTAR PESERTA'!B17</f>
        <v>2509056002</v>
      </c>
      <c r="C18" s="53" t="str">
        <f>'INPUT DAFTAR PESERTA'!C17</f>
        <v>Adhwa Ghinna Febrianty</v>
      </c>
      <c r="D18" s="14">
        <v>75.0</v>
      </c>
      <c r="E18" s="14">
        <v>41.0</v>
      </c>
      <c r="F18" s="14">
        <v>81.0</v>
      </c>
      <c r="G18" s="14">
        <v>70.0</v>
      </c>
      <c r="H18" s="14">
        <v>0.0</v>
      </c>
      <c r="I18" s="14">
        <v>48.0</v>
      </c>
      <c r="J18" s="14">
        <v>49.0</v>
      </c>
      <c r="K18" s="14">
        <v>0.0</v>
      </c>
      <c r="L18" s="54">
        <f t="shared" si="1"/>
        <v>45.5</v>
      </c>
      <c r="M18" s="54">
        <f>'LAPORAN RESMI'!L17</f>
        <v>93.5</v>
      </c>
      <c r="N18" s="54">
        <f t="shared" si="2"/>
        <v>69.5</v>
      </c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7">
        <f>'INPUT DAFTAR PESERTA'!A18</f>
        <v>15</v>
      </c>
      <c r="B19" s="25">
        <f>'INPUT DAFTAR PESERTA'!B18</f>
        <v>2509056003</v>
      </c>
      <c r="C19" s="53" t="str">
        <f>'INPUT DAFTAR PESERTA'!C18</f>
        <v>Muhammad Daffa Alifiansyah</v>
      </c>
      <c r="D19" s="14">
        <v>65.0</v>
      </c>
      <c r="E19" s="14">
        <v>83.0</v>
      </c>
      <c r="F19" s="14">
        <v>79.0</v>
      </c>
      <c r="G19" s="14">
        <v>81.0</v>
      </c>
      <c r="H19" s="14">
        <v>0.0</v>
      </c>
      <c r="I19" s="14">
        <v>26.0</v>
      </c>
      <c r="J19" s="14">
        <v>89.0</v>
      </c>
      <c r="K19" s="14">
        <v>0.0</v>
      </c>
      <c r="L19" s="54">
        <f t="shared" si="1"/>
        <v>52.875</v>
      </c>
      <c r="M19" s="54">
        <f>'LAPORAN RESMI'!L18</f>
        <v>83.75</v>
      </c>
      <c r="N19" s="54">
        <f t="shared" si="2"/>
        <v>68.3125</v>
      </c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7">
        <f>'INPUT DAFTAR PESERTA'!A19</f>
        <v>16</v>
      </c>
      <c r="B20" s="25">
        <f>'INPUT DAFTAR PESERTA'!B19</f>
        <v>2509056004</v>
      </c>
      <c r="C20" s="53" t="str">
        <f>'INPUT DAFTAR PESERTA'!C19</f>
        <v>Adya Nur Adzhuriva</v>
      </c>
      <c r="D20" s="7"/>
      <c r="E20" s="7"/>
      <c r="F20" s="7"/>
      <c r="G20" s="14">
        <v>0.0</v>
      </c>
      <c r="H20" s="14">
        <v>0.0</v>
      </c>
      <c r="I20" s="14">
        <v>5.0</v>
      </c>
      <c r="J20" s="7"/>
      <c r="K20" s="14">
        <v>0.0</v>
      </c>
      <c r="L20" s="54">
        <f t="shared" si="1"/>
        <v>0.625</v>
      </c>
      <c r="M20" s="54">
        <f>'LAPORAN RESMI'!L19</f>
        <v>0</v>
      </c>
      <c r="N20" s="54">
        <f t="shared" si="2"/>
        <v>0.3125</v>
      </c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7">
        <f>'INPUT DAFTAR PESERTA'!A20</f>
        <v>17</v>
      </c>
      <c r="B21" s="25">
        <f>'INPUT DAFTAR PESERTA'!B20</f>
        <v>2509056005</v>
      </c>
      <c r="C21" s="53" t="str">
        <f>'INPUT DAFTAR PESERTA'!C20</f>
        <v>Cheva Fasha Prathama</v>
      </c>
      <c r="D21" s="7"/>
      <c r="E21" s="7"/>
      <c r="F21" s="7"/>
      <c r="G21" s="14">
        <v>0.0</v>
      </c>
      <c r="H21" s="14">
        <v>0.0</v>
      </c>
      <c r="I21" s="14">
        <v>0.0</v>
      </c>
      <c r="J21" s="7"/>
      <c r="K21" s="14">
        <v>0.0</v>
      </c>
      <c r="L21" s="54">
        <f t="shared" si="1"/>
        <v>0</v>
      </c>
      <c r="M21" s="54">
        <f>'LAPORAN RESMI'!L20</f>
        <v>0</v>
      </c>
      <c r="N21" s="54">
        <f t="shared" si="2"/>
        <v>0</v>
      </c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7">
        <f>'INPUT DAFTAR PESERTA'!A21</f>
        <v>18</v>
      </c>
      <c r="B22" s="25">
        <f>'INPUT DAFTAR PESERTA'!B21</f>
        <v>2509056006</v>
      </c>
      <c r="C22" s="53" t="str">
        <f>'INPUT DAFTAR PESERTA'!C21</f>
        <v>Muhammad Zaki Fadillah</v>
      </c>
      <c r="D22" s="7"/>
      <c r="E22" s="7"/>
      <c r="F22" s="7"/>
      <c r="G22" s="14">
        <v>0.0</v>
      </c>
      <c r="H22" s="14">
        <v>0.0</v>
      </c>
      <c r="I22" s="14">
        <v>0.0</v>
      </c>
      <c r="J22" s="7"/>
      <c r="K22" s="14">
        <v>0.0</v>
      </c>
      <c r="L22" s="54">
        <f t="shared" si="1"/>
        <v>0</v>
      </c>
      <c r="M22" s="54">
        <f>'LAPORAN RESMI'!L21</f>
        <v>0</v>
      </c>
      <c r="N22" s="54">
        <f t="shared" si="2"/>
        <v>0</v>
      </c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7">
        <f>'INPUT DAFTAR PESERTA'!A22</f>
        <v>19</v>
      </c>
      <c r="B23" s="25">
        <f>'INPUT DAFTAR PESERTA'!B22</f>
        <v>2509056007</v>
      </c>
      <c r="C23" s="53" t="str">
        <f>'INPUT DAFTAR PESERTA'!C22</f>
        <v>Widdyanti Fetrina Sefriany</v>
      </c>
      <c r="D23" s="7"/>
      <c r="E23" s="7"/>
      <c r="F23" s="7"/>
      <c r="G23" s="14">
        <v>0.0</v>
      </c>
      <c r="H23" s="14">
        <v>0.0</v>
      </c>
      <c r="I23" s="14">
        <v>0.0</v>
      </c>
      <c r="J23" s="7"/>
      <c r="K23" s="14">
        <v>0.0</v>
      </c>
      <c r="L23" s="54">
        <f t="shared" si="1"/>
        <v>0</v>
      </c>
      <c r="M23" s="54">
        <f>'LAPORAN RESMI'!L22</f>
        <v>0</v>
      </c>
      <c r="N23" s="54">
        <f t="shared" si="2"/>
        <v>0</v>
      </c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7">
        <f>'INPUT DAFTAR PESERTA'!A23</f>
        <v>20</v>
      </c>
      <c r="B24" s="25">
        <f>'INPUT DAFTAR PESERTA'!B23</f>
        <v>2509056008</v>
      </c>
      <c r="C24" s="53" t="str">
        <f>'INPUT DAFTAR PESERTA'!C23</f>
        <v>Gita Mufidatuzahrah</v>
      </c>
      <c r="D24" s="14">
        <v>47.0</v>
      </c>
      <c r="E24" s="7"/>
      <c r="F24" s="7"/>
      <c r="G24" s="14">
        <v>0.0</v>
      </c>
      <c r="H24" s="14">
        <v>0.0</v>
      </c>
      <c r="I24" s="14">
        <v>0.0</v>
      </c>
      <c r="J24" s="14">
        <v>28.0</v>
      </c>
      <c r="K24" s="14">
        <v>0.0</v>
      </c>
      <c r="L24" s="54">
        <f t="shared" si="1"/>
        <v>9.375</v>
      </c>
      <c r="M24" s="54">
        <f>'LAPORAN RESMI'!L23</f>
        <v>0</v>
      </c>
      <c r="N24" s="54">
        <f t="shared" si="2"/>
        <v>4.6875</v>
      </c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7">
        <f>'INPUT DAFTAR PESERTA'!A24</f>
        <v>21</v>
      </c>
      <c r="B25" s="25">
        <f>'INPUT DAFTAR PESERTA'!B24</f>
        <v>2509056009</v>
      </c>
      <c r="C25" s="53" t="str">
        <f>'INPUT DAFTAR PESERTA'!C24</f>
        <v>Muhammad Hersal Ramadhan</v>
      </c>
      <c r="D25" s="14">
        <v>47.0</v>
      </c>
      <c r="E25" s="14">
        <v>50.0</v>
      </c>
      <c r="F25" s="14">
        <v>83.0</v>
      </c>
      <c r="G25" s="14">
        <v>76.0</v>
      </c>
      <c r="H25" s="14">
        <v>77.0</v>
      </c>
      <c r="I25" s="14">
        <v>0.0</v>
      </c>
      <c r="J25" s="14">
        <v>0.0</v>
      </c>
      <c r="K25" s="14">
        <v>0.0</v>
      </c>
      <c r="L25" s="54">
        <f t="shared" si="1"/>
        <v>41.625</v>
      </c>
      <c r="M25" s="54">
        <f>'LAPORAN RESMI'!L24</f>
        <v>89</v>
      </c>
      <c r="N25" s="54">
        <f t="shared" si="2"/>
        <v>65.3125</v>
      </c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7">
        <f>'INPUT DAFTAR PESERTA'!A25</f>
        <v>22</v>
      </c>
      <c r="B26" s="25">
        <f>'INPUT DAFTAR PESERTA'!B25</f>
        <v>2509056010</v>
      </c>
      <c r="C26" s="53" t="str">
        <f>'INPUT DAFTAR PESERTA'!C25</f>
        <v>Chikal Fattiya Putri</v>
      </c>
      <c r="D26" s="7"/>
      <c r="E26" s="7"/>
      <c r="F26" s="7"/>
      <c r="G26" s="14">
        <v>0.0</v>
      </c>
      <c r="H26" s="14">
        <v>28.0</v>
      </c>
      <c r="I26" s="14">
        <v>25.0</v>
      </c>
      <c r="J26" s="14">
        <v>48.0</v>
      </c>
      <c r="K26" s="14">
        <v>0.0</v>
      </c>
      <c r="L26" s="54">
        <f t="shared" si="1"/>
        <v>12.625</v>
      </c>
      <c r="M26" s="54">
        <f>'LAPORAN RESMI'!L25</f>
        <v>0</v>
      </c>
      <c r="N26" s="54">
        <f t="shared" si="2"/>
        <v>6.3125</v>
      </c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7">
        <f>'INPUT DAFTAR PESERTA'!A26</f>
        <v>23</v>
      </c>
      <c r="B27" s="25">
        <f>'INPUT DAFTAR PESERTA'!B26</f>
        <v>2509056011</v>
      </c>
      <c r="C27" s="53" t="str">
        <f>'INPUT DAFTAR PESERTA'!C26</f>
        <v>Muhammad Daffa Lailitama Sinaga</v>
      </c>
      <c r="D27" s="14">
        <v>75.0</v>
      </c>
      <c r="E27" s="14">
        <v>0.0</v>
      </c>
      <c r="F27" s="14">
        <v>75.0</v>
      </c>
      <c r="G27" s="14">
        <v>95.0</v>
      </c>
      <c r="H27" s="14">
        <v>93.0</v>
      </c>
      <c r="I27" s="14">
        <v>49.0</v>
      </c>
      <c r="J27" s="14">
        <v>87.0</v>
      </c>
      <c r="K27" s="14">
        <v>28.0</v>
      </c>
      <c r="L27" s="54">
        <f t="shared" si="1"/>
        <v>62.75</v>
      </c>
      <c r="M27" s="54">
        <f>'LAPORAN RESMI'!L26</f>
        <v>96.75</v>
      </c>
      <c r="N27" s="54">
        <f t="shared" si="2"/>
        <v>79.75</v>
      </c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7">
        <f>'INPUT DAFTAR PESERTA'!A27</f>
        <v>24</v>
      </c>
      <c r="B28" s="25">
        <f>'INPUT DAFTAR PESERTA'!B27</f>
        <v>2509056012</v>
      </c>
      <c r="C28" s="53" t="str">
        <f>'INPUT DAFTAR PESERTA'!C27</f>
        <v>Sera Ayu Ningsih</v>
      </c>
      <c r="D28" s="14">
        <v>0.0</v>
      </c>
      <c r="E28" s="14">
        <v>0.0</v>
      </c>
      <c r="F28" s="14">
        <v>0.0</v>
      </c>
      <c r="G28" s="14">
        <v>70.0</v>
      </c>
      <c r="H28" s="14">
        <v>30.0</v>
      </c>
      <c r="I28" s="14">
        <v>31.0</v>
      </c>
      <c r="J28" s="14">
        <v>62.0</v>
      </c>
      <c r="K28" s="14">
        <v>0.0</v>
      </c>
      <c r="L28" s="54">
        <f t="shared" si="1"/>
        <v>24.125</v>
      </c>
      <c r="M28" s="54">
        <f>'LAPORAN RESMI'!L27</f>
        <v>58.625</v>
      </c>
      <c r="N28" s="54">
        <f t="shared" si="2"/>
        <v>41.375</v>
      </c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7">
        <f>'INPUT DAFTAR PESERTA'!A28</f>
        <v>25</v>
      </c>
      <c r="B29" s="25">
        <f>'INPUT DAFTAR PESERTA'!B28</f>
        <v>2509056013</v>
      </c>
      <c r="C29" s="53" t="str">
        <f>'INPUT DAFTAR PESERTA'!C28</f>
        <v>Naufal Firdaus Syauqi</v>
      </c>
      <c r="D29" s="14">
        <v>72.0</v>
      </c>
      <c r="E29" s="7"/>
      <c r="F29" s="14">
        <v>36.0</v>
      </c>
      <c r="G29" s="14">
        <v>66.0</v>
      </c>
      <c r="H29" s="14">
        <v>45.0</v>
      </c>
      <c r="I29" s="14">
        <v>29.0</v>
      </c>
      <c r="J29" s="14">
        <v>62.0</v>
      </c>
      <c r="K29" s="14">
        <v>60.0</v>
      </c>
      <c r="L29" s="54">
        <f t="shared" si="1"/>
        <v>46.25</v>
      </c>
      <c r="M29" s="54">
        <f>'LAPORAN RESMI'!L28</f>
        <v>89.875</v>
      </c>
      <c r="N29" s="54">
        <f t="shared" si="2"/>
        <v>68.0625</v>
      </c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">
        <f>'INPUT DAFTAR PESERTA'!A29</f>
        <v>26</v>
      </c>
      <c r="B30" s="25">
        <f>'INPUT DAFTAR PESERTA'!B29</f>
        <v>2509056014</v>
      </c>
      <c r="C30" s="53" t="str">
        <f>'INPUT DAFTAR PESERTA'!C29</f>
        <v>Alexander Radja Roben Saragih</v>
      </c>
      <c r="D30" s="14">
        <v>83.0</v>
      </c>
      <c r="E30" s="14">
        <v>51.0</v>
      </c>
      <c r="F30" s="14">
        <v>98.0</v>
      </c>
      <c r="G30" s="14">
        <v>93.0</v>
      </c>
      <c r="H30" s="14">
        <v>90.0</v>
      </c>
      <c r="I30" s="14">
        <v>93.0</v>
      </c>
      <c r="J30" s="14">
        <v>84.0</v>
      </c>
      <c r="K30" s="14">
        <v>75.0</v>
      </c>
      <c r="L30" s="54">
        <f t="shared" si="1"/>
        <v>83.375</v>
      </c>
      <c r="M30" s="54">
        <f>'LAPORAN RESMI'!L29</f>
        <v>95.875</v>
      </c>
      <c r="N30" s="54">
        <f t="shared" si="2"/>
        <v>89.625</v>
      </c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7">
        <f>'INPUT DAFTAR PESERTA'!A30</f>
        <v>27</v>
      </c>
      <c r="B31" s="25">
        <f>'INPUT DAFTAR PESERTA'!B30</f>
        <v>2509056015</v>
      </c>
      <c r="C31" s="53" t="str">
        <f>'INPUT DAFTAR PESERTA'!C30</f>
        <v>Tiara Aqila Azzahra</v>
      </c>
      <c r="D31" s="14">
        <v>48.0</v>
      </c>
      <c r="E31" s="14">
        <v>64.0</v>
      </c>
      <c r="F31" s="14">
        <v>44.0</v>
      </c>
      <c r="G31" s="14">
        <v>82.0</v>
      </c>
      <c r="H31" s="14">
        <v>92.0</v>
      </c>
      <c r="I31" s="14">
        <v>39.0</v>
      </c>
      <c r="J31" s="14">
        <v>74.0</v>
      </c>
      <c r="K31" s="14">
        <v>60.0</v>
      </c>
      <c r="L31" s="54">
        <f t="shared" si="1"/>
        <v>62.875</v>
      </c>
      <c r="M31" s="54">
        <f>'LAPORAN RESMI'!L30</f>
        <v>93.625</v>
      </c>
      <c r="N31" s="54">
        <f t="shared" si="2"/>
        <v>78.25</v>
      </c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7">
        <f>'INPUT DAFTAR PESERTA'!A31</f>
        <v>28</v>
      </c>
      <c r="B32" s="25">
        <f>'INPUT DAFTAR PESERTA'!B31</f>
        <v>2509056016</v>
      </c>
      <c r="C32" s="53" t="str">
        <f>'INPUT DAFTAR PESERTA'!C31</f>
        <v>Muhammad Haikal Islamy Saputra</v>
      </c>
      <c r="D32" s="14">
        <v>0.0</v>
      </c>
      <c r="E32" s="14">
        <v>36.0</v>
      </c>
      <c r="F32" s="14">
        <v>0.0</v>
      </c>
      <c r="G32" s="14">
        <v>71.0</v>
      </c>
      <c r="H32" s="14">
        <v>38.0</v>
      </c>
      <c r="I32" s="14">
        <v>24.0</v>
      </c>
      <c r="J32" s="14">
        <v>74.0</v>
      </c>
      <c r="K32" s="14">
        <v>63.0</v>
      </c>
      <c r="L32" s="54">
        <f t="shared" si="1"/>
        <v>38.25</v>
      </c>
      <c r="M32" s="54">
        <f>'LAPORAN RESMI'!L31</f>
        <v>88.625</v>
      </c>
      <c r="N32" s="54">
        <f t="shared" si="2"/>
        <v>63.4375</v>
      </c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7">
        <f>'INPUT DAFTAR PESERTA'!A32</f>
        <v>29</v>
      </c>
      <c r="B33" s="25">
        <f>'INPUT DAFTAR PESERTA'!B32</f>
        <v>2509056017</v>
      </c>
      <c r="C33" s="53" t="str">
        <f>'INPUT DAFTAR PESERTA'!C32</f>
        <v>Faatihur Rizki</v>
      </c>
      <c r="D33" s="14">
        <v>0.0</v>
      </c>
      <c r="E33" s="14">
        <v>0.0</v>
      </c>
      <c r="F33" s="14">
        <v>29.0</v>
      </c>
      <c r="G33" s="14">
        <v>57.0</v>
      </c>
      <c r="H33" s="14">
        <v>50.0</v>
      </c>
      <c r="I33" s="14">
        <v>54.0</v>
      </c>
      <c r="J33" s="14">
        <v>61.0</v>
      </c>
      <c r="K33" s="14">
        <v>57.0</v>
      </c>
      <c r="L33" s="54">
        <f t="shared" si="1"/>
        <v>38.5</v>
      </c>
      <c r="M33" s="54">
        <f>'LAPORAN RESMI'!L32</f>
        <v>94.25</v>
      </c>
      <c r="N33" s="54">
        <f t="shared" si="2"/>
        <v>66.375</v>
      </c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7">
        <f>'INPUT DAFTAR PESERTA'!A33</f>
        <v>30</v>
      </c>
      <c r="B34" s="25">
        <f>'INPUT DAFTAR PESERTA'!B33</f>
        <v>2509056018</v>
      </c>
      <c r="C34" s="53" t="str">
        <f>'INPUT DAFTAR PESERTA'!C33</f>
        <v>Rashya Annara Salsabilla Tomasoa</v>
      </c>
      <c r="D34" s="14">
        <v>63.0</v>
      </c>
      <c r="E34" s="14">
        <v>88.0</v>
      </c>
      <c r="F34" s="14">
        <v>85.0</v>
      </c>
      <c r="G34" s="14">
        <v>87.0</v>
      </c>
      <c r="H34" s="14">
        <v>88.0</v>
      </c>
      <c r="I34" s="14">
        <v>44.0</v>
      </c>
      <c r="J34" s="14">
        <v>86.0</v>
      </c>
      <c r="K34" s="14">
        <v>0.0</v>
      </c>
      <c r="L34" s="54">
        <f t="shared" si="1"/>
        <v>67.625</v>
      </c>
      <c r="M34" s="54">
        <f>'LAPORAN RESMI'!L33</f>
        <v>95.625</v>
      </c>
      <c r="N34" s="54">
        <f t="shared" si="2"/>
        <v>81.625</v>
      </c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7">
        <f>'INPUT DAFTAR PESERTA'!A34</f>
        <v>31</v>
      </c>
      <c r="B35" s="25">
        <f>'INPUT DAFTAR PESERTA'!B34</f>
        <v>2509056019</v>
      </c>
      <c r="C35" s="53" t="str">
        <f>'INPUT DAFTAR PESERTA'!C34</f>
        <v>Desta Novie Sulfianie</v>
      </c>
      <c r="D35" s="7"/>
      <c r="E35" s="14">
        <v>0.0</v>
      </c>
      <c r="F35" s="14">
        <v>43.0</v>
      </c>
      <c r="G35" s="14">
        <v>0.0</v>
      </c>
      <c r="H35" s="14">
        <v>40.0</v>
      </c>
      <c r="I35" s="14">
        <v>30.0</v>
      </c>
      <c r="J35" s="7"/>
      <c r="K35" s="14">
        <v>0.0</v>
      </c>
      <c r="L35" s="54">
        <f t="shared" si="1"/>
        <v>14.125</v>
      </c>
      <c r="M35" s="54">
        <f>'LAPORAN RESMI'!L34</f>
        <v>0</v>
      </c>
      <c r="N35" s="54">
        <f t="shared" si="2"/>
        <v>7.0625</v>
      </c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7">
        <f>'INPUT DAFTAR PESERTA'!A35</f>
        <v>32</v>
      </c>
      <c r="B36" s="25">
        <f>'INPUT DAFTAR PESERTA'!B35</f>
        <v>2509056020</v>
      </c>
      <c r="C36" s="53" t="str">
        <f>'INPUT DAFTAR PESERTA'!C35</f>
        <v>Chandra Ahmad Dwinata</v>
      </c>
      <c r="D36" s="7"/>
      <c r="E36" s="14">
        <v>0.0</v>
      </c>
      <c r="F36" s="14">
        <v>30.0</v>
      </c>
      <c r="G36" s="14">
        <v>26.0</v>
      </c>
      <c r="H36" s="14">
        <v>68.0</v>
      </c>
      <c r="I36" s="14">
        <v>5.0</v>
      </c>
      <c r="J36" s="14">
        <v>23.0</v>
      </c>
      <c r="K36" s="14">
        <v>17.0</v>
      </c>
      <c r="L36" s="54">
        <f t="shared" si="1"/>
        <v>21.125</v>
      </c>
      <c r="M36" s="54">
        <f>'LAPORAN RESMI'!L35</f>
        <v>33.25</v>
      </c>
      <c r="N36" s="54">
        <f t="shared" si="2"/>
        <v>27.1875</v>
      </c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7">
        <f>'INPUT DAFTAR PESERTA'!A36</f>
        <v>33</v>
      </c>
      <c r="B37" s="25">
        <f>'INPUT DAFTAR PESERTA'!B36</f>
        <v>2509056021</v>
      </c>
      <c r="C37" s="53" t="str">
        <f>'INPUT DAFTAR PESERTA'!C36</f>
        <v>Sopando Imanuel Sipayung</v>
      </c>
      <c r="D37" s="14">
        <v>77.0</v>
      </c>
      <c r="E37" s="14">
        <v>94.0</v>
      </c>
      <c r="F37" s="14">
        <v>63.0</v>
      </c>
      <c r="G37" s="14">
        <v>56.0</v>
      </c>
      <c r="H37" s="14">
        <v>75.0</v>
      </c>
      <c r="I37" s="14">
        <v>77.0</v>
      </c>
      <c r="J37" s="14">
        <v>71.0</v>
      </c>
      <c r="K37" s="14">
        <v>0.0</v>
      </c>
      <c r="L37" s="54">
        <f t="shared" si="1"/>
        <v>64.125</v>
      </c>
      <c r="M37" s="54">
        <f>'LAPORAN RESMI'!L36</f>
        <v>92</v>
      </c>
      <c r="N37" s="54">
        <f t="shared" si="2"/>
        <v>78.0625</v>
      </c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7">
        <f>'INPUT DAFTAR PESERTA'!A37</f>
        <v>34</v>
      </c>
      <c r="B38" s="25">
        <f>'INPUT DAFTAR PESERTA'!B37</f>
        <v>2509056022</v>
      </c>
      <c r="C38" s="53" t="str">
        <f>'INPUT DAFTAR PESERTA'!C37</f>
        <v>Rayhan Winata Prabowo</v>
      </c>
      <c r="D38" s="14">
        <v>0.0</v>
      </c>
      <c r="E38" s="14">
        <v>55.0</v>
      </c>
      <c r="F38" s="14">
        <v>44.0</v>
      </c>
      <c r="G38" s="14">
        <v>81.0</v>
      </c>
      <c r="H38" s="14">
        <v>21.0</v>
      </c>
      <c r="I38" s="14">
        <v>19.0</v>
      </c>
      <c r="J38" s="14">
        <v>45.0</v>
      </c>
      <c r="K38" s="14">
        <v>53.0</v>
      </c>
      <c r="L38" s="54">
        <f t="shared" si="1"/>
        <v>39.75</v>
      </c>
      <c r="M38" s="54">
        <f>'LAPORAN RESMI'!L37</f>
        <v>92.125</v>
      </c>
      <c r="N38" s="54">
        <f t="shared" si="2"/>
        <v>65.9375</v>
      </c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7">
        <f>'INPUT DAFTAR PESERTA'!A38</f>
        <v>35</v>
      </c>
      <c r="B39" s="25">
        <f>'INPUT DAFTAR PESERTA'!B38</f>
        <v>2509056023</v>
      </c>
      <c r="C39" s="53" t="str">
        <f>'INPUT DAFTAR PESERTA'!C38</f>
        <v>Ahmad Din Nejad</v>
      </c>
      <c r="D39" s="7"/>
      <c r="E39" s="14">
        <v>0.0</v>
      </c>
      <c r="F39" s="7"/>
      <c r="G39" s="14">
        <v>0.0</v>
      </c>
      <c r="H39" s="14">
        <v>0.0</v>
      </c>
      <c r="I39" s="14">
        <v>0.0</v>
      </c>
      <c r="J39" s="7"/>
      <c r="K39" s="14">
        <v>0.0</v>
      </c>
      <c r="L39" s="54">
        <f t="shared" si="1"/>
        <v>0</v>
      </c>
      <c r="M39" s="54">
        <f>'LAPORAN RESMI'!L38</f>
        <v>0</v>
      </c>
      <c r="N39" s="54">
        <f t="shared" si="2"/>
        <v>0</v>
      </c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7">
        <f>'INPUT DAFTAR PESERTA'!A39</f>
        <v>36</v>
      </c>
      <c r="B40" s="25">
        <f>'INPUT DAFTAR PESERTA'!B39</f>
        <v>2509056024</v>
      </c>
      <c r="C40" s="53" t="str">
        <f>'INPUT DAFTAR PESERTA'!C39</f>
        <v>Nabil Candra Hartanto</v>
      </c>
      <c r="D40" s="14">
        <v>57.0</v>
      </c>
      <c r="E40" s="14">
        <v>0.0</v>
      </c>
      <c r="F40" s="14">
        <v>71.0</v>
      </c>
      <c r="G40" s="14">
        <v>0.0</v>
      </c>
      <c r="H40" s="14">
        <v>0.0</v>
      </c>
      <c r="I40" s="14">
        <v>38.0</v>
      </c>
      <c r="J40" s="14">
        <v>31.0</v>
      </c>
      <c r="K40" s="14">
        <v>0.0</v>
      </c>
      <c r="L40" s="54">
        <f t="shared" si="1"/>
        <v>24.625</v>
      </c>
      <c r="M40" s="54">
        <f>'LAPORAN RESMI'!L39</f>
        <v>88.625</v>
      </c>
      <c r="N40" s="54">
        <f t="shared" si="2"/>
        <v>56.625</v>
      </c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7">
        <f>'INPUT DAFTAR PESERTA'!A40</f>
        <v>37</v>
      </c>
      <c r="B41" s="25">
        <f>'INPUT DAFTAR PESERTA'!B40</f>
        <v>2509056025</v>
      </c>
      <c r="C41" s="53" t="str">
        <f>'INPUT DAFTAR PESERTA'!C40</f>
        <v>Muhammad Rifqi Ibnu Malik</v>
      </c>
      <c r="D41" s="14">
        <v>37.0</v>
      </c>
      <c r="E41" s="7"/>
      <c r="F41" s="7"/>
      <c r="G41" s="14">
        <v>0.0</v>
      </c>
      <c r="H41" s="14">
        <v>38.0</v>
      </c>
      <c r="I41" s="14">
        <v>0.0</v>
      </c>
      <c r="J41" s="14">
        <v>25.0</v>
      </c>
      <c r="K41" s="14">
        <v>39.0</v>
      </c>
      <c r="L41" s="54">
        <f t="shared" si="1"/>
        <v>17.375</v>
      </c>
      <c r="M41" s="54">
        <f>'LAPORAN RESMI'!L40</f>
        <v>0</v>
      </c>
      <c r="N41" s="54">
        <f t="shared" si="2"/>
        <v>8.6875</v>
      </c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7">
        <f>'INPUT DAFTAR PESERTA'!A41</f>
        <v>38</v>
      </c>
      <c r="B42" s="25">
        <f>'INPUT DAFTAR PESERTA'!B41</f>
        <v>2509056026</v>
      </c>
      <c r="C42" s="53" t="str">
        <f>'INPUT DAFTAR PESERTA'!C41</f>
        <v>Aditya Alfiansyah</v>
      </c>
      <c r="D42" s="7"/>
      <c r="E42" s="7"/>
      <c r="F42" s="7"/>
      <c r="G42" s="14">
        <v>0.0</v>
      </c>
      <c r="H42" s="14">
        <v>0.0</v>
      </c>
      <c r="I42" s="14">
        <v>0.0</v>
      </c>
      <c r="J42" s="7"/>
      <c r="K42" s="14">
        <v>0.0</v>
      </c>
      <c r="L42" s="54">
        <f t="shared" si="1"/>
        <v>0</v>
      </c>
      <c r="M42" s="54">
        <f>'LAPORAN RESMI'!L41</f>
        <v>0</v>
      </c>
      <c r="N42" s="54">
        <f t="shared" si="2"/>
        <v>0</v>
      </c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7">
        <f>'INPUT DAFTAR PESERTA'!A42</f>
        <v>39</v>
      </c>
      <c r="B43" s="25">
        <f>'INPUT DAFTAR PESERTA'!B42</f>
        <v>2509056027</v>
      </c>
      <c r="C43" s="53" t="str">
        <f>'INPUT DAFTAR PESERTA'!C42</f>
        <v>Muhammad Syauqi Nail</v>
      </c>
      <c r="D43" s="14">
        <v>0.0</v>
      </c>
      <c r="E43" s="14">
        <v>86.0</v>
      </c>
      <c r="F43" s="14">
        <v>70.0</v>
      </c>
      <c r="G43" s="14">
        <v>91.0</v>
      </c>
      <c r="H43" s="14">
        <v>36.0</v>
      </c>
      <c r="I43" s="14">
        <v>25.0</v>
      </c>
      <c r="J43" s="14">
        <v>75.0</v>
      </c>
      <c r="K43" s="14">
        <v>81.0</v>
      </c>
      <c r="L43" s="54">
        <f t="shared" si="1"/>
        <v>58</v>
      </c>
      <c r="M43" s="54">
        <f>'LAPORAN RESMI'!L42</f>
        <v>91.875</v>
      </c>
      <c r="N43" s="54">
        <f t="shared" si="2"/>
        <v>74.9375</v>
      </c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7">
        <f>'INPUT DAFTAR PESERTA'!A43</f>
        <v>40</v>
      </c>
      <c r="B44" s="25">
        <f>'INPUT DAFTAR PESERTA'!B43</f>
        <v>2509056028</v>
      </c>
      <c r="C44" s="53" t="str">
        <f>'INPUT DAFTAR PESERTA'!C43</f>
        <v>Muhammad Rizky Nugraha</v>
      </c>
      <c r="D44" s="14">
        <v>0.0</v>
      </c>
      <c r="E44" s="14">
        <v>76.0</v>
      </c>
      <c r="F44" s="14">
        <v>21.0</v>
      </c>
      <c r="G44" s="14">
        <v>31.0</v>
      </c>
      <c r="H44" s="14">
        <v>0.0</v>
      </c>
      <c r="I44" s="14">
        <v>30.0</v>
      </c>
      <c r="J44" s="14">
        <v>23.0</v>
      </c>
      <c r="K44" s="14">
        <v>6.0</v>
      </c>
      <c r="L44" s="54">
        <f t="shared" si="1"/>
        <v>23.375</v>
      </c>
      <c r="M44" s="54">
        <f>'LAPORAN RESMI'!L43</f>
        <v>88.75</v>
      </c>
      <c r="N44" s="54">
        <f t="shared" si="2"/>
        <v>56.0625</v>
      </c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7">
        <f>'INPUT DAFTAR PESERTA'!A44</f>
        <v>41</v>
      </c>
      <c r="B45" s="25">
        <f>'INPUT DAFTAR PESERTA'!B44</f>
        <v>2509056029</v>
      </c>
      <c r="C45" s="53" t="str">
        <f>'INPUT DAFTAR PESERTA'!C44</f>
        <v>Reyska Bintang Afdillah</v>
      </c>
      <c r="D45" s="7"/>
      <c r="E45" s="7"/>
      <c r="F45" s="7"/>
      <c r="G45" s="14">
        <v>0.0</v>
      </c>
      <c r="H45" s="14">
        <v>0.0</v>
      </c>
      <c r="I45" s="14">
        <v>30.0</v>
      </c>
      <c r="J45" s="14">
        <v>41.0</v>
      </c>
      <c r="K45" s="14">
        <v>18.0</v>
      </c>
      <c r="L45" s="54">
        <f t="shared" si="1"/>
        <v>11.125</v>
      </c>
      <c r="M45" s="54">
        <f>'LAPORAN RESMI'!L44</f>
        <v>0</v>
      </c>
      <c r="N45" s="54">
        <f t="shared" si="2"/>
        <v>5.5625</v>
      </c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7">
        <f>'INPUT DAFTAR PESERTA'!A45</f>
        <v>42</v>
      </c>
      <c r="B46" s="25">
        <f>'INPUT DAFTAR PESERTA'!B45</f>
        <v>2509056030</v>
      </c>
      <c r="C46" s="53" t="str">
        <f>'INPUT DAFTAR PESERTA'!C45</f>
        <v>Muhammad Elo</v>
      </c>
      <c r="D46" s="14">
        <v>73.0</v>
      </c>
      <c r="E46" s="14">
        <v>77.0</v>
      </c>
      <c r="F46" s="14">
        <v>78.0</v>
      </c>
      <c r="G46" s="14">
        <v>92.0</v>
      </c>
      <c r="H46" s="14">
        <v>82.0</v>
      </c>
      <c r="I46" s="14">
        <v>32.0</v>
      </c>
      <c r="J46" s="14">
        <v>0.0</v>
      </c>
      <c r="K46" s="14">
        <v>15.0</v>
      </c>
      <c r="L46" s="54">
        <f t="shared" si="1"/>
        <v>56.125</v>
      </c>
      <c r="M46" s="54">
        <f>'LAPORAN RESMI'!L45</f>
        <v>81.25</v>
      </c>
      <c r="N46" s="54">
        <f t="shared" si="2"/>
        <v>68.6875</v>
      </c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7">
        <f>'INPUT DAFTAR PESERTA'!A46</f>
        <v>43</v>
      </c>
      <c r="B47" s="25">
        <f>'INPUT DAFTAR PESERTA'!B46</f>
        <v>2509056031</v>
      </c>
      <c r="C47" s="53" t="str">
        <f>'INPUT DAFTAR PESERTA'!C46</f>
        <v>Naufal Herdizza Akbar Ps</v>
      </c>
      <c r="D47" s="14">
        <v>83.0</v>
      </c>
      <c r="E47" s="14">
        <v>79.0</v>
      </c>
      <c r="F47" s="14">
        <v>84.0</v>
      </c>
      <c r="G47" s="14">
        <v>89.0</v>
      </c>
      <c r="H47" s="14">
        <v>92.0</v>
      </c>
      <c r="I47" s="14">
        <v>32.0</v>
      </c>
      <c r="J47" s="14">
        <v>0.0</v>
      </c>
      <c r="K47" s="14">
        <v>28.0</v>
      </c>
      <c r="L47" s="54">
        <f t="shared" si="1"/>
        <v>60.875</v>
      </c>
      <c r="M47" s="54">
        <f>'LAPORAN RESMI'!L46</f>
        <v>92.25</v>
      </c>
      <c r="N47" s="54">
        <f t="shared" si="2"/>
        <v>76.5625</v>
      </c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7">
        <f>'INPUT DAFTAR PESERTA'!A47</f>
        <v>44</v>
      </c>
      <c r="B48" s="25">
        <f>'INPUT DAFTAR PESERTA'!B47</f>
        <v>2509056032</v>
      </c>
      <c r="C48" s="53" t="str">
        <f>'INPUT DAFTAR PESERTA'!C47</f>
        <v>Dea Mila Marsela</v>
      </c>
      <c r="D48" s="14">
        <v>84.0</v>
      </c>
      <c r="E48" s="14">
        <v>33.0</v>
      </c>
      <c r="F48" s="14">
        <v>75.0</v>
      </c>
      <c r="G48" s="14">
        <v>62.0</v>
      </c>
      <c r="H48" s="14">
        <v>95.0</v>
      </c>
      <c r="I48" s="14">
        <v>33.0</v>
      </c>
      <c r="J48" s="14">
        <v>0.0</v>
      </c>
      <c r="K48" s="14">
        <v>15.0</v>
      </c>
      <c r="L48" s="54">
        <f t="shared" si="1"/>
        <v>49.625</v>
      </c>
      <c r="M48" s="54">
        <f>'LAPORAN RESMI'!L47</f>
        <v>0</v>
      </c>
      <c r="N48" s="54">
        <f t="shared" si="2"/>
        <v>24.8125</v>
      </c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7">
        <f>'INPUT DAFTAR PESERTA'!A48</f>
        <v>45</v>
      </c>
      <c r="B49" s="25">
        <f>'INPUT DAFTAR PESERTA'!B48</f>
        <v>2509056033</v>
      </c>
      <c r="C49" s="53" t="str">
        <f>'INPUT DAFTAR PESERTA'!C48</f>
        <v>Ahmad Salman Nur</v>
      </c>
      <c r="D49" s="14">
        <v>42.0</v>
      </c>
      <c r="E49" s="14">
        <v>58.5</v>
      </c>
      <c r="F49" s="14">
        <v>20.0</v>
      </c>
      <c r="G49" s="14">
        <v>72.0</v>
      </c>
      <c r="H49" s="14">
        <v>45.0</v>
      </c>
      <c r="I49" s="14">
        <v>26.0</v>
      </c>
      <c r="J49" s="7"/>
      <c r="K49" s="14">
        <v>36.0</v>
      </c>
      <c r="L49" s="54">
        <f t="shared" si="1"/>
        <v>37.4375</v>
      </c>
      <c r="M49" s="54">
        <f>'LAPORAN RESMI'!L48</f>
        <v>88.375</v>
      </c>
      <c r="N49" s="54">
        <f t="shared" si="2"/>
        <v>62.90625</v>
      </c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7">
        <f>'INPUT DAFTAR PESERTA'!A49</f>
        <v>46</v>
      </c>
      <c r="B50" s="7" t="str">
        <f>'INPUT DAFTAR PESERT A'!B49</f>
        <v>#REF!</v>
      </c>
      <c r="C50" s="53" t="str">
        <f>'INPUT DAFTAR PESERTA'!C49</f>
        <v>Syahputra Lumbantoruan</v>
      </c>
      <c r="D50" s="7"/>
      <c r="E50" s="7"/>
      <c r="F50" s="7"/>
      <c r="G50" s="14">
        <v>0.0</v>
      </c>
      <c r="H50" s="14">
        <v>0.0</v>
      </c>
      <c r="I50" s="14">
        <v>0.0</v>
      </c>
      <c r="J50" s="7"/>
      <c r="K50" s="14">
        <v>0.0</v>
      </c>
      <c r="L50" s="54">
        <f t="shared" si="1"/>
        <v>0</v>
      </c>
      <c r="M50" s="54">
        <f>'LAPORAN RESMI'!L49</f>
        <v>0</v>
      </c>
      <c r="N50" s="54">
        <f t="shared" si="2"/>
        <v>0</v>
      </c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7">
        <f>'INPUT DAFTAR PESERTA'!A50</f>
        <v>47</v>
      </c>
      <c r="B51" s="25">
        <f>'INPUT DAFTAR PESERTA'!B50</f>
        <v>2509056036</v>
      </c>
      <c r="C51" s="53" t="str">
        <f>'INPUT DAFTAR PESERTA'!C50</f>
        <v>Furqan Ahmad</v>
      </c>
      <c r="D51" s="14">
        <v>27.0</v>
      </c>
      <c r="E51" s="14">
        <v>0.0</v>
      </c>
      <c r="F51" s="7"/>
      <c r="G51" s="14">
        <v>45.0</v>
      </c>
      <c r="H51" s="14">
        <v>0.0</v>
      </c>
      <c r="I51" s="14">
        <v>0.0</v>
      </c>
      <c r="J51" s="7"/>
      <c r="K51" s="14">
        <v>0.0</v>
      </c>
      <c r="L51" s="54">
        <f t="shared" si="1"/>
        <v>9</v>
      </c>
      <c r="M51" s="54">
        <f>'LAPORAN RESMI'!L50</f>
        <v>0</v>
      </c>
      <c r="N51" s="54">
        <f t="shared" si="2"/>
        <v>4.5</v>
      </c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7">
        <f>'INPUT DAFTAR PESERTA'!A51</f>
        <v>48</v>
      </c>
      <c r="B52" s="25">
        <f>'INPUT DAFTAR PESERTA'!B51</f>
        <v>2509056037</v>
      </c>
      <c r="C52" s="53" t="str">
        <f>'INPUT DAFTAR PESERTA'!C51</f>
        <v>Muhammad An Naafi Zaini</v>
      </c>
      <c r="D52" s="14">
        <v>43.0</v>
      </c>
      <c r="E52" s="14">
        <v>0.0</v>
      </c>
      <c r="F52" s="14"/>
      <c r="G52" s="14">
        <v>38.0</v>
      </c>
      <c r="H52" s="14">
        <v>70.0</v>
      </c>
      <c r="I52" s="14">
        <v>33.0</v>
      </c>
      <c r="J52" s="7"/>
      <c r="K52" s="14">
        <v>0.0</v>
      </c>
      <c r="L52" s="54">
        <f t="shared" si="1"/>
        <v>23</v>
      </c>
      <c r="M52" s="54">
        <f>'LAPORAN RESMI'!L51</f>
        <v>0</v>
      </c>
      <c r="N52" s="54">
        <f t="shared" si="2"/>
        <v>11.5</v>
      </c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7">
        <f>'INPUT DAFTAR PESERTA'!A52</f>
        <v>49</v>
      </c>
      <c r="B53" s="25">
        <f>'INPUT DAFTAR PESERTA'!B52</f>
        <v>2509056038</v>
      </c>
      <c r="C53" s="53" t="str">
        <f>'INPUT DAFTAR PESERTA'!C52</f>
        <v>Muh. Afriansyah Syafani</v>
      </c>
      <c r="D53" s="14"/>
      <c r="E53" s="7"/>
      <c r="F53" s="7"/>
      <c r="G53" s="14">
        <v>0.0</v>
      </c>
      <c r="H53" s="14">
        <v>32.0</v>
      </c>
      <c r="I53" s="14">
        <v>33.0</v>
      </c>
      <c r="J53" s="7"/>
      <c r="K53" s="14">
        <v>0.0</v>
      </c>
      <c r="L53" s="54">
        <f t="shared" si="1"/>
        <v>8.125</v>
      </c>
      <c r="M53" s="54">
        <f>'LAPORAN RESMI'!L52</f>
        <v>0</v>
      </c>
      <c r="N53" s="54">
        <f t="shared" si="2"/>
        <v>4.0625</v>
      </c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7">
        <f>'INPUT DAFTAR PESERTA'!A53</f>
        <v>50</v>
      </c>
      <c r="B54" s="25">
        <f>'INPUT DAFTAR PESERTA'!B53</f>
        <v>2509056039</v>
      </c>
      <c r="C54" s="53" t="str">
        <f>'INPUT DAFTAR PESERTA'!C53</f>
        <v>Evan Hizky Edward Juliano Sahata Manihuruk</v>
      </c>
      <c r="D54" s="7"/>
      <c r="E54" s="7"/>
      <c r="F54" s="7"/>
      <c r="G54" s="14">
        <v>0.0</v>
      </c>
      <c r="H54" s="14">
        <v>0.0</v>
      </c>
      <c r="I54" s="14">
        <v>0.0</v>
      </c>
      <c r="J54" s="7"/>
      <c r="K54" s="14">
        <v>0.0</v>
      </c>
      <c r="L54" s="54">
        <f t="shared" si="1"/>
        <v>0</v>
      </c>
      <c r="M54" s="54">
        <f>'LAPORAN RESMI'!L53</f>
        <v>0</v>
      </c>
      <c r="N54" s="54">
        <f t="shared" si="2"/>
        <v>0</v>
      </c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7">
        <f>'INPUT DAFTAR PESERTA'!A54</f>
        <v>51</v>
      </c>
      <c r="B55" s="25">
        <f>'INPUT DAFTAR PESERTA'!B54</f>
        <v>2509056040</v>
      </c>
      <c r="C55" s="53" t="str">
        <f>'INPUT DAFTAR PESERTA'!C54</f>
        <v>Rasya Ataullah Arnata</v>
      </c>
      <c r="D55" s="7"/>
      <c r="E55" s="7"/>
      <c r="F55" s="14"/>
      <c r="G55" s="14">
        <v>0.0</v>
      </c>
      <c r="H55" s="14">
        <v>0.0</v>
      </c>
      <c r="I55" s="14">
        <v>0.0</v>
      </c>
      <c r="J55" s="7"/>
      <c r="K55" s="14">
        <v>0.0</v>
      </c>
      <c r="L55" s="54">
        <f t="shared" si="1"/>
        <v>0</v>
      </c>
      <c r="M55" s="54">
        <f>'LAPORAN RESMI'!L54</f>
        <v>0</v>
      </c>
      <c r="N55" s="54">
        <f t="shared" si="2"/>
        <v>0</v>
      </c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7">
        <f>'INPUT DAFTAR PESERTA'!A55</f>
        <v>52</v>
      </c>
      <c r="B56" s="25">
        <f>'INPUT DAFTAR PESERTA'!B55</f>
        <v>2509056041</v>
      </c>
      <c r="C56" s="53" t="str">
        <f>'INPUT DAFTAR PESERTA'!C55</f>
        <v>Yadi Ramadani</v>
      </c>
      <c r="D56" s="7"/>
      <c r="E56" s="14">
        <v>39.0</v>
      </c>
      <c r="F56" s="14">
        <v>48.0</v>
      </c>
      <c r="G56" s="14">
        <v>86.0</v>
      </c>
      <c r="H56" s="14">
        <v>60.0</v>
      </c>
      <c r="I56" s="14">
        <v>0.0</v>
      </c>
      <c r="J56" s="14">
        <v>0.0</v>
      </c>
      <c r="K56" s="14">
        <v>0.0</v>
      </c>
      <c r="L56" s="54">
        <f t="shared" si="1"/>
        <v>29.125</v>
      </c>
      <c r="M56" s="54">
        <f>'LAPORAN RESMI'!L55</f>
        <v>86.375</v>
      </c>
      <c r="N56" s="54">
        <f t="shared" si="2"/>
        <v>57.75</v>
      </c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7">
        <f>'INPUT DAFTAR PESERTA'!A56</f>
        <v>53</v>
      </c>
      <c r="B57" s="25">
        <f>'INPUT DAFTAR PESERTA'!B56</f>
        <v>2509056042</v>
      </c>
      <c r="C57" s="53" t="str">
        <f>'INPUT DAFTAR PESERTA'!C56</f>
        <v>Muhammad Alief Adz Dzikry Abdillah</v>
      </c>
      <c r="D57" s="7"/>
      <c r="E57" s="7"/>
      <c r="F57" s="7"/>
      <c r="G57" s="14">
        <v>0.0</v>
      </c>
      <c r="H57" s="14">
        <v>0.0</v>
      </c>
      <c r="I57" s="14">
        <v>0.0</v>
      </c>
      <c r="J57" s="7"/>
      <c r="K57" s="14">
        <v>0.0</v>
      </c>
      <c r="L57" s="54">
        <f t="shared" si="1"/>
        <v>0</v>
      </c>
      <c r="M57" s="54">
        <f>'LAPORAN RESMI'!L56</f>
        <v>0</v>
      </c>
      <c r="N57" s="54">
        <f t="shared" si="2"/>
        <v>0</v>
      </c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7">
        <f>'INPUT DAFTAR PESERTA'!A57</f>
        <v>54</v>
      </c>
      <c r="B58" s="25">
        <f>'INPUT DAFTAR PESERTA'!B57</f>
        <v>2509056043</v>
      </c>
      <c r="C58" s="53" t="str">
        <f>'INPUT DAFTAR PESERTA'!C57</f>
        <v>Hubert Abraham Pranoto Sirait</v>
      </c>
      <c r="D58" s="7"/>
      <c r="E58" s="14">
        <v>0.0</v>
      </c>
      <c r="F58" s="14">
        <v>45.0</v>
      </c>
      <c r="G58" s="14">
        <v>0.0</v>
      </c>
      <c r="H58" s="14">
        <v>0.0</v>
      </c>
      <c r="I58" s="14">
        <v>27.0</v>
      </c>
      <c r="J58" s="14">
        <v>71.0</v>
      </c>
      <c r="K58" s="14">
        <v>0.0</v>
      </c>
      <c r="L58" s="54">
        <f t="shared" si="1"/>
        <v>17.875</v>
      </c>
      <c r="M58" s="54">
        <f>'LAPORAN RESMI'!L57</f>
        <v>45.875</v>
      </c>
      <c r="N58" s="54">
        <f t="shared" si="2"/>
        <v>31.875</v>
      </c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7">
        <f>'INPUT DAFTAR PESERTA'!A58</f>
        <v>55</v>
      </c>
      <c r="B59" s="25">
        <f>'INPUT DAFTAR PESERTA'!B58</f>
        <v>2509056044</v>
      </c>
      <c r="C59" s="53" t="str">
        <f>'INPUT DAFTAR PESERTA'!C58</f>
        <v>Indah Tessalonica</v>
      </c>
      <c r="D59" s="7"/>
      <c r="E59" s="7"/>
      <c r="F59" s="7"/>
      <c r="G59" s="14">
        <v>0.0</v>
      </c>
      <c r="H59" s="14">
        <v>0.0</v>
      </c>
      <c r="I59" s="14">
        <v>0.0</v>
      </c>
      <c r="J59" s="7"/>
      <c r="K59" s="14">
        <v>0.0</v>
      </c>
      <c r="L59" s="54">
        <f t="shared" si="1"/>
        <v>0</v>
      </c>
      <c r="M59" s="54">
        <f>'LAPORAN RESMI'!L58</f>
        <v>0</v>
      </c>
      <c r="N59" s="54">
        <f t="shared" si="2"/>
        <v>0</v>
      </c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7">
        <f>'INPUT DAFTAR PESERTA'!A59</f>
        <v>56</v>
      </c>
      <c r="B60" s="25">
        <f>'INPUT DAFTAR PESERTA'!B59</f>
        <v>2509056045</v>
      </c>
      <c r="C60" s="53" t="str">
        <f>'INPUT DAFTAR PESERTA'!C59</f>
        <v>Fahrizi Al Rosid</v>
      </c>
      <c r="D60" s="7"/>
      <c r="E60" s="7"/>
      <c r="F60" s="14">
        <v>0.0</v>
      </c>
      <c r="G60" s="14">
        <v>0.0</v>
      </c>
      <c r="H60" s="14">
        <v>0.0</v>
      </c>
      <c r="I60" s="14">
        <v>0.0</v>
      </c>
      <c r="J60" s="7"/>
      <c r="K60" s="14">
        <v>0.0</v>
      </c>
      <c r="L60" s="54">
        <f t="shared" si="1"/>
        <v>0</v>
      </c>
      <c r="M60" s="54">
        <f>'LAPORAN RESMI'!L59</f>
        <v>0</v>
      </c>
      <c r="N60" s="54">
        <f t="shared" si="2"/>
        <v>0</v>
      </c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7">
        <f>'INPUT DAFTAR PESERTA'!A60</f>
        <v>57</v>
      </c>
      <c r="B61" s="25">
        <f>'INPUT DAFTAR PESERTA'!B60</f>
        <v>2509056046</v>
      </c>
      <c r="C61" s="53" t="str">
        <f>'INPUT DAFTAR PESERTA'!C60</f>
        <v>Syadid Musoffa</v>
      </c>
      <c r="D61" s="7"/>
      <c r="E61" s="7"/>
      <c r="F61" s="14">
        <v>0.0</v>
      </c>
      <c r="G61" s="14">
        <v>0.0</v>
      </c>
      <c r="H61" s="14">
        <v>0.0</v>
      </c>
      <c r="I61" s="14">
        <v>0.0</v>
      </c>
      <c r="J61" s="7"/>
      <c r="K61" s="14">
        <v>0.0</v>
      </c>
      <c r="L61" s="54">
        <f t="shared" si="1"/>
        <v>0</v>
      </c>
      <c r="M61" s="54">
        <f>'LAPORAN RESMI'!L60</f>
        <v>0</v>
      </c>
      <c r="N61" s="54">
        <f t="shared" si="2"/>
        <v>0</v>
      </c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7">
        <f>'INPUT DAFTAR PESERTA'!A61</f>
        <v>58</v>
      </c>
      <c r="B62" s="25">
        <f>'INPUT DAFTAR PESERTA'!B61</f>
        <v>2509056047</v>
      </c>
      <c r="C62" s="53" t="str">
        <f>'INPUT DAFTAR PESERTA'!C61</f>
        <v>Oktovianus Sirante</v>
      </c>
      <c r="D62" s="14">
        <v>50.0</v>
      </c>
      <c r="E62" s="14">
        <v>59.0</v>
      </c>
      <c r="F62" s="14">
        <v>67.0</v>
      </c>
      <c r="G62" s="14">
        <v>96.0</v>
      </c>
      <c r="H62" s="14">
        <v>65.0</v>
      </c>
      <c r="I62" s="14">
        <v>80.0</v>
      </c>
      <c r="J62" s="14">
        <v>77.0</v>
      </c>
      <c r="K62" s="14">
        <v>0.0</v>
      </c>
      <c r="L62" s="54">
        <f t="shared" si="1"/>
        <v>61.75</v>
      </c>
      <c r="M62" s="54">
        <f>'LAPORAN RESMI'!L61</f>
        <v>92.5</v>
      </c>
      <c r="N62" s="54">
        <f t="shared" si="2"/>
        <v>77.125</v>
      </c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7">
        <f>'INPUT DAFTAR PESERTA'!A62</f>
        <v>59</v>
      </c>
      <c r="B63" s="25">
        <f>'INPUT DAFTAR PESERTA'!B62</f>
        <v>2509056048</v>
      </c>
      <c r="C63" s="53" t="str">
        <f>'INPUT DAFTAR PESERTA'!C62</f>
        <v>Cristover Rafael Milang</v>
      </c>
      <c r="D63" s="7"/>
      <c r="E63" s="7"/>
      <c r="F63" s="7"/>
      <c r="G63" s="7"/>
      <c r="H63" s="14">
        <v>0.0</v>
      </c>
      <c r="I63" s="14">
        <v>0.0</v>
      </c>
      <c r="J63" s="7"/>
      <c r="K63" s="14">
        <v>0.0</v>
      </c>
      <c r="L63" s="54">
        <f t="shared" si="1"/>
        <v>0</v>
      </c>
      <c r="M63" s="54">
        <f>'LAPORAN RESMI'!L62</f>
        <v>0</v>
      </c>
      <c r="N63" s="54">
        <f t="shared" si="2"/>
        <v>0</v>
      </c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7">
        <f>'INPUT DAFTAR PESERTA'!A63</f>
        <v>60</v>
      </c>
      <c r="B64" s="25">
        <f>'INPUT DAFTAR PESERTA'!B63</f>
        <v>2509056049</v>
      </c>
      <c r="C64" s="53" t="str">
        <f>'INPUT DAFTAR PESERTA'!C63</f>
        <v>Kevin Angeliano Jonathan</v>
      </c>
      <c r="D64" s="7"/>
      <c r="E64" s="14">
        <v>0.0</v>
      </c>
      <c r="F64" s="14">
        <v>29.0</v>
      </c>
      <c r="G64" s="14">
        <v>78.0</v>
      </c>
      <c r="H64" s="14">
        <v>33.0</v>
      </c>
      <c r="I64" s="14">
        <v>50.0</v>
      </c>
      <c r="J64" s="14">
        <v>56.0</v>
      </c>
      <c r="K64" s="14">
        <v>0.0</v>
      </c>
      <c r="L64" s="54">
        <f t="shared" si="1"/>
        <v>30.75</v>
      </c>
      <c r="M64" s="54">
        <f>'LAPORAN RESMI'!L63</f>
        <v>90</v>
      </c>
      <c r="N64" s="54">
        <f t="shared" si="2"/>
        <v>60.375</v>
      </c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7">
        <f>'INPUT DAFTAR PESERTA'!A64</f>
        <v>61</v>
      </c>
      <c r="B65" s="25">
        <f>'INPUT DAFTAR PESERTA'!B64</f>
        <v>2509056050</v>
      </c>
      <c r="C65" s="53" t="str">
        <f>'INPUT DAFTAR PESERTA'!C64</f>
        <v>Fajar Arif Suyanto</v>
      </c>
      <c r="D65" s="14">
        <v>27.0</v>
      </c>
      <c r="E65" s="7"/>
      <c r="F65" s="7"/>
      <c r="G65" s="7"/>
      <c r="H65" s="14">
        <v>70.0</v>
      </c>
      <c r="I65" s="14">
        <v>44.0</v>
      </c>
      <c r="J65" s="14">
        <v>54.0</v>
      </c>
      <c r="K65" s="14">
        <v>0.0</v>
      </c>
      <c r="L65" s="54">
        <f t="shared" si="1"/>
        <v>24.375</v>
      </c>
      <c r="M65" s="54">
        <f>'LAPORAN RESMI'!L64</f>
        <v>0</v>
      </c>
      <c r="N65" s="54">
        <f t="shared" si="2"/>
        <v>12.1875</v>
      </c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7">
        <f>'INPUT DAFTAR PESERTA'!A65</f>
        <v>62</v>
      </c>
      <c r="B66" s="25">
        <f>'INPUT DAFTAR PESERTA'!B65</f>
        <v>2509056051</v>
      </c>
      <c r="C66" s="53" t="str">
        <f>'INPUT DAFTAR PESERTA'!C65</f>
        <v>Satria Rizla Marlanata</v>
      </c>
      <c r="D66" s="14">
        <v>80.0</v>
      </c>
      <c r="E66" s="14">
        <v>82.0</v>
      </c>
      <c r="F66" s="14">
        <v>83.0</v>
      </c>
      <c r="G66" s="14">
        <v>69.0</v>
      </c>
      <c r="H66" s="14">
        <v>85.0</v>
      </c>
      <c r="I66" s="14">
        <v>62.0</v>
      </c>
      <c r="J66" s="14">
        <v>74.0</v>
      </c>
      <c r="K66" s="14">
        <v>0.0</v>
      </c>
      <c r="L66" s="54">
        <f t="shared" si="1"/>
        <v>66.875</v>
      </c>
      <c r="M66" s="54">
        <f>'LAPORAN RESMI'!L65</f>
        <v>92</v>
      </c>
      <c r="N66" s="54">
        <f t="shared" si="2"/>
        <v>79.4375</v>
      </c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7">
        <f>'INPUT DAFTAR PESERTA'!A66</f>
        <v>63</v>
      </c>
      <c r="B67" s="25">
        <f>'INPUT DAFTAR PESERTA'!B66</f>
        <v>2509056052</v>
      </c>
      <c r="C67" s="53" t="str">
        <f>'INPUT DAFTAR PESERTA'!C66</f>
        <v>Aulya Azhari</v>
      </c>
      <c r="D67" s="7"/>
      <c r="E67" s="7"/>
      <c r="F67" s="14">
        <v>54.0</v>
      </c>
      <c r="G67" s="7"/>
      <c r="H67" s="14">
        <v>93.0</v>
      </c>
      <c r="I67" s="14">
        <v>25.0</v>
      </c>
      <c r="J67" s="14">
        <v>0.0</v>
      </c>
      <c r="K67" s="14">
        <v>0.0</v>
      </c>
      <c r="L67" s="54">
        <f t="shared" si="1"/>
        <v>21.5</v>
      </c>
      <c r="M67" s="54">
        <f>'LAPORAN RESMI'!L66</f>
        <v>0</v>
      </c>
      <c r="N67" s="54">
        <f t="shared" si="2"/>
        <v>10.75</v>
      </c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7">
        <f>'INPUT DAFTAR PESERTA'!A67</f>
        <v>64</v>
      </c>
      <c r="B68" s="25">
        <f>'INPUT DAFTAR PESERTA'!B67</f>
        <v>2509056053</v>
      </c>
      <c r="C68" s="53" t="str">
        <f>'INPUT DAFTAR PESERTA'!C67</f>
        <v>Muhammad Farrel Ardiano</v>
      </c>
      <c r="D68" s="14">
        <v>58.0</v>
      </c>
      <c r="E68" s="14">
        <v>0.0</v>
      </c>
      <c r="F68" s="14">
        <v>58.0</v>
      </c>
      <c r="G68" s="14">
        <v>36.0</v>
      </c>
      <c r="H68" s="14">
        <v>95.0</v>
      </c>
      <c r="I68" s="14">
        <v>45.0</v>
      </c>
      <c r="J68" s="14">
        <v>77.0</v>
      </c>
      <c r="K68" s="14">
        <v>68.0</v>
      </c>
      <c r="L68" s="54">
        <f t="shared" si="1"/>
        <v>54.625</v>
      </c>
      <c r="M68" s="54">
        <f>'LAPORAN RESMI'!L67</f>
        <v>88.25</v>
      </c>
      <c r="N68" s="54">
        <f t="shared" si="2"/>
        <v>71.4375</v>
      </c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7">
        <f>'INPUT DAFTAR PESERTA'!A68</f>
        <v>65</v>
      </c>
      <c r="B69" s="25">
        <f>'INPUT DAFTAR PESERTA'!B68</f>
        <v>2509056054</v>
      </c>
      <c r="C69" s="53" t="str">
        <f>'INPUT DAFTAR PESERTA'!C68</f>
        <v>Arlan Candra Antholyn</v>
      </c>
      <c r="D69" s="14">
        <v>78.0</v>
      </c>
      <c r="E69" s="14">
        <v>0.0</v>
      </c>
      <c r="F69" s="14">
        <v>64.0</v>
      </c>
      <c r="G69" s="14">
        <v>56.0</v>
      </c>
      <c r="H69" s="14">
        <v>92.0</v>
      </c>
      <c r="I69" s="14">
        <v>32.0</v>
      </c>
      <c r="J69" s="14">
        <v>83.0</v>
      </c>
      <c r="K69" s="14">
        <v>0.0</v>
      </c>
      <c r="L69" s="54">
        <f t="shared" si="1"/>
        <v>50.625</v>
      </c>
      <c r="M69" s="54">
        <f>'LAPORAN RESMI'!L68</f>
        <v>84.875</v>
      </c>
      <c r="N69" s="54">
        <f t="shared" si="2"/>
        <v>67.75</v>
      </c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7">
        <f>'INPUT DAFTAR PESERTA'!A69</f>
        <v>66</v>
      </c>
      <c r="B70" s="25">
        <f>'INPUT DAFTAR PESERTA'!B69</f>
        <v>2509056055</v>
      </c>
      <c r="C70" s="53" t="str">
        <f>'INPUT DAFTAR PESERTA'!C69</f>
        <v>Taufan Akbar Bunawan</v>
      </c>
      <c r="D70" s="14">
        <v>0.0</v>
      </c>
      <c r="E70" s="14">
        <v>0.0</v>
      </c>
      <c r="F70" s="14">
        <v>69.0</v>
      </c>
      <c r="G70" s="14">
        <v>0.0</v>
      </c>
      <c r="H70" s="14">
        <v>0.0</v>
      </c>
      <c r="I70" s="14">
        <v>48.0</v>
      </c>
      <c r="J70" s="14">
        <v>34.0</v>
      </c>
      <c r="K70" s="14">
        <v>56.0</v>
      </c>
      <c r="L70" s="55">
        <v>0.0</v>
      </c>
      <c r="M70" s="54">
        <f>'LAPORAN RESMI'!L69</f>
        <v>92.375</v>
      </c>
      <c r="N70" s="54">
        <f t="shared" si="2"/>
        <v>46.1875</v>
      </c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7">
        <f>'INPUT DAFTAR PESERTA'!A70</f>
        <v>67</v>
      </c>
      <c r="B71" s="25">
        <f>'INPUT DAFTAR PESERTA'!B70</f>
        <v>2509056056</v>
      </c>
      <c r="C71" s="53" t="str">
        <f>'INPUT DAFTAR PESERTA'!C70</f>
        <v>Mario Wildhan Wibisono</v>
      </c>
      <c r="D71" s="7"/>
      <c r="E71" s="7"/>
      <c r="F71" s="7"/>
      <c r="G71" s="7"/>
      <c r="H71" s="14">
        <v>0.0</v>
      </c>
      <c r="I71" s="14">
        <v>0.0</v>
      </c>
      <c r="J71" s="7"/>
      <c r="K71" s="14">
        <v>0.0</v>
      </c>
      <c r="L71" s="54">
        <f t="shared" ref="L71:L90" si="3">(D71+E71+F71+G71+H71+I71+J71+K71)/8</f>
        <v>0</v>
      </c>
      <c r="M71" s="54">
        <f>'LAPORAN RESMI'!L70</f>
        <v>0</v>
      </c>
      <c r="N71" s="54">
        <f t="shared" si="2"/>
        <v>0</v>
      </c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7">
        <f>'INPUT DAFTAR PESERTA'!A71</f>
        <v>68</v>
      </c>
      <c r="B72" s="25">
        <f>'INPUT DAFTAR PESERTA'!B71</f>
        <v>2509056057</v>
      </c>
      <c r="C72" s="53" t="str">
        <f>'INPUT DAFTAR PESERTA'!C71</f>
        <v>Immanuel Wisnu Siahaan</v>
      </c>
      <c r="D72" s="14">
        <v>82.0</v>
      </c>
      <c r="E72" s="14">
        <v>92.0</v>
      </c>
      <c r="F72" s="14">
        <v>97.0</v>
      </c>
      <c r="G72" s="14">
        <v>75.0</v>
      </c>
      <c r="H72" s="14">
        <v>93.0</v>
      </c>
      <c r="I72" s="14">
        <v>84.0</v>
      </c>
      <c r="J72" s="14">
        <v>94.0</v>
      </c>
      <c r="K72" s="14">
        <v>96.0</v>
      </c>
      <c r="L72" s="54">
        <f t="shared" si="3"/>
        <v>89.125</v>
      </c>
      <c r="M72" s="54">
        <f>'LAPORAN RESMI'!L71</f>
        <v>96.5</v>
      </c>
      <c r="N72" s="54">
        <f t="shared" si="2"/>
        <v>92.8125</v>
      </c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7">
        <f>'INPUT DAFTAR PESERTA'!A72</f>
        <v>69</v>
      </c>
      <c r="B73" s="25">
        <f>'INPUT DAFTAR PESERTA'!B72</f>
        <v>2509056058</v>
      </c>
      <c r="C73" s="53" t="str">
        <f>'INPUT DAFTAR PESERTA'!C72</f>
        <v>Hebron Ketter Pagalla'</v>
      </c>
      <c r="D73" s="14">
        <v>0.0</v>
      </c>
      <c r="E73" s="14">
        <v>0.0</v>
      </c>
      <c r="F73" s="14">
        <v>34.0</v>
      </c>
      <c r="G73" s="14">
        <v>49.0</v>
      </c>
      <c r="H73" s="14">
        <v>0.0</v>
      </c>
      <c r="I73" s="14">
        <v>0.0</v>
      </c>
      <c r="J73" s="14">
        <v>33.0</v>
      </c>
      <c r="K73" s="14">
        <v>48.0</v>
      </c>
      <c r="L73" s="54">
        <f t="shared" si="3"/>
        <v>20.5</v>
      </c>
      <c r="M73" s="54">
        <f>'LAPORAN RESMI'!L72</f>
        <v>46.875</v>
      </c>
      <c r="N73" s="54">
        <f t="shared" si="2"/>
        <v>33.6875</v>
      </c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7">
        <f>'INPUT DAFTAR PESERTA'!A73</f>
        <v>70</v>
      </c>
      <c r="B74" s="25">
        <f>'INPUT DAFTAR PESERTA'!B73</f>
        <v>2509056059</v>
      </c>
      <c r="C74" s="53" t="str">
        <f>'INPUT DAFTAR PESERTA'!C73</f>
        <v>Wildan Akmal Zaky</v>
      </c>
      <c r="D74" s="14">
        <v>72.0</v>
      </c>
      <c r="E74" s="14">
        <v>74.5</v>
      </c>
      <c r="F74" s="14">
        <v>24.0</v>
      </c>
      <c r="G74" s="14">
        <v>67.0</v>
      </c>
      <c r="H74" s="14">
        <v>0.0</v>
      </c>
      <c r="I74" s="14">
        <v>0.0</v>
      </c>
      <c r="J74" s="14">
        <v>49.0</v>
      </c>
      <c r="K74" s="14">
        <v>17.0</v>
      </c>
      <c r="L74" s="54">
        <f t="shared" si="3"/>
        <v>37.9375</v>
      </c>
      <c r="M74" s="54">
        <f>'LAPORAN RESMI'!L73</f>
        <v>80.625</v>
      </c>
      <c r="N74" s="54">
        <f t="shared" si="2"/>
        <v>59.28125</v>
      </c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7">
        <f>'INPUT DAFTAR PESERTA'!A74</f>
        <v>71</v>
      </c>
      <c r="B75" s="25">
        <f>'INPUT DAFTAR PESERTA'!B74</f>
        <v>2509056060</v>
      </c>
      <c r="C75" s="53" t="str">
        <f>'INPUT DAFTAR PESERTA'!C74</f>
        <v>Daglish Santos Peke Deku</v>
      </c>
      <c r="D75" s="7"/>
      <c r="E75" s="7"/>
      <c r="F75" s="7"/>
      <c r="G75" s="7"/>
      <c r="H75" s="14">
        <v>0.0</v>
      </c>
      <c r="I75" s="14">
        <v>0.0</v>
      </c>
      <c r="J75" s="7"/>
      <c r="K75" s="14">
        <v>0.0</v>
      </c>
      <c r="L75" s="54">
        <f t="shared" si="3"/>
        <v>0</v>
      </c>
      <c r="M75" s="54">
        <f>'LAPORAN RESMI'!L74</f>
        <v>0</v>
      </c>
      <c r="N75" s="54">
        <f t="shared" si="2"/>
        <v>0</v>
      </c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7">
        <f>'INPUT DAFTAR PESERTA'!A75</f>
        <v>72</v>
      </c>
      <c r="B76" s="25">
        <f>'INPUT DAFTAR PESERTA'!B75</f>
        <v>2509056061</v>
      </c>
      <c r="C76" s="53" t="str">
        <f>'INPUT DAFTAR PESERTA'!C75</f>
        <v>Muhammad Yazid Ilmani</v>
      </c>
      <c r="D76" s="7"/>
      <c r="E76" s="14">
        <v>0.0</v>
      </c>
      <c r="F76" s="14">
        <v>51.0</v>
      </c>
      <c r="G76" s="14">
        <v>66.0</v>
      </c>
      <c r="H76" s="14">
        <v>0.0</v>
      </c>
      <c r="I76" s="14">
        <v>7.0</v>
      </c>
      <c r="J76" s="14">
        <v>72.0</v>
      </c>
      <c r="K76" s="14">
        <v>72.0</v>
      </c>
      <c r="L76" s="54">
        <f t="shared" si="3"/>
        <v>33.5</v>
      </c>
      <c r="M76" s="54">
        <f>'LAPORAN RESMI'!L75</f>
        <v>91.875</v>
      </c>
      <c r="N76" s="54">
        <f t="shared" si="2"/>
        <v>62.6875</v>
      </c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7">
        <f>'INPUT DAFTAR PESERTA'!A76</f>
        <v>73</v>
      </c>
      <c r="B77" s="25">
        <f>'INPUT DAFTAR PESERTA'!B76</f>
        <v>2509056062</v>
      </c>
      <c r="C77" s="53" t="str">
        <f>'INPUT DAFTAR PESERTA'!C76</f>
        <v>Reyhan Feryand Tandililing</v>
      </c>
      <c r="D77" s="14">
        <v>47.0</v>
      </c>
      <c r="E77" s="14">
        <v>69.5</v>
      </c>
      <c r="F77" s="14">
        <v>0.0</v>
      </c>
      <c r="G77" s="14">
        <v>77.0</v>
      </c>
      <c r="H77" s="14">
        <v>0.0</v>
      </c>
      <c r="I77" s="14">
        <v>3.0</v>
      </c>
      <c r="J77" s="14">
        <v>57.0</v>
      </c>
      <c r="K77" s="14">
        <v>77.0</v>
      </c>
      <c r="L77" s="54">
        <f t="shared" si="3"/>
        <v>41.3125</v>
      </c>
      <c r="M77" s="54">
        <f>'LAPORAN RESMI'!L76</f>
        <v>37.8125</v>
      </c>
      <c r="N77" s="54">
        <f t="shared" si="2"/>
        <v>39.5625</v>
      </c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7">
        <f>'INPUT DAFTAR PESERTA'!A77</f>
        <v>74</v>
      </c>
      <c r="B78" s="25">
        <f>'INPUT DAFTAR PESERTA'!B77</f>
        <v>2509056063</v>
      </c>
      <c r="C78" s="53" t="str">
        <f>'INPUT DAFTAR PESERTA'!C77</f>
        <v>Riski Apryanto</v>
      </c>
      <c r="D78" s="7"/>
      <c r="E78" s="7"/>
      <c r="F78" s="7"/>
      <c r="G78" s="7"/>
      <c r="H78" s="14">
        <v>0.0</v>
      </c>
      <c r="I78" s="14">
        <v>0.0</v>
      </c>
      <c r="J78" s="7"/>
      <c r="K78" s="14">
        <v>0.0</v>
      </c>
      <c r="L78" s="54">
        <f t="shared" si="3"/>
        <v>0</v>
      </c>
      <c r="M78" s="54">
        <f>'LAPORAN RESMI'!L77</f>
        <v>0</v>
      </c>
      <c r="N78" s="54">
        <f t="shared" si="2"/>
        <v>0</v>
      </c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7">
        <f>'INPUT DAFTAR PESERTA'!A78</f>
        <v>75</v>
      </c>
      <c r="B79" s="25">
        <f>'INPUT DAFTAR PESERTA'!B78</f>
        <v>2509056064</v>
      </c>
      <c r="C79" s="53" t="str">
        <f>'INPUT DAFTAR PESERTA'!C78</f>
        <v>Dina Molitha Dwi Manggarani</v>
      </c>
      <c r="D79" s="14">
        <v>74.0</v>
      </c>
      <c r="E79" s="14">
        <v>81.0</v>
      </c>
      <c r="F79" s="14">
        <v>80.0</v>
      </c>
      <c r="G79" s="14">
        <v>85.0</v>
      </c>
      <c r="H79" s="14">
        <v>87.0</v>
      </c>
      <c r="I79" s="14">
        <v>33.0</v>
      </c>
      <c r="J79" s="14">
        <v>29.0</v>
      </c>
      <c r="K79" s="14">
        <v>84.0</v>
      </c>
      <c r="L79" s="54">
        <f t="shared" si="3"/>
        <v>69.125</v>
      </c>
      <c r="M79" s="54">
        <f>'LAPORAN RESMI'!L78</f>
        <v>92.875</v>
      </c>
      <c r="N79" s="54">
        <f t="shared" si="2"/>
        <v>81</v>
      </c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7">
        <f>'INPUT DAFTAR PESERTA'!A79</f>
        <v>76</v>
      </c>
      <c r="B80" s="25">
        <f>'INPUT DAFTAR PESERTA'!B79</f>
        <v>2509056065</v>
      </c>
      <c r="C80" s="53" t="str">
        <f>'INPUT DAFTAR PESERTA'!C79</f>
        <v>Ahmad Dival Halim</v>
      </c>
      <c r="D80" s="14">
        <v>61.0</v>
      </c>
      <c r="E80" s="14">
        <v>82.0</v>
      </c>
      <c r="F80" s="14">
        <v>46.0</v>
      </c>
      <c r="G80" s="14">
        <v>41.0</v>
      </c>
      <c r="H80" s="14">
        <v>39.0</v>
      </c>
      <c r="I80" s="14">
        <v>10.0</v>
      </c>
      <c r="J80" s="7"/>
      <c r="K80" s="14">
        <v>42.0</v>
      </c>
      <c r="L80" s="54">
        <f t="shared" si="3"/>
        <v>40.125</v>
      </c>
      <c r="M80" s="54">
        <f>'LAPORAN RESMI'!L79</f>
        <v>89.5</v>
      </c>
      <c r="N80" s="54">
        <f t="shared" si="2"/>
        <v>64.8125</v>
      </c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7">
        <f>'INPUT DAFTAR PESERTA'!A80</f>
        <v>77</v>
      </c>
      <c r="B81" s="25">
        <f>'INPUT DAFTAR PESERTA'!B80</f>
        <v>2509056066</v>
      </c>
      <c r="C81" s="53" t="str">
        <f>'INPUT DAFTAR PESERTA'!C80</f>
        <v>Sultan Islamy Pasha</v>
      </c>
      <c r="D81" s="14">
        <v>47.0</v>
      </c>
      <c r="E81" s="14">
        <v>60.0</v>
      </c>
      <c r="F81" s="14">
        <v>30.0</v>
      </c>
      <c r="G81" s="14">
        <v>63.0</v>
      </c>
      <c r="H81" s="14">
        <v>82.0</v>
      </c>
      <c r="I81" s="14">
        <v>28.0</v>
      </c>
      <c r="J81" s="7"/>
      <c r="K81" s="14">
        <v>55.0</v>
      </c>
      <c r="L81" s="54">
        <f t="shared" si="3"/>
        <v>45.625</v>
      </c>
      <c r="M81" s="54">
        <f>'LAPORAN RESMI'!L80</f>
        <v>83.75</v>
      </c>
      <c r="N81" s="54">
        <f t="shared" si="2"/>
        <v>64.6875</v>
      </c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7">
        <f>'INPUT DAFTAR PESERTA'!A81</f>
        <v>78</v>
      </c>
      <c r="B82" s="25">
        <f>'INPUT DAFTAR PESERTA'!B81</f>
        <v>2509056069</v>
      </c>
      <c r="C82" s="53" t="str">
        <f>'INPUT DAFTAR PESERTA'!C81</f>
        <v>Reyhan Resqy Pratama</v>
      </c>
      <c r="D82" s="7"/>
      <c r="E82" s="14">
        <v>69.5</v>
      </c>
      <c r="F82" s="7"/>
      <c r="G82" s="7"/>
      <c r="H82" s="14">
        <v>0.0</v>
      </c>
      <c r="I82" s="14">
        <v>0.0</v>
      </c>
      <c r="J82" s="7"/>
      <c r="K82" s="14">
        <v>77.0</v>
      </c>
      <c r="L82" s="54">
        <f t="shared" si="3"/>
        <v>18.3125</v>
      </c>
      <c r="M82" s="54">
        <f>'LAPORAN RESMI'!L81</f>
        <v>0</v>
      </c>
      <c r="N82" s="54">
        <f t="shared" si="2"/>
        <v>9.15625</v>
      </c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7">
        <f>'INPUT DAFTAR PESERTA'!A82</f>
        <v>79</v>
      </c>
      <c r="B83" s="25">
        <f>'INPUT DAFTAR PESERTA'!B82</f>
        <v>2509056070</v>
      </c>
      <c r="C83" s="53" t="str">
        <f>'INPUT DAFTAR PESERTA'!C82</f>
        <v>Riendri Novtrianto Luden</v>
      </c>
      <c r="D83" s="7"/>
      <c r="E83" s="7"/>
      <c r="F83" s="7"/>
      <c r="G83" s="7"/>
      <c r="H83" s="14">
        <v>0.0</v>
      </c>
      <c r="I83" s="14">
        <v>0.0</v>
      </c>
      <c r="J83" s="7"/>
      <c r="K83" s="14">
        <v>0.0</v>
      </c>
      <c r="L83" s="54">
        <f t="shared" si="3"/>
        <v>0</v>
      </c>
      <c r="M83" s="54">
        <f>'LAPORAN RESMI'!L82</f>
        <v>0</v>
      </c>
      <c r="N83" s="54">
        <f t="shared" si="2"/>
        <v>0</v>
      </c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7">
        <f>'INPUT DAFTAR PESERTA'!A83</f>
        <v>80</v>
      </c>
      <c r="B84" s="25">
        <f>'INPUT DAFTAR PESERTA'!B83</f>
        <v>2509056071</v>
      </c>
      <c r="C84" s="53" t="str">
        <f>'INPUT DAFTAR PESERTA'!C83</f>
        <v>Ergie Yehezkiel Simanjuntak</v>
      </c>
      <c r="D84" s="7"/>
      <c r="E84" s="7"/>
      <c r="F84" s="7"/>
      <c r="G84" s="7"/>
      <c r="H84" s="14">
        <v>0.0</v>
      </c>
      <c r="I84" s="14">
        <v>0.0</v>
      </c>
      <c r="J84" s="7"/>
      <c r="K84" s="14">
        <v>0.0</v>
      </c>
      <c r="L84" s="54">
        <f t="shared" si="3"/>
        <v>0</v>
      </c>
      <c r="M84" s="54">
        <f>'LAPORAN RESMI'!L83</f>
        <v>0</v>
      </c>
      <c r="N84" s="54">
        <f t="shared" si="2"/>
        <v>0</v>
      </c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7">
        <f>'INPUT DAFTAR PESERTA'!A84</f>
        <v>81</v>
      </c>
      <c r="B85" s="25">
        <f>'INPUT DAFTAR PESERTA'!B84</f>
        <v>2509056072</v>
      </c>
      <c r="C85" s="53" t="str">
        <f>'INPUT DAFTAR PESERTA'!C84</f>
        <v>Nobergotardo .A</v>
      </c>
      <c r="D85" s="7"/>
      <c r="E85" s="7"/>
      <c r="F85" s="7"/>
      <c r="G85" s="7"/>
      <c r="H85" s="14">
        <v>0.0</v>
      </c>
      <c r="I85" s="14">
        <v>0.0</v>
      </c>
      <c r="J85" s="7"/>
      <c r="K85" s="14">
        <v>0.0</v>
      </c>
      <c r="L85" s="54">
        <f t="shared" si="3"/>
        <v>0</v>
      </c>
      <c r="M85" s="54">
        <f>'LAPORAN RESMI'!L84</f>
        <v>0</v>
      </c>
      <c r="N85" s="54">
        <f t="shared" si="2"/>
        <v>0</v>
      </c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7">
        <f>'INPUT DAFTAR PESERTA'!A85</f>
        <v>82</v>
      </c>
      <c r="B86" s="25">
        <f>'INPUT DAFTAR PESERTA'!B85</f>
        <v>2509056073</v>
      </c>
      <c r="C86" s="53" t="str">
        <f>'INPUT DAFTAR PESERTA'!C85</f>
        <v>Rasikhah Fitri</v>
      </c>
      <c r="D86" s="7"/>
      <c r="E86" s="7"/>
      <c r="F86" s="7"/>
      <c r="G86" s="7"/>
      <c r="H86" s="14">
        <v>0.0</v>
      </c>
      <c r="I86" s="14">
        <v>0.0</v>
      </c>
      <c r="J86" s="7"/>
      <c r="K86" s="14">
        <v>0.0</v>
      </c>
      <c r="L86" s="54">
        <f t="shared" si="3"/>
        <v>0</v>
      </c>
      <c r="M86" s="54">
        <f>'LAPORAN RESMI'!L85</f>
        <v>0</v>
      </c>
      <c r="N86" s="54">
        <f t="shared" si="2"/>
        <v>0</v>
      </c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7">
        <f>'INPUT DAFTAR PESERTA'!A86</f>
        <v>83</v>
      </c>
      <c r="B87" s="25">
        <f>'INPUT DAFTAR PESERTA'!B86</f>
        <v>2509056075</v>
      </c>
      <c r="C87" s="53" t="str">
        <f>'INPUT DAFTAR PESERTA'!C86</f>
        <v>Cantika Salwa Hanifa</v>
      </c>
      <c r="D87" s="7"/>
      <c r="E87" s="7"/>
      <c r="F87" s="14"/>
      <c r="G87" s="56">
        <v>0.0</v>
      </c>
      <c r="H87" s="14">
        <v>80.0</v>
      </c>
      <c r="I87" s="14">
        <v>44.0</v>
      </c>
      <c r="J87" s="14">
        <v>23.0</v>
      </c>
      <c r="K87" s="14">
        <v>0.0</v>
      </c>
      <c r="L87" s="54">
        <f t="shared" si="3"/>
        <v>18.375</v>
      </c>
      <c r="M87" s="54">
        <f>'LAPORAN RESMI'!L86</f>
        <v>0</v>
      </c>
      <c r="N87" s="54">
        <f t="shared" si="2"/>
        <v>9.1875</v>
      </c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7">
        <f>'INPUT DAFTAR PESERTA'!A87</f>
        <v>84</v>
      </c>
      <c r="B88" s="25">
        <f>'INPUT DAFTAR PESERTA'!B87</f>
        <v>2509056076</v>
      </c>
      <c r="C88" s="53" t="str">
        <f>'INPUT DAFTAR PESERTA'!C87</f>
        <v>Andi Arief Bintang</v>
      </c>
      <c r="D88" s="14">
        <v>80.0</v>
      </c>
      <c r="E88" s="14">
        <v>0.0</v>
      </c>
      <c r="F88" s="14">
        <v>34.0</v>
      </c>
      <c r="G88" s="56">
        <v>0.0</v>
      </c>
      <c r="H88" s="14">
        <v>59.0</v>
      </c>
      <c r="I88" s="14">
        <v>0.0</v>
      </c>
      <c r="J88" s="14">
        <v>0.0</v>
      </c>
      <c r="K88" s="14">
        <v>90.0</v>
      </c>
      <c r="L88" s="54">
        <f t="shared" si="3"/>
        <v>32.875</v>
      </c>
      <c r="M88" s="54">
        <f>'LAPORAN RESMI'!L87</f>
        <v>73.125</v>
      </c>
      <c r="N88" s="54">
        <f t="shared" si="2"/>
        <v>53</v>
      </c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7">
        <f>'INPUT DAFTAR PESERTA'!A88</f>
        <v>85</v>
      </c>
      <c r="B89" s="25">
        <f>'INPUT DAFTAR PESERTA'!B88</f>
        <v>2509056077</v>
      </c>
      <c r="C89" s="53" t="str">
        <f>'INPUT DAFTAR PESERTA'!C88</f>
        <v>Al Hamdan</v>
      </c>
      <c r="D89" s="7"/>
      <c r="E89" s="7"/>
      <c r="F89" s="7"/>
      <c r="G89" s="7"/>
      <c r="H89" s="14">
        <v>0.0</v>
      </c>
      <c r="I89" s="14">
        <v>0.0</v>
      </c>
      <c r="J89" s="7"/>
      <c r="K89" s="14">
        <v>0.0</v>
      </c>
      <c r="L89" s="54">
        <f t="shared" si="3"/>
        <v>0</v>
      </c>
      <c r="M89" s="54">
        <f>'LAPORAN RESMI'!L88</f>
        <v>0</v>
      </c>
      <c r="N89" s="54">
        <f t="shared" si="2"/>
        <v>0</v>
      </c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7">
        <f>'INPUT DAFTAR PESERTA'!A89</f>
        <v>86</v>
      </c>
      <c r="B90" s="7">
        <f>'INPUT DAFTAR PESERTA'!B89</f>
        <v>2509056074</v>
      </c>
      <c r="C90" s="53" t="str">
        <f>'INPUT DAFTAR PESERTA'!C89</f>
        <v>Andi Muhammad Caeril Irfan</v>
      </c>
      <c r="D90" s="7"/>
      <c r="E90" s="7"/>
      <c r="F90" s="7"/>
      <c r="G90" s="14"/>
      <c r="H90" s="14">
        <v>0.0</v>
      </c>
      <c r="I90" s="14">
        <v>0.0</v>
      </c>
      <c r="J90" s="14">
        <v>39.0</v>
      </c>
      <c r="K90" s="14">
        <v>0.0</v>
      </c>
      <c r="L90" s="54">
        <f t="shared" si="3"/>
        <v>4.875</v>
      </c>
      <c r="M90" s="54">
        <f>'LAPORAN RESMI'!L89</f>
        <v>0</v>
      </c>
      <c r="N90" s="54">
        <f t="shared" si="2"/>
        <v>2.4375</v>
      </c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8"/>
      <c r="B99" s="48" t="str">
        <f>'INPUT DAFTAR PESERTA'!B98</f>
        <v/>
      </c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8"/>
      <c r="B100" s="48" t="str">
        <f>'INPUT DAFTAR PESERTA'!B99</f>
        <v/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8"/>
      <c r="B101" s="48" t="str">
        <f>'INPUT DAFTAR PESERTA'!B100</f>
        <v/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8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8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8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8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8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8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8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8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8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8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8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8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8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8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8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8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8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8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8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8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8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8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8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8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8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8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8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8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8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8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8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8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8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8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8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8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8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8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8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8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8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8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8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8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8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8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8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8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8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8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8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8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8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8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8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8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8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8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8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8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8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8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8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8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8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8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8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8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8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8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8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8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8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8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8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8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8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8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8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8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8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8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8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8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8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8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8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8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8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8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8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8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8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8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8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8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8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8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8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8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8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8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8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8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8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8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8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8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8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8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8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8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8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8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8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8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8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8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8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8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8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8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8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8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8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8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8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8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8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8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8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8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8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8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8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8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8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8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8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8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8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8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8"/>
      <c r="B244" s="48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8"/>
      <c r="B245" s="48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8"/>
      <c r="B246" s="48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8"/>
      <c r="B247" s="48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8"/>
      <c r="B248" s="48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8"/>
      <c r="B249" s="48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8"/>
      <c r="B250" s="48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8"/>
      <c r="B251" s="48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8"/>
      <c r="B252" s="48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8"/>
      <c r="B253" s="48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8"/>
      <c r="B254" s="48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8"/>
      <c r="B255" s="48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8"/>
      <c r="B256" s="48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8"/>
      <c r="B257" s="48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8"/>
      <c r="B258" s="48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8"/>
      <c r="B259" s="48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8"/>
      <c r="B260" s="48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8"/>
      <c r="B261" s="48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8"/>
      <c r="B262" s="48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8"/>
      <c r="B263" s="48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8"/>
      <c r="B264" s="48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8"/>
      <c r="B265" s="48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8"/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8"/>
      <c r="B267" s="48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8"/>
      <c r="B268" s="48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8"/>
      <c r="B269" s="48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8"/>
      <c r="B270" s="48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8"/>
      <c r="B271" s="48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8"/>
      <c r="B272" s="48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8"/>
      <c r="B273" s="48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8"/>
      <c r="B274" s="48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8"/>
      <c r="B275" s="48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8"/>
      <c r="B276" s="48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8"/>
      <c r="B277" s="48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8"/>
      <c r="B278" s="48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8"/>
      <c r="B279" s="48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8"/>
      <c r="B280" s="48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8"/>
      <c r="B281" s="48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8"/>
      <c r="B282" s="48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8"/>
      <c r="B283" s="48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8"/>
      <c r="B284" s="48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8"/>
      <c r="B285" s="48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8"/>
      <c r="B286" s="48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8"/>
      <c r="B287" s="48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8"/>
      <c r="B288" s="48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8"/>
      <c r="B289" s="48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8"/>
      <c r="B290" s="48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8"/>
      <c r="B291" s="48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8"/>
      <c r="B292" s="48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8"/>
      <c r="B293" s="48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8"/>
      <c r="B294" s="48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8"/>
      <c r="B295" s="48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8"/>
      <c r="B296" s="48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8"/>
      <c r="B297" s="48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8"/>
      <c r="B298" s="48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8"/>
      <c r="B299" s="48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8"/>
      <c r="B300" s="48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8"/>
      <c r="B301" s="48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8"/>
      <c r="B302" s="48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8"/>
      <c r="B303" s="48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8"/>
      <c r="B304" s="48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8"/>
      <c r="B305" s="48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8"/>
      <c r="B306" s="48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8"/>
      <c r="B307" s="48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8"/>
      <c r="B308" s="48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8"/>
      <c r="B309" s="48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8"/>
      <c r="B310" s="48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8"/>
      <c r="B311" s="48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8"/>
      <c r="B312" s="48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8"/>
      <c r="B313" s="48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8"/>
      <c r="B314" s="48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8"/>
      <c r="B315" s="48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8"/>
      <c r="B316" s="48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8"/>
      <c r="B317" s="48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8"/>
      <c r="B318" s="48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8"/>
      <c r="B319" s="48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8"/>
      <c r="B320" s="48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8"/>
      <c r="B321" s="48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8"/>
      <c r="B322" s="48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8"/>
      <c r="B323" s="48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8"/>
      <c r="B324" s="48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8"/>
      <c r="B325" s="48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8"/>
      <c r="B326" s="48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8"/>
      <c r="B327" s="48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8"/>
      <c r="B328" s="48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8"/>
      <c r="B329" s="48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8"/>
      <c r="B330" s="48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8"/>
      <c r="B331" s="48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8"/>
      <c r="B332" s="48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8"/>
      <c r="B333" s="48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8"/>
      <c r="B334" s="48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8"/>
      <c r="B335" s="48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8"/>
      <c r="B336" s="48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8"/>
      <c r="B337" s="48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8"/>
      <c r="B338" s="48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8"/>
      <c r="B339" s="48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8"/>
      <c r="B340" s="48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8"/>
      <c r="B341" s="48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8"/>
      <c r="B342" s="48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8"/>
      <c r="B343" s="48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8"/>
      <c r="B344" s="48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8"/>
      <c r="B345" s="48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8"/>
      <c r="B346" s="48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8"/>
      <c r="B347" s="48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8"/>
      <c r="B348" s="48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8"/>
      <c r="B349" s="48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8"/>
      <c r="B350" s="48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8"/>
      <c r="B351" s="48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8"/>
      <c r="B352" s="48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8"/>
      <c r="B353" s="48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8"/>
      <c r="B354" s="48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8"/>
      <c r="B355" s="48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8"/>
      <c r="B356" s="48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8"/>
      <c r="B357" s="48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8"/>
      <c r="B358" s="48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8"/>
      <c r="B359" s="48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8"/>
      <c r="B360" s="48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8"/>
      <c r="B361" s="48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8"/>
      <c r="B362" s="48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8"/>
      <c r="B363" s="48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8"/>
      <c r="B364" s="48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8"/>
      <c r="B365" s="48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8"/>
      <c r="B366" s="48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8"/>
      <c r="B367" s="48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8"/>
      <c r="B368" s="48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8"/>
      <c r="B369" s="48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8"/>
      <c r="B370" s="48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8"/>
      <c r="B371" s="48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8"/>
      <c r="B372" s="48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8"/>
      <c r="B373" s="48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8"/>
      <c r="B374" s="48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8"/>
      <c r="B375" s="48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8"/>
      <c r="B376" s="48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8"/>
      <c r="B377" s="48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8"/>
      <c r="B378" s="48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8"/>
      <c r="B379" s="48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8"/>
      <c r="B380" s="48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8"/>
      <c r="B381" s="48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8"/>
      <c r="B382" s="48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8"/>
      <c r="B383" s="48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8"/>
      <c r="B384" s="48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8"/>
      <c r="B385" s="48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8"/>
      <c r="B386" s="48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8"/>
      <c r="B387" s="48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8"/>
      <c r="B388" s="48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8"/>
      <c r="B389" s="48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8"/>
      <c r="B390" s="48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8"/>
      <c r="B391" s="48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8"/>
      <c r="B392" s="48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8"/>
      <c r="B393" s="48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8"/>
      <c r="B394" s="48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8"/>
      <c r="B395" s="48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8"/>
      <c r="B396" s="48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8"/>
      <c r="B397" s="48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8"/>
      <c r="B398" s="48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8"/>
      <c r="B399" s="48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8"/>
      <c r="B400" s="48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8"/>
      <c r="B401" s="48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8"/>
      <c r="B402" s="48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8"/>
      <c r="B403" s="48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8"/>
      <c r="B404" s="48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8"/>
      <c r="B405" s="48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8"/>
      <c r="B406" s="48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8"/>
      <c r="B407" s="48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8"/>
      <c r="B408" s="48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8"/>
      <c r="B409" s="48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8"/>
      <c r="B410" s="48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8"/>
      <c r="B411" s="48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8"/>
      <c r="B412" s="48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8"/>
      <c r="B413" s="48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8"/>
      <c r="B414" s="48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8"/>
      <c r="B415" s="48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8"/>
      <c r="B416" s="48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8"/>
      <c r="B417" s="48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8"/>
      <c r="B418" s="48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8"/>
      <c r="B419" s="48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8"/>
      <c r="B420" s="48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8"/>
      <c r="B421" s="48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8"/>
      <c r="B422" s="48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8"/>
      <c r="B423" s="48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8"/>
      <c r="B424" s="48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8"/>
      <c r="B425" s="48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8"/>
      <c r="B426" s="48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8"/>
      <c r="B427" s="48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8"/>
      <c r="B428" s="48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8"/>
      <c r="B429" s="48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8"/>
      <c r="B430" s="48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8"/>
      <c r="B431" s="48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8"/>
      <c r="B432" s="48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8"/>
      <c r="B433" s="48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8"/>
      <c r="B434" s="48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8"/>
      <c r="B435" s="48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8"/>
      <c r="B436" s="48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8"/>
      <c r="B437" s="48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8"/>
      <c r="B438" s="48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8"/>
      <c r="B439" s="48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8"/>
      <c r="B440" s="48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8"/>
      <c r="B441" s="48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8"/>
      <c r="B442" s="48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8"/>
      <c r="B443" s="48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8"/>
      <c r="B444" s="48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8"/>
      <c r="B445" s="48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8"/>
      <c r="B446" s="48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8"/>
      <c r="B447" s="48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8"/>
      <c r="B448" s="48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8"/>
      <c r="B449" s="48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8"/>
      <c r="B450" s="48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8"/>
      <c r="B451" s="48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8"/>
      <c r="B452" s="48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8"/>
      <c r="B453" s="48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8"/>
      <c r="B454" s="48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8"/>
      <c r="B455" s="48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8"/>
      <c r="B456" s="48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8"/>
      <c r="B457" s="48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8"/>
      <c r="B458" s="48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8"/>
      <c r="B459" s="48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8"/>
      <c r="B460" s="48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8"/>
      <c r="B461" s="48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8"/>
      <c r="B462" s="48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8"/>
      <c r="B463" s="48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8"/>
      <c r="B464" s="48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8"/>
      <c r="B465" s="48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8"/>
      <c r="B466" s="48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8"/>
      <c r="B467" s="48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8"/>
      <c r="B468" s="48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8"/>
      <c r="B469" s="48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8"/>
      <c r="B470" s="48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8"/>
      <c r="B471" s="48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8"/>
      <c r="B472" s="48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8"/>
      <c r="B473" s="48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8"/>
      <c r="B474" s="48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8"/>
      <c r="B475" s="48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8"/>
      <c r="B476" s="48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8"/>
      <c r="B477" s="48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8"/>
      <c r="B478" s="48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8"/>
      <c r="B479" s="48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8"/>
      <c r="B480" s="48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8"/>
      <c r="B481" s="48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8"/>
      <c r="B482" s="48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8"/>
      <c r="B483" s="48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8"/>
      <c r="B484" s="48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8"/>
      <c r="B485" s="48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8"/>
      <c r="B486" s="48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8"/>
      <c r="B487" s="48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8"/>
      <c r="B488" s="48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8"/>
      <c r="B489" s="48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8"/>
      <c r="B490" s="48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8"/>
      <c r="B491" s="48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8"/>
      <c r="B492" s="48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8"/>
      <c r="B493" s="48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8"/>
      <c r="B494" s="48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8"/>
      <c r="B495" s="48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8"/>
      <c r="B496" s="48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8"/>
      <c r="B497" s="48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8"/>
      <c r="B498" s="48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8"/>
      <c r="B499" s="48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8"/>
      <c r="B500" s="48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8"/>
      <c r="B501" s="48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8"/>
      <c r="B502" s="48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8"/>
      <c r="B503" s="48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8"/>
      <c r="B504" s="48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8"/>
      <c r="B505" s="48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8"/>
      <c r="B506" s="48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8"/>
      <c r="B507" s="48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8"/>
      <c r="B508" s="48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8"/>
      <c r="B509" s="48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8"/>
      <c r="B510" s="48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8"/>
      <c r="B511" s="48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8"/>
      <c r="B512" s="48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8"/>
      <c r="B513" s="48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8"/>
      <c r="B514" s="48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8"/>
      <c r="B515" s="48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8"/>
      <c r="B516" s="48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8"/>
      <c r="B517" s="48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8"/>
      <c r="B518" s="48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8"/>
      <c r="B519" s="48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8"/>
      <c r="B520" s="48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8"/>
      <c r="B521" s="48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8"/>
      <c r="B522" s="48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8"/>
      <c r="B523" s="48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8"/>
      <c r="B524" s="48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8"/>
      <c r="B525" s="48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8"/>
      <c r="B526" s="48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8"/>
      <c r="B527" s="48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8"/>
      <c r="B528" s="48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8"/>
      <c r="B529" s="48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8"/>
      <c r="B530" s="48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8"/>
      <c r="B531" s="48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8"/>
      <c r="B532" s="48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8"/>
      <c r="B533" s="48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8"/>
      <c r="B534" s="48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8"/>
      <c r="B535" s="48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8"/>
      <c r="B536" s="48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8"/>
      <c r="B537" s="48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8"/>
      <c r="B538" s="48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8"/>
      <c r="B539" s="48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8"/>
      <c r="B540" s="48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8"/>
      <c r="B541" s="48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8"/>
      <c r="B542" s="48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8"/>
      <c r="B543" s="48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8"/>
      <c r="B544" s="48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8"/>
      <c r="B545" s="48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8"/>
      <c r="B546" s="48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8"/>
      <c r="B547" s="48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8"/>
      <c r="B548" s="48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8"/>
      <c r="B549" s="48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8"/>
      <c r="B550" s="48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8"/>
      <c r="B551" s="48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8"/>
      <c r="B552" s="48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8"/>
      <c r="B553" s="48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8"/>
      <c r="B554" s="48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8"/>
      <c r="B555" s="48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8"/>
      <c r="B556" s="48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8"/>
      <c r="B557" s="48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8"/>
      <c r="B558" s="48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8"/>
      <c r="B559" s="48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8"/>
      <c r="B560" s="48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8"/>
      <c r="B561" s="48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8"/>
      <c r="B562" s="48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8"/>
      <c r="B563" s="48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8"/>
      <c r="B564" s="48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8"/>
      <c r="B565" s="48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8"/>
      <c r="B566" s="48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8"/>
      <c r="B567" s="48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8"/>
      <c r="B568" s="48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8"/>
      <c r="B569" s="48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8"/>
      <c r="B570" s="48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8"/>
      <c r="B571" s="48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8"/>
      <c r="B572" s="48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8"/>
      <c r="B573" s="48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8"/>
      <c r="B574" s="48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8"/>
      <c r="B575" s="48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8"/>
      <c r="B576" s="48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8"/>
      <c r="B577" s="48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8"/>
      <c r="B578" s="48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8"/>
      <c r="B579" s="48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8"/>
      <c r="B580" s="48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8"/>
      <c r="B581" s="48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8"/>
      <c r="B582" s="48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8"/>
      <c r="B583" s="48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8"/>
      <c r="B584" s="48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8"/>
      <c r="B585" s="48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8"/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8"/>
      <c r="B587" s="48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8"/>
      <c r="B588" s="48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8"/>
      <c r="B589" s="48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8"/>
      <c r="B590" s="48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8"/>
      <c r="B591" s="48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8"/>
      <c r="B592" s="48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8"/>
      <c r="B593" s="48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8"/>
      <c r="B594" s="48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8"/>
      <c r="B595" s="48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8"/>
      <c r="B596" s="48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8"/>
      <c r="B597" s="48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8"/>
      <c r="B598" s="48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8"/>
      <c r="B599" s="48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8"/>
      <c r="B600" s="48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8"/>
      <c r="B601" s="48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8"/>
      <c r="B602" s="48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8"/>
      <c r="B603" s="48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8"/>
      <c r="B604" s="48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8"/>
      <c r="B605" s="48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8"/>
      <c r="B606" s="48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8"/>
      <c r="B607" s="48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8"/>
      <c r="B608" s="48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8"/>
      <c r="B609" s="48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8"/>
      <c r="B610" s="48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8"/>
      <c r="B611" s="48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8"/>
      <c r="B612" s="48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8"/>
      <c r="B613" s="48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8"/>
      <c r="B614" s="48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8"/>
      <c r="B615" s="48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8"/>
      <c r="B616" s="48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8"/>
      <c r="B617" s="48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8"/>
      <c r="B618" s="48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8"/>
      <c r="B619" s="48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8"/>
      <c r="B620" s="48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8"/>
      <c r="B621" s="48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8"/>
      <c r="B622" s="48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8"/>
      <c r="B623" s="48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8"/>
      <c r="B624" s="48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8"/>
      <c r="B625" s="48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8"/>
      <c r="B626" s="48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8"/>
      <c r="B627" s="48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8"/>
      <c r="B628" s="48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8"/>
      <c r="B629" s="48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8"/>
      <c r="B630" s="48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8"/>
      <c r="B631" s="48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8"/>
      <c r="B632" s="48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8"/>
      <c r="B633" s="48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8"/>
      <c r="B634" s="48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8"/>
      <c r="B635" s="48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8"/>
      <c r="B636" s="48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8"/>
      <c r="B637" s="48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8"/>
      <c r="B638" s="48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8"/>
      <c r="B639" s="48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8"/>
      <c r="B640" s="48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8"/>
      <c r="B641" s="48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8"/>
      <c r="B642" s="48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8"/>
      <c r="B643" s="48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8"/>
      <c r="B644" s="48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8"/>
      <c r="B645" s="48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8"/>
      <c r="B646" s="48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8"/>
      <c r="B647" s="48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8"/>
      <c r="B648" s="48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8"/>
      <c r="B649" s="48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8"/>
      <c r="B650" s="48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8"/>
      <c r="B651" s="48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8"/>
      <c r="B652" s="48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8"/>
      <c r="B653" s="48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8"/>
      <c r="B654" s="48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8"/>
      <c r="B655" s="48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8"/>
      <c r="B656" s="48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8"/>
      <c r="B657" s="48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8"/>
      <c r="B658" s="48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8"/>
      <c r="B659" s="48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8"/>
      <c r="B660" s="48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8"/>
      <c r="B661" s="48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8"/>
      <c r="B662" s="48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8"/>
      <c r="B663" s="48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8"/>
      <c r="B664" s="48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8"/>
      <c r="B665" s="48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8"/>
      <c r="B666" s="48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8"/>
      <c r="B667" s="48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8"/>
      <c r="B668" s="48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8"/>
      <c r="B669" s="48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8"/>
      <c r="B670" s="48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8"/>
      <c r="B671" s="48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8"/>
      <c r="B672" s="48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8"/>
      <c r="B673" s="48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8"/>
      <c r="B674" s="48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8"/>
      <c r="B675" s="48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8"/>
      <c r="B676" s="48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8"/>
      <c r="B677" s="48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8"/>
      <c r="B678" s="48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8"/>
      <c r="B679" s="48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8"/>
      <c r="B680" s="48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8"/>
      <c r="B681" s="48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8"/>
      <c r="B682" s="48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8"/>
      <c r="B683" s="48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8"/>
      <c r="B684" s="48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8"/>
      <c r="B685" s="48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8"/>
      <c r="B686" s="48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8"/>
      <c r="B687" s="48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8"/>
      <c r="B688" s="48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8"/>
      <c r="B689" s="48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8"/>
      <c r="B690" s="48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8"/>
      <c r="B691" s="48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8"/>
      <c r="B692" s="48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8"/>
      <c r="B693" s="48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8"/>
      <c r="B694" s="48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8"/>
      <c r="B695" s="48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8"/>
      <c r="B696" s="48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8"/>
      <c r="B697" s="48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8"/>
      <c r="B698" s="48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8"/>
      <c r="B699" s="48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8"/>
      <c r="B700" s="48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8"/>
      <c r="B701" s="48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8"/>
      <c r="B702" s="48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8"/>
      <c r="B703" s="48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8"/>
      <c r="B704" s="48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8"/>
      <c r="B705" s="48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8"/>
      <c r="B706" s="48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8"/>
      <c r="B707" s="48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8"/>
      <c r="B708" s="48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8"/>
      <c r="B709" s="48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8"/>
      <c r="B710" s="48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8"/>
      <c r="B711" s="48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8"/>
      <c r="B712" s="48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8"/>
      <c r="B713" s="48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8"/>
      <c r="B714" s="48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8"/>
      <c r="B715" s="48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8"/>
      <c r="B716" s="48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8"/>
      <c r="B717" s="48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8"/>
      <c r="B718" s="48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8"/>
      <c r="B719" s="48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8"/>
      <c r="B720" s="48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8"/>
      <c r="B721" s="48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8"/>
      <c r="B722" s="48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8"/>
      <c r="B723" s="48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8"/>
      <c r="B724" s="48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8"/>
      <c r="B725" s="48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8"/>
      <c r="B726" s="48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8"/>
      <c r="B727" s="48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8"/>
      <c r="B728" s="48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8"/>
      <c r="B729" s="48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8"/>
      <c r="B730" s="48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8"/>
      <c r="B731" s="48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8"/>
      <c r="B732" s="48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8"/>
      <c r="B733" s="48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8"/>
      <c r="B734" s="48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8"/>
      <c r="B735" s="48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8"/>
      <c r="B736" s="48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8"/>
      <c r="B737" s="48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8"/>
      <c r="B738" s="48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8"/>
      <c r="B739" s="48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8"/>
      <c r="B740" s="48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8"/>
      <c r="B741" s="48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8"/>
      <c r="B742" s="48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8"/>
      <c r="B743" s="48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8"/>
      <c r="B744" s="48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8"/>
      <c r="B745" s="48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8"/>
      <c r="B746" s="48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8"/>
      <c r="B747" s="48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8"/>
      <c r="B748" s="48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8"/>
      <c r="B749" s="48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8"/>
      <c r="B750" s="48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8"/>
      <c r="B751" s="48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8"/>
      <c r="B752" s="48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8"/>
      <c r="B753" s="48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8"/>
      <c r="B754" s="48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8"/>
      <c r="B755" s="48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8"/>
      <c r="B756" s="48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8"/>
      <c r="B757" s="48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8"/>
      <c r="B758" s="48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8"/>
      <c r="B759" s="48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8"/>
      <c r="B760" s="48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8"/>
      <c r="B761" s="48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8"/>
      <c r="B762" s="48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8"/>
      <c r="B763" s="48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8"/>
      <c r="B764" s="48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8"/>
      <c r="B765" s="48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8"/>
      <c r="B766" s="48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8"/>
      <c r="B767" s="48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8"/>
      <c r="B768" s="48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8"/>
      <c r="B769" s="48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8"/>
      <c r="B770" s="48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8"/>
      <c r="B771" s="48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8"/>
      <c r="B772" s="48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8"/>
      <c r="B773" s="48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8"/>
      <c r="B774" s="48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8"/>
      <c r="B775" s="48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8"/>
      <c r="B776" s="48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8"/>
      <c r="B777" s="48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8"/>
      <c r="B778" s="48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8"/>
      <c r="B779" s="48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8"/>
      <c r="B780" s="48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8"/>
      <c r="B781" s="48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8"/>
      <c r="B782" s="48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8"/>
      <c r="B783" s="48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8"/>
      <c r="B784" s="48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8"/>
      <c r="B785" s="48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8"/>
      <c r="B786" s="48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8"/>
      <c r="B787" s="48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8"/>
      <c r="B788" s="48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8"/>
      <c r="B789" s="48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8"/>
      <c r="B790" s="48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8"/>
      <c r="B791" s="48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8"/>
      <c r="B792" s="48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8"/>
      <c r="B793" s="48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8"/>
      <c r="B794" s="48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8"/>
      <c r="B795" s="48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8"/>
      <c r="B796" s="48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8"/>
      <c r="B797" s="48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8"/>
      <c r="B798" s="48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8"/>
      <c r="B799" s="48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8"/>
      <c r="B800" s="48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8"/>
      <c r="B801" s="48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8"/>
      <c r="B802" s="48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8"/>
      <c r="B803" s="48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8"/>
      <c r="B804" s="48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8"/>
      <c r="B805" s="48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8"/>
      <c r="B806" s="48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8"/>
      <c r="B807" s="48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8"/>
      <c r="B808" s="48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8"/>
      <c r="B809" s="48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8"/>
      <c r="B810" s="48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8"/>
      <c r="B811" s="48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8"/>
      <c r="B812" s="48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8"/>
      <c r="B813" s="48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8"/>
      <c r="B814" s="48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8"/>
      <c r="B815" s="48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8"/>
      <c r="B816" s="48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8"/>
      <c r="B817" s="48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8"/>
      <c r="B818" s="48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8"/>
      <c r="B819" s="48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8"/>
      <c r="B820" s="48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8"/>
      <c r="B821" s="48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8"/>
      <c r="B822" s="48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8"/>
      <c r="B823" s="48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8"/>
      <c r="B824" s="48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8"/>
      <c r="B825" s="48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8"/>
      <c r="B826" s="48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8"/>
      <c r="B827" s="48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8"/>
      <c r="B828" s="48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8"/>
      <c r="B829" s="48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8"/>
      <c r="B830" s="48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8"/>
      <c r="B831" s="48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8"/>
      <c r="B832" s="48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8"/>
      <c r="B833" s="48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8"/>
      <c r="B834" s="48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8"/>
      <c r="B835" s="48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8"/>
      <c r="B836" s="48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8"/>
      <c r="B837" s="48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8"/>
      <c r="B838" s="48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8"/>
      <c r="B839" s="48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8"/>
      <c r="B840" s="48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8"/>
      <c r="B841" s="48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8"/>
      <c r="B842" s="48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8"/>
      <c r="B843" s="48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8"/>
      <c r="B844" s="48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8"/>
      <c r="B845" s="48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8"/>
      <c r="B846" s="48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8"/>
      <c r="B847" s="48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8"/>
      <c r="B848" s="48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8"/>
      <c r="B849" s="48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8"/>
      <c r="B850" s="48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8"/>
      <c r="B851" s="48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8"/>
      <c r="B852" s="48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8"/>
      <c r="B853" s="48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8"/>
      <c r="B854" s="48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8"/>
      <c r="B855" s="48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8"/>
      <c r="B856" s="48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8"/>
      <c r="B857" s="48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8"/>
      <c r="B858" s="48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8"/>
      <c r="B859" s="48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8"/>
      <c r="B860" s="48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8"/>
      <c r="B861" s="48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8"/>
      <c r="B862" s="48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8"/>
      <c r="B863" s="48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8"/>
      <c r="B864" s="48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8"/>
      <c r="B865" s="48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8"/>
      <c r="B866" s="48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8"/>
      <c r="B867" s="48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8"/>
      <c r="B868" s="48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8"/>
      <c r="B869" s="48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8"/>
      <c r="B870" s="48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8"/>
      <c r="B871" s="48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8"/>
      <c r="B872" s="48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8"/>
      <c r="B873" s="48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8"/>
      <c r="B874" s="48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8"/>
      <c r="B875" s="48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8"/>
      <c r="B876" s="48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8"/>
      <c r="B877" s="48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8"/>
      <c r="B878" s="48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8"/>
      <c r="B879" s="48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8"/>
      <c r="B880" s="48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8"/>
      <c r="B881" s="48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8"/>
      <c r="B882" s="48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8"/>
      <c r="B883" s="48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8"/>
      <c r="B884" s="48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8"/>
      <c r="B885" s="48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8"/>
      <c r="B886" s="48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8"/>
      <c r="B887" s="48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8"/>
      <c r="B888" s="48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8"/>
      <c r="B889" s="48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8"/>
      <c r="B890" s="48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8"/>
      <c r="B891" s="48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8"/>
      <c r="B892" s="48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8"/>
      <c r="B893" s="48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8"/>
      <c r="B894" s="48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8"/>
      <c r="B895" s="48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8"/>
      <c r="B896" s="48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8"/>
      <c r="B897" s="48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8"/>
      <c r="B898" s="48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8"/>
      <c r="B899" s="48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8"/>
      <c r="B900" s="48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8"/>
      <c r="B901" s="48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8"/>
      <c r="B902" s="48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8"/>
      <c r="B903" s="48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8"/>
      <c r="B904" s="48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8"/>
      <c r="B905" s="48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8"/>
      <c r="B906" s="48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8"/>
      <c r="B907" s="48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8"/>
      <c r="B908" s="48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8"/>
      <c r="B909" s="48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8"/>
      <c r="B910" s="48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8"/>
      <c r="B911" s="48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8"/>
      <c r="B912" s="48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8"/>
      <c r="B913" s="48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8"/>
      <c r="B914" s="48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8"/>
      <c r="B915" s="48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8"/>
      <c r="B916" s="48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8"/>
      <c r="B917" s="48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8"/>
      <c r="B918" s="48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8"/>
      <c r="B919" s="48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8"/>
      <c r="B920" s="48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8"/>
      <c r="B921" s="48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8"/>
      <c r="B922" s="48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8"/>
      <c r="B923" s="48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8"/>
      <c r="B924" s="48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8"/>
      <c r="B925" s="48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8"/>
      <c r="B926" s="48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8"/>
      <c r="B927" s="48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8"/>
      <c r="B928" s="48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8"/>
      <c r="B929" s="48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8"/>
      <c r="B930" s="48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8"/>
      <c r="B931" s="48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8"/>
      <c r="B932" s="48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8"/>
      <c r="B933" s="48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8"/>
      <c r="B934" s="48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8"/>
      <c r="B935" s="48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8"/>
      <c r="B936" s="48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8"/>
      <c r="B937" s="48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8"/>
      <c r="B938" s="48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8"/>
      <c r="B939" s="48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8"/>
      <c r="B940" s="48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8"/>
      <c r="B941" s="48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8"/>
      <c r="B942" s="48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8"/>
      <c r="B943" s="48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8"/>
      <c r="B944" s="48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8"/>
      <c r="B945" s="48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8"/>
      <c r="B946" s="48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8"/>
      <c r="B947" s="48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8"/>
      <c r="B948" s="48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8"/>
      <c r="B949" s="48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8"/>
      <c r="B950" s="48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8"/>
      <c r="B951" s="48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8"/>
      <c r="B952" s="48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8"/>
      <c r="B953" s="48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8"/>
      <c r="B954" s="48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8"/>
      <c r="B955" s="48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8"/>
      <c r="B956" s="48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8"/>
      <c r="B957" s="48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8"/>
      <c r="B958" s="48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8"/>
      <c r="B959" s="48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8"/>
      <c r="B960" s="48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8"/>
      <c r="B961" s="48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8"/>
      <c r="B962" s="48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8"/>
      <c r="B963" s="48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8"/>
      <c r="B964" s="48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8"/>
      <c r="B965" s="48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8"/>
      <c r="B966" s="48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8"/>
      <c r="B967" s="48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8"/>
      <c r="B968" s="48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8"/>
      <c r="B969" s="48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8"/>
      <c r="B970" s="48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8"/>
      <c r="B971" s="48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8"/>
      <c r="B972" s="48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8"/>
      <c r="B973" s="48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8"/>
      <c r="B974" s="48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8"/>
      <c r="B975" s="48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8"/>
      <c r="B976" s="48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8"/>
      <c r="B977" s="48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8"/>
      <c r="B978" s="48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8"/>
      <c r="B979" s="48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8"/>
      <c r="B980" s="48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8"/>
      <c r="B981" s="48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8"/>
      <c r="B982" s="48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8"/>
      <c r="B983" s="48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8"/>
      <c r="B984" s="48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8"/>
      <c r="B985" s="48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8"/>
      <c r="B986" s="48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8"/>
      <c r="B987" s="48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8"/>
      <c r="B988" s="48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8"/>
      <c r="B989" s="48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8"/>
      <c r="B990" s="48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8"/>
      <c r="B991" s="48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8"/>
      <c r="B992" s="48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8"/>
      <c r="B993" s="48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8"/>
      <c r="B994" s="48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8"/>
      <c r="B995" s="48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8"/>
      <c r="B996" s="48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8"/>
      <c r="B997" s="48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8"/>
      <c r="B998" s="48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8"/>
      <c r="B999" s="48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8"/>
      <c r="B1000" s="48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5">
    <mergeCell ref="A3:A4"/>
    <mergeCell ref="B3:B4"/>
    <mergeCell ref="C3:C4"/>
    <mergeCell ref="D3:K3"/>
    <mergeCell ref="N3:N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63"/>
    <col customWidth="1" min="3" max="3" width="36.75"/>
    <col customWidth="1" min="4" max="12" width="5.88"/>
    <col customWidth="1" min="13" max="13" width="6.0"/>
    <col customWidth="1" min="14" max="17" width="5.88"/>
    <col customWidth="1" min="18" max="18" width="6.0"/>
    <col customWidth="1" min="19" max="22" width="5.88"/>
    <col customWidth="1" min="23" max="23" width="6.0"/>
    <col customWidth="1" min="24" max="27" width="5.88"/>
    <col customWidth="1" min="28" max="28" width="6.0"/>
    <col customWidth="1" min="29" max="32" width="5.88"/>
    <col customWidth="1" min="33" max="33" width="6.0"/>
    <col customWidth="1" min="34" max="37" width="5.88"/>
    <col customWidth="1" min="38" max="38" width="6.0"/>
    <col customWidth="1" min="39" max="42" width="5.88"/>
    <col customWidth="1" min="43" max="43" width="6.0"/>
  </cols>
  <sheetData>
    <row r="1">
      <c r="A1" s="47" t="s">
        <v>120</v>
      </c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</row>
    <row r="2">
      <c r="A2" s="48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</row>
    <row r="3">
      <c r="A3" s="19" t="s">
        <v>1</v>
      </c>
      <c r="B3" s="19" t="s">
        <v>2</v>
      </c>
      <c r="C3" s="19" t="s">
        <v>3</v>
      </c>
      <c r="D3" s="50" t="s">
        <v>111</v>
      </c>
      <c r="E3" s="21"/>
      <c r="F3" s="21"/>
      <c r="G3" s="21"/>
      <c r="H3" s="22"/>
      <c r="I3" s="50" t="s">
        <v>112</v>
      </c>
      <c r="J3" s="21"/>
      <c r="K3" s="21"/>
      <c r="L3" s="21"/>
      <c r="M3" s="22"/>
      <c r="N3" s="50" t="s">
        <v>113</v>
      </c>
      <c r="O3" s="21"/>
      <c r="P3" s="21"/>
      <c r="Q3" s="21"/>
      <c r="R3" s="22"/>
      <c r="S3" s="50" t="s">
        <v>114</v>
      </c>
      <c r="T3" s="21"/>
      <c r="U3" s="21"/>
      <c r="V3" s="21"/>
      <c r="W3" s="22"/>
      <c r="X3" s="57" t="s">
        <v>115</v>
      </c>
      <c r="Y3" s="21"/>
      <c r="Z3" s="21"/>
      <c r="AA3" s="21"/>
      <c r="AB3" s="22"/>
      <c r="AC3" s="20" t="s">
        <v>116</v>
      </c>
      <c r="AD3" s="21"/>
      <c r="AE3" s="21"/>
      <c r="AF3" s="21"/>
      <c r="AG3" s="22"/>
      <c r="AH3" s="20" t="s">
        <v>117</v>
      </c>
      <c r="AI3" s="21"/>
      <c r="AJ3" s="21"/>
      <c r="AK3" s="21"/>
      <c r="AL3" s="22"/>
      <c r="AM3" s="50" t="s">
        <v>118</v>
      </c>
      <c r="AN3" s="21"/>
      <c r="AO3" s="21"/>
      <c r="AP3" s="21"/>
      <c r="AQ3" s="22"/>
    </row>
    <row r="4">
      <c r="A4" s="58"/>
      <c r="B4" s="58"/>
      <c r="C4" s="58"/>
      <c r="D4" s="51" t="s">
        <v>124</v>
      </c>
      <c r="E4" s="51" t="s">
        <v>125</v>
      </c>
      <c r="F4" s="51" t="s">
        <v>126</v>
      </c>
      <c r="G4" s="51" t="s">
        <v>127</v>
      </c>
      <c r="H4" s="51" t="s">
        <v>128</v>
      </c>
      <c r="I4" s="51" t="s">
        <v>124</v>
      </c>
      <c r="J4" s="51" t="s">
        <v>125</v>
      </c>
      <c r="K4" s="51" t="s">
        <v>126</v>
      </c>
      <c r="L4" s="51" t="s">
        <v>127</v>
      </c>
      <c r="M4" s="51" t="s">
        <v>128</v>
      </c>
      <c r="N4" s="51" t="s">
        <v>124</v>
      </c>
      <c r="O4" s="51" t="s">
        <v>125</v>
      </c>
      <c r="P4" s="51" t="s">
        <v>126</v>
      </c>
      <c r="Q4" s="51" t="s">
        <v>127</v>
      </c>
      <c r="R4" s="51" t="s">
        <v>128</v>
      </c>
      <c r="S4" s="51" t="s">
        <v>124</v>
      </c>
      <c r="T4" s="51" t="s">
        <v>125</v>
      </c>
      <c r="U4" s="51" t="s">
        <v>126</v>
      </c>
      <c r="V4" s="51" t="s">
        <v>127</v>
      </c>
      <c r="W4" s="51" t="s">
        <v>128</v>
      </c>
      <c r="X4" s="59" t="s">
        <v>124</v>
      </c>
      <c r="Y4" s="59" t="s">
        <v>125</v>
      </c>
      <c r="Z4" s="59" t="s">
        <v>126</v>
      </c>
      <c r="AA4" s="59" t="s">
        <v>127</v>
      </c>
      <c r="AB4" s="59" t="s">
        <v>128</v>
      </c>
      <c r="AC4" s="59" t="s">
        <v>124</v>
      </c>
      <c r="AD4" s="59" t="s">
        <v>125</v>
      </c>
      <c r="AE4" s="59" t="s">
        <v>126</v>
      </c>
      <c r="AF4" s="59" t="s">
        <v>127</v>
      </c>
      <c r="AG4" s="59" t="s">
        <v>128</v>
      </c>
      <c r="AH4" s="59" t="s">
        <v>124</v>
      </c>
      <c r="AI4" s="59" t="s">
        <v>125</v>
      </c>
      <c r="AJ4" s="59" t="s">
        <v>126</v>
      </c>
      <c r="AK4" s="59" t="s">
        <v>127</v>
      </c>
      <c r="AL4" s="59" t="s">
        <v>128</v>
      </c>
      <c r="AM4" s="51" t="s">
        <v>124</v>
      </c>
      <c r="AN4" s="51" t="s">
        <v>125</v>
      </c>
      <c r="AO4" s="51" t="s">
        <v>126</v>
      </c>
      <c r="AP4" s="51" t="s">
        <v>127</v>
      </c>
      <c r="AQ4" s="51" t="s">
        <v>128</v>
      </c>
    </row>
    <row r="5">
      <c r="A5" s="23"/>
      <c r="B5" s="23"/>
      <c r="C5" s="23"/>
      <c r="D5" s="60">
        <v>0.1</v>
      </c>
      <c r="E5" s="60">
        <v>0.2</v>
      </c>
      <c r="F5" s="60">
        <v>0.2</v>
      </c>
      <c r="G5" s="60">
        <v>0.5</v>
      </c>
      <c r="H5" s="60">
        <v>1.0</v>
      </c>
      <c r="I5" s="60">
        <v>0.1</v>
      </c>
      <c r="J5" s="60">
        <v>0.2</v>
      </c>
      <c r="K5" s="60">
        <v>0.2</v>
      </c>
      <c r="L5" s="60">
        <v>0.5</v>
      </c>
      <c r="M5" s="60">
        <v>1.0</v>
      </c>
      <c r="N5" s="60">
        <v>0.1</v>
      </c>
      <c r="O5" s="60">
        <v>0.2</v>
      </c>
      <c r="P5" s="60">
        <v>0.2</v>
      </c>
      <c r="Q5" s="60">
        <v>0.5</v>
      </c>
      <c r="R5" s="60">
        <v>1.0</v>
      </c>
      <c r="S5" s="60">
        <v>0.1</v>
      </c>
      <c r="T5" s="60">
        <v>0.2</v>
      </c>
      <c r="U5" s="60">
        <v>0.2</v>
      </c>
      <c r="V5" s="60">
        <v>0.5</v>
      </c>
      <c r="W5" s="60">
        <v>1.0</v>
      </c>
      <c r="X5" s="61">
        <v>0.1</v>
      </c>
      <c r="Y5" s="61">
        <v>0.2</v>
      </c>
      <c r="Z5" s="61">
        <v>0.2</v>
      </c>
      <c r="AA5" s="61">
        <v>0.5</v>
      </c>
      <c r="AB5" s="61">
        <v>1.0</v>
      </c>
      <c r="AC5" s="61">
        <v>0.1</v>
      </c>
      <c r="AD5" s="61">
        <v>0.2</v>
      </c>
      <c r="AE5" s="61">
        <v>0.2</v>
      </c>
      <c r="AF5" s="61">
        <v>0.5</v>
      </c>
      <c r="AG5" s="61">
        <v>1.0</v>
      </c>
      <c r="AH5" s="61">
        <v>0.1</v>
      </c>
      <c r="AI5" s="61">
        <v>0.2</v>
      </c>
      <c r="AJ5" s="61">
        <v>0.2</v>
      </c>
      <c r="AK5" s="61">
        <v>0.5</v>
      </c>
      <c r="AL5" s="61">
        <v>1.0</v>
      </c>
      <c r="AM5" s="60">
        <v>0.1</v>
      </c>
      <c r="AN5" s="60">
        <v>0.2</v>
      </c>
      <c r="AO5" s="60">
        <v>0.2</v>
      </c>
      <c r="AP5" s="60">
        <v>0.5</v>
      </c>
      <c r="AQ5" s="60">
        <v>1.0</v>
      </c>
    </row>
    <row r="6">
      <c r="A6" s="7">
        <f>'INPUT DAFTAR PESERTA'!A4</f>
        <v>1</v>
      </c>
      <c r="B6" s="25">
        <f>'INPUT DAFTAR PESERTA'!B4</f>
        <v>2309056046</v>
      </c>
      <c r="C6" s="26" t="str">
        <f>'INPUT DAFTAR PESERTA'!C4</f>
        <v>Erwin</v>
      </c>
      <c r="D6" s="27">
        <v>2.0</v>
      </c>
      <c r="E6" s="27">
        <v>3.0</v>
      </c>
      <c r="F6" s="27">
        <v>3.0</v>
      </c>
      <c r="G6" s="27">
        <v>1.0</v>
      </c>
      <c r="H6" s="62">
        <f t="shared" ref="H6:H91" si="1">((D6*$D$5/3)+(E6*$E$5/3)+(F6*$F$5/3)+(G6*$G$5/3))*90</f>
        <v>57</v>
      </c>
      <c r="I6" s="27">
        <v>3.0</v>
      </c>
      <c r="J6" s="27">
        <v>3.0</v>
      </c>
      <c r="K6" s="27">
        <v>3.0</v>
      </c>
      <c r="L6" s="27">
        <v>1.0</v>
      </c>
      <c r="M6" s="62">
        <f t="shared" ref="M6:M91" si="2">((I6*$D$5/3)+(J6*$E$5/3)+(K6*$F$5/3)+(L6*$G$5/3))*90</f>
        <v>60</v>
      </c>
      <c r="N6" s="27">
        <v>2.0</v>
      </c>
      <c r="O6" s="27">
        <v>3.0</v>
      </c>
      <c r="P6" s="27">
        <v>3.0</v>
      </c>
      <c r="Q6" s="27">
        <v>1.0</v>
      </c>
      <c r="R6" s="62">
        <f t="shared" ref="R6:R91" si="3">((N6*$D$5/3)+(O6*$E$5/3)+(P6*$F$5/3)+(Q6*$G$5/3))*90</f>
        <v>57</v>
      </c>
      <c r="S6" s="27">
        <v>2.0</v>
      </c>
      <c r="T6" s="27">
        <v>3.0</v>
      </c>
      <c r="U6" s="27">
        <v>3.0</v>
      </c>
      <c r="V6" s="27">
        <v>1.0</v>
      </c>
      <c r="W6" s="62">
        <f t="shared" ref="W6:W91" si="4">((S6*$D$5/3)+(T6*$E$5/3)+(U6*$F$5/3)+(V6*$G$5/3))*90</f>
        <v>57</v>
      </c>
      <c r="X6" s="27">
        <v>2.0</v>
      </c>
      <c r="Y6" s="27">
        <v>3.0</v>
      </c>
      <c r="Z6" s="27">
        <v>3.0</v>
      </c>
      <c r="AA6" s="27">
        <v>2.0</v>
      </c>
      <c r="AB6" s="62">
        <f t="shared" ref="AB6:AB91" si="5">((X6*$D$5/3)+(Y6*$E$5/3)+(Z6*$F$5/3)+(AA6*$G$5/3))*90</f>
        <v>72</v>
      </c>
      <c r="AC6" s="27">
        <v>3.0</v>
      </c>
      <c r="AD6" s="27">
        <v>2.0</v>
      </c>
      <c r="AE6" s="27">
        <v>2.0</v>
      </c>
      <c r="AF6" s="27">
        <v>2.0</v>
      </c>
      <c r="AG6" s="62">
        <f t="shared" ref="AG6:AG91" si="6">((AC6*$D$5/3)+(AD6*$E$5/3)+(AE6*$F$5/3)+(AF6*$G$5/3))*90</f>
        <v>63</v>
      </c>
      <c r="AH6" s="27">
        <v>2.0</v>
      </c>
      <c r="AI6" s="27">
        <v>3.0</v>
      </c>
      <c r="AJ6" s="27">
        <v>3.0</v>
      </c>
      <c r="AK6" s="27">
        <v>1.0</v>
      </c>
      <c r="AL6" s="62">
        <f t="shared" ref="AL6:AL91" si="7">((AH6*$D$5/3)+(AI6*$E$5/3)+(AJ6*$F$5/3)+(AK6*$G$5/3))*90</f>
        <v>57</v>
      </c>
      <c r="AM6" s="27">
        <v>2.0</v>
      </c>
      <c r="AN6" s="27">
        <v>3.0</v>
      </c>
      <c r="AO6" s="27">
        <v>3.0</v>
      </c>
      <c r="AP6" s="27">
        <v>1.0</v>
      </c>
      <c r="AQ6" s="62">
        <f t="shared" ref="AQ6:AQ91" si="8">((AM6*$D$5/3)+(AN6*$E$5/3)+(AO6*$F$5/3)+(AP6*$G$5/3))*90</f>
        <v>57</v>
      </c>
    </row>
    <row r="7">
      <c r="A7" s="7">
        <f>'INPUT DAFTAR PESERTA'!A5</f>
        <v>2</v>
      </c>
      <c r="B7" s="25">
        <f>'INPUT DAFTAR PESERTA'!B5</f>
        <v>2409056015</v>
      </c>
      <c r="C7" s="26" t="str">
        <f>'INPUT DAFTAR PESERTA'!C5</f>
        <v>Denny Setiawan</v>
      </c>
      <c r="D7" s="27"/>
      <c r="E7" s="27"/>
      <c r="F7" s="27"/>
      <c r="G7" s="27"/>
      <c r="H7" s="62">
        <f t="shared" si="1"/>
        <v>0</v>
      </c>
      <c r="I7" s="27">
        <v>1.0</v>
      </c>
      <c r="J7" s="27">
        <v>1.0</v>
      </c>
      <c r="K7" s="27">
        <v>1.0</v>
      </c>
      <c r="L7" s="27">
        <v>1.0</v>
      </c>
      <c r="M7" s="62">
        <f t="shared" si="2"/>
        <v>30</v>
      </c>
      <c r="N7" s="27"/>
      <c r="O7" s="27"/>
      <c r="P7" s="27"/>
      <c r="Q7" s="27"/>
      <c r="R7" s="62">
        <f t="shared" si="3"/>
        <v>0</v>
      </c>
      <c r="S7" s="27"/>
      <c r="T7" s="27"/>
      <c r="U7" s="27"/>
      <c r="V7" s="27"/>
      <c r="W7" s="62">
        <f t="shared" si="4"/>
        <v>0</v>
      </c>
      <c r="X7" s="27">
        <v>1.0</v>
      </c>
      <c r="Y7" s="27">
        <v>1.0</v>
      </c>
      <c r="Z7" s="27">
        <v>1.0</v>
      </c>
      <c r="AA7" s="27">
        <v>1.0</v>
      </c>
      <c r="AB7" s="62">
        <f t="shared" si="5"/>
        <v>30</v>
      </c>
      <c r="AC7" s="27">
        <v>3.0</v>
      </c>
      <c r="AD7" s="27">
        <v>2.0</v>
      </c>
      <c r="AE7" s="27">
        <v>2.0</v>
      </c>
      <c r="AF7" s="27">
        <v>2.0</v>
      </c>
      <c r="AG7" s="62">
        <f t="shared" si="6"/>
        <v>63</v>
      </c>
      <c r="AH7" s="27"/>
      <c r="AI7" s="27"/>
      <c r="AJ7" s="27"/>
      <c r="AK7" s="27"/>
      <c r="AL7" s="62">
        <f t="shared" si="7"/>
        <v>0</v>
      </c>
      <c r="AM7" s="27"/>
      <c r="AN7" s="27"/>
      <c r="AO7" s="27"/>
      <c r="AP7" s="27"/>
      <c r="AQ7" s="62">
        <f t="shared" si="8"/>
        <v>0</v>
      </c>
    </row>
    <row r="8">
      <c r="A8" s="7">
        <f>'INPUT DAFTAR PESERTA'!A6</f>
        <v>3</v>
      </c>
      <c r="B8" s="25">
        <f>'INPUT DAFTAR PESERTA'!B6</f>
        <v>2409056031</v>
      </c>
      <c r="C8" s="26" t="str">
        <f>'INPUT DAFTAR PESERTA'!C6</f>
        <v>Rahmad Oka Aufa Ramadan</v>
      </c>
      <c r="D8" s="63"/>
      <c r="E8" s="63"/>
      <c r="F8" s="63"/>
      <c r="G8" s="63"/>
      <c r="H8" s="62">
        <f t="shared" si="1"/>
        <v>0</v>
      </c>
      <c r="I8" s="27">
        <v>1.0</v>
      </c>
      <c r="J8" s="27">
        <v>1.0</v>
      </c>
      <c r="K8" s="27">
        <v>1.0</v>
      </c>
      <c r="L8" s="27">
        <v>1.0</v>
      </c>
      <c r="M8" s="62">
        <f t="shared" si="2"/>
        <v>30</v>
      </c>
      <c r="N8" s="63"/>
      <c r="O8" s="63"/>
      <c r="P8" s="63"/>
      <c r="Q8" s="63"/>
      <c r="R8" s="62">
        <f t="shared" si="3"/>
        <v>0</v>
      </c>
      <c r="S8" s="63"/>
      <c r="T8" s="63"/>
      <c r="U8" s="63"/>
      <c r="V8" s="63"/>
      <c r="W8" s="62">
        <f t="shared" si="4"/>
        <v>0</v>
      </c>
      <c r="X8" s="27">
        <v>1.0</v>
      </c>
      <c r="Y8" s="27">
        <v>1.0</v>
      </c>
      <c r="Z8" s="27">
        <v>1.0</v>
      </c>
      <c r="AA8" s="27">
        <v>1.0</v>
      </c>
      <c r="AB8" s="62">
        <f t="shared" si="5"/>
        <v>30</v>
      </c>
      <c r="AC8" s="27">
        <v>3.0</v>
      </c>
      <c r="AD8" s="27">
        <v>2.0</v>
      </c>
      <c r="AE8" s="27">
        <v>2.0</v>
      </c>
      <c r="AF8" s="27">
        <v>2.0</v>
      </c>
      <c r="AG8" s="62">
        <f t="shared" si="6"/>
        <v>63</v>
      </c>
      <c r="AH8" s="63"/>
      <c r="AI8" s="63"/>
      <c r="AJ8" s="63"/>
      <c r="AK8" s="63"/>
      <c r="AL8" s="62">
        <f t="shared" si="7"/>
        <v>0</v>
      </c>
      <c r="AM8" s="63"/>
      <c r="AN8" s="63"/>
      <c r="AO8" s="63"/>
      <c r="AP8" s="63"/>
      <c r="AQ8" s="62">
        <f t="shared" si="8"/>
        <v>0</v>
      </c>
    </row>
    <row r="9">
      <c r="A9" s="7">
        <f>'INPUT DAFTAR PESERTA'!A7</f>
        <v>4</v>
      </c>
      <c r="B9" s="25">
        <f>'INPUT DAFTAR PESERTA'!B7</f>
        <v>2409056032</v>
      </c>
      <c r="C9" s="26" t="str">
        <f>'INPUT DAFTAR PESERTA'!C7</f>
        <v>Stewa Syaifa Bakhid</v>
      </c>
      <c r="D9" s="63"/>
      <c r="E9" s="63"/>
      <c r="F9" s="63"/>
      <c r="G9" s="63"/>
      <c r="H9" s="62">
        <f t="shared" si="1"/>
        <v>0</v>
      </c>
      <c r="I9" s="27">
        <v>1.0</v>
      </c>
      <c r="J9" s="27">
        <v>1.0</v>
      </c>
      <c r="K9" s="27">
        <v>1.0</v>
      </c>
      <c r="L9" s="27">
        <v>1.0</v>
      </c>
      <c r="M9" s="62">
        <f t="shared" si="2"/>
        <v>30</v>
      </c>
      <c r="N9" s="63"/>
      <c r="O9" s="63"/>
      <c r="P9" s="63"/>
      <c r="Q9" s="63"/>
      <c r="R9" s="62">
        <f t="shared" si="3"/>
        <v>0</v>
      </c>
      <c r="S9" s="63"/>
      <c r="T9" s="63"/>
      <c r="U9" s="63"/>
      <c r="V9" s="63"/>
      <c r="W9" s="62">
        <f t="shared" si="4"/>
        <v>0</v>
      </c>
      <c r="X9" s="27">
        <v>1.0</v>
      </c>
      <c r="Y9" s="27">
        <v>1.0</v>
      </c>
      <c r="Z9" s="27">
        <v>1.0</v>
      </c>
      <c r="AA9" s="27">
        <v>1.0</v>
      </c>
      <c r="AB9" s="62">
        <f t="shared" si="5"/>
        <v>30</v>
      </c>
      <c r="AC9" s="27">
        <v>3.0</v>
      </c>
      <c r="AD9" s="27">
        <v>2.0</v>
      </c>
      <c r="AE9" s="27">
        <v>2.0</v>
      </c>
      <c r="AF9" s="27">
        <v>2.0</v>
      </c>
      <c r="AG9" s="62">
        <f t="shared" si="6"/>
        <v>63</v>
      </c>
      <c r="AH9" s="63"/>
      <c r="AI9" s="63"/>
      <c r="AJ9" s="63"/>
      <c r="AK9" s="63"/>
      <c r="AL9" s="62">
        <f t="shared" si="7"/>
        <v>0</v>
      </c>
      <c r="AM9" s="63"/>
      <c r="AN9" s="63"/>
      <c r="AO9" s="63"/>
      <c r="AP9" s="63"/>
      <c r="AQ9" s="62">
        <f t="shared" si="8"/>
        <v>0</v>
      </c>
    </row>
    <row r="10">
      <c r="A10" s="7">
        <f>'INPUT DAFTAR PESERTA'!A8</f>
        <v>5</v>
      </c>
      <c r="B10" s="25">
        <f>'INPUT DAFTAR PESERTA'!B8</f>
        <v>2409056033</v>
      </c>
      <c r="C10" s="26" t="str">
        <f>'INPUT DAFTAR PESERTA'!C8</f>
        <v>Adnan Fadil Annur</v>
      </c>
      <c r="D10" s="27">
        <v>3.0</v>
      </c>
      <c r="E10" s="27">
        <v>3.0</v>
      </c>
      <c r="F10" s="27">
        <v>3.0</v>
      </c>
      <c r="G10" s="27">
        <v>3.0</v>
      </c>
      <c r="H10" s="62">
        <f t="shared" si="1"/>
        <v>90</v>
      </c>
      <c r="I10" s="27">
        <v>1.0</v>
      </c>
      <c r="J10" s="27">
        <v>1.0</v>
      </c>
      <c r="K10" s="27">
        <v>1.0</v>
      </c>
      <c r="L10" s="27">
        <v>1.0</v>
      </c>
      <c r="M10" s="62">
        <f t="shared" si="2"/>
        <v>30</v>
      </c>
      <c r="N10" s="63"/>
      <c r="O10" s="63"/>
      <c r="P10" s="63"/>
      <c r="Q10" s="63"/>
      <c r="R10" s="62">
        <f t="shared" si="3"/>
        <v>0</v>
      </c>
      <c r="S10" s="63"/>
      <c r="T10" s="63"/>
      <c r="U10" s="63"/>
      <c r="V10" s="63"/>
      <c r="W10" s="62">
        <f t="shared" si="4"/>
        <v>0</v>
      </c>
      <c r="X10" s="27">
        <v>1.0</v>
      </c>
      <c r="Y10" s="27">
        <v>1.0</v>
      </c>
      <c r="Z10" s="27">
        <v>1.0</v>
      </c>
      <c r="AA10" s="27">
        <v>1.0</v>
      </c>
      <c r="AB10" s="62">
        <f t="shared" si="5"/>
        <v>30</v>
      </c>
      <c r="AC10" s="27">
        <v>3.0</v>
      </c>
      <c r="AD10" s="27">
        <v>2.0</v>
      </c>
      <c r="AE10" s="27">
        <v>2.0</v>
      </c>
      <c r="AF10" s="27">
        <v>2.0</v>
      </c>
      <c r="AG10" s="62">
        <f t="shared" si="6"/>
        <v>63</v>
      </c>
      <c r="AH10" s="63"/>
      <c r="AI10" s="63"/>
      <c r="AJ10" s="63"/>
      <c r="AK10" s="63"/>
      <c r="AL10" s="62">
        <f t="shared" si="7"/>
        <v>0</v>
      </c>
      <c r="AM10" s="63"/>
      <c r="AN10" s="63"/>
      <c r="AO10" s="63"/>
      <c r="AP10" s="63"/>
      <c r="AQ10" s="62">
        <f t="shared" si="8"/>
        <v>0</v>
      </c>
    </row>
    <row r="11">
      <c r="A11" s="7">
        <f>'INPUT DAFTAR PESERTA'!A9</f>
        <v>6</v>
      </c>
      <c r="B11" s="25">
        <f>'INPUT DAFTAR PESERTA'!B9</f>
        <v>2409056039</v>
      </c>
      <c r="C11" s="26" t="str">
        <f>'INPUT DAFTAR PESERTA'!C9</f>
        <v>Muhammad Hasbi Ash Shiddieqy</v>
      </c>
      <c r="D11" s="63"/>
      <c r="E11" s="63"/>
      <c r="F11" s="63"/>
      <c r="G11" s="63"/>
      <c r="H11" s="62">
        <f t="shared" si="1"/>
        <v>0</v>
      </c>
      <c r="I11" s="27">
        <v>1.0</v>
      </c>
      <c r="J11" s="27">
        <v>1.0</v>
      </c>
      <c r="K11" s="27">
        <v>1.0</v>
      </c>
      <c r="L11" s="27">
        <v>1.0</v>
      </c>
      <c r="M11" s="62">
        <f t="shared" si="2"/>
        <v>30</v>
      </c>
      <c r="N11" s="63"/>
      <c r="O11" s="63"/>
      <c r="P11" s="63"/>
      <c r="Q11" s="63"/>
      <c r="R11" s="62">
        <f t="shared" si="3"/>
        <v>0</v>
      </c>
      <c r="S11" s="63"/>
      <c r="T11" s="63"/>
      <c r="U11" s="63"/>
      <c r="V11" s="63"/>
      <c r="W11" s="62">
        <f t="shared" si="4"/>
        <v>0</v>
      </c>
      <c r="X11" s="27">
        <v>1.0</v>
      </c>
      <c r="Y11" s="27">
        <v>1.0</v>
      </c>
      <c r="Z11" s="27">
        <v>1.0</v>
      </c>
      <c r="AA11" s="27">
        <v>1.0</v>
      </c>
      <c r="AB11" s="62">
        <f t="shared" si="5"/>
        <v>30</v>
      </c>
      <c r="AC11" s="27">
        <v>3.0</v>
      </c>
      <c r="AD11" s="27">
        <v>2.0</v>
      </c>
      <c r="AE11" s="27">
        <v>2.0</v>
      </c>
      <c r="AF11" s="27">
        <v>2.0</v>
      </c>
      <c r="AG11" s="62">
        <f t="shared" si="6"/>
        <v>63</v>
      </c>
      <c r="AH11" s="63"/>
      <c r="AI11" s="63"/>
      <c r="AJ11" s="63"/>
      <c r="AK11" s="63"/>
      <c r="AL11" s="62">
        <f t="shared" si="7"/>
        <v>0</v>
      </c>
      <c r="AM11" s="63"/>
      <c r="AN11" s="63"/>
      <c r="AO11" s="63"/>
      <c r="AP11" s="63"/>
      <c r="AQ11" s="62">
        <f t="shared" si="8"/>
        <v>0</v>
      </c>
    </row>
    <row r="12">
      <c r="A12" s="7">
        <f>'INPUT DAFTAR PESERTA'!A10</f>
        <v>7</v>
      </c>
      <c r="B12" s="25">
        <f>'INPUT DAFTAR PESERTA'!B10</f>
        <v>2409056044</v>
      </c>
      <c r="C12" s="26" t="str">
        <f>'INPUT DAFTAR PESERTA'!C10</f>
        <v>Siti Aisyah Hasanah</v>
      </c>
      <c r="D12" s="63"/>
      <c r="E12" s="63"/>
      <c r="F12" s="63"/>
      <c r="G12" s="63"/>
      <c r="H12" s="62">
        <f t="shared" si="1"/>
        <v>0</v>
      </c>
      <c r="I12" s="27">
        <v>1.0</v>
      </c>
      <c r="J12" s="27">
        <v>1.0</v>
      </c>
      <c r="K12" s="27">
        <v>1.0</v>
      </c>
      <c r="L12" s="27">
        <v>1.0</v>
      </c>
      <c r="M12" s="62">
        <f t="shared" si="2"/>
        <v>30</v>
      </c>
      <c r="N12" s="63"/>
      <c r="O12" s="63"/>
      <c r="P12" s="63"/>
      <c r="Q12" s="63"/>
      <c r="R12" s="62">
        <f t="shared" si="3"/>
        <v>0</v>
      </c>
      <c r="S12" s="63"/>
      <c r="T12" s="63"/>
      <c r="U12" s="63"/>
      <c r="V12" s="63"/>
      <c r="W12" s="62">
        <f t="shared" si="4"/>
        <v>0</v>
      </c>
      <c r="X12" s="27">
        <v>1.0</v>
      </c>
      <c r="Y12" s="27">
        <v>1.0</v>
      </c>
      <c r="Z12" s="27">
        <v>1.0</v>
      </c>
      <c r="AA12" s="27">
        <v>1.0</v>
      </c>
      <c r="AB12" s="62">
        <f t="shared" si="5"/>
        <v>30</v>
      </c>
      <c r="AC12" s="27">
        <v>3.0</v>
      </c>
      <c r="AD12" s="27">
        <v>2.0</v>
      </c>
      <c r="AE12" s="27">
        <v>2.0</v>
      </c>
      <c r="AF12" s="27">
        <v>2.0</v>
      </c>
      <c r="AG12" s="62">
        <f t="shared" si="6"/>
        <v>63</v>
      </c>
      <c r="AH12" s="63"/>
      <c r="AI12" s="63"/>
      <c r="AJ12" s="63"/>
      <c r="AK12" s="63"/>
      <c r="AL12" s="62">
        <f t="shared" si="7"/>
        <v>0</v>
      </c>
      <c r="AM12" s="63"/>
      <c r="AN12" s="63"/>
      <c r="AO12" s="63"/>
      <c r="AP12" s="63"/>
      <c r="AQ12" s="62">
        <f t="shared" si="8"/>
        <v>0</v>
      </c>
    </row>
    <row r="13">
      <c r="A13" s="7">
        <f>'INPUT DAFTAR PESERTA'!A11</f>
        <v>8</v>
      </c>
      <c r="B13" s="25">
        <f>'INPUT DAFTAR PESERTA'!B11</f>
        <v>2409056047</v>
      </c>
      <c r="C13" s="26" t="str">
        <f>'INPUT DAFTAR PESERTA'!C11</f>
        <v>D’arch Hweng Junior</v>
      </c>
      <c r="D13" s="63"/>
      <c r="E13" s="63"/>
      <c r="F13" s="63"/>
      <c r="G13" s="63"/>
      <c r="H13" s="62">
        <f t="shared" si="1"/>
        <v>0</v>
      </c>
      <c r="I13" s="27">
        <v>1.0</v>
      </c>
      <c r="J13" s="27">
        <v>1.0</v>
      </c>
      <c r="K13" s="27">
        <v>1.0</v>
      </c>
      <c r="L13" s="27">
        <v>1.0</v>
      </c>
      <c r="M13" s="62">
        <f t="shared" si="2"/>
        <v>30</v>
      </c>
      <c r="N13" s="63"/>
      <c r="O13" s="63"/>
      <c r="P13" s="63"/>
      <c r="Q13" s="63"/>
      <c r="R13" s="62">
        <f t="shared" si="3"/>
        <v>0</v>
      </c>
      <c r="S13" s="63"/>
      <c r="T13" s="63"/>
      <c r="U13" s="63"/>
      <c r="V13" s="63"/>
      <c r="W13" s="62">
        <f t="shared" si="4"/>
        <v>0</v>
      </c>
      <c r="X13" s="27">
        <v>1.0</v>
      </c>
      <c r="Y13" s="27">
        <v>1.0</v>
      </c>
      <c r="Z13" s="27">
        <v>1.0</v>
      </c>
      <c r="AA13" s="27">
        <v>1.0</v>
      </c>
      <c r="AB13" s="62">
        <f t="shared" si="5"/>
        <v>30</v>
      </c>
      <c r="AC13" s="27">
        <v>3.0</v>
      </c>
      <c r="AD13" s="27">
        <v>2.0</v>
      </c>
      <c r="AE13" s="27">
        <v>2.0</v>
      </c>
      <c r="AF13" s="27">
        <v>2.0</v>
      </c>
      <c r="AG13" s="62">
        <f t="shared" si="6"/>
        <v>63</v>
      </c>
      <c r="AH13" s="63"/>
      <c r="AI13" s="63"/>
      <c r="AJ13" s="63"/>
      <c r="AK13" s="63"/>
      <c r="AL13" s="62">
        <f t="shared" si="7"/>
        <v>0</v>
      </c>
      <c r="AM13" s="63"/>
      <c r="AN13" s="63"/>
      <c r="AO13" s="63"/>
      <c r="AP13" s="63"/>
      <c r="AQ13" s="62">
        <f t="shared" si="8"/>
        <v>0</v>
      </c>
    </row>
    <row r="14">
      <c r="A14" s="7">
        <f>'INPUT DAFTAR PESERTA'!A12</f>
        <v>9</v>
      </c>
      <c r="B14" s="25">
        <f>'INPUT DAFTAR PESERTA'!B12</f>
        <v>2409056052</v>
      </c>
      <c r="C14" s="26" t="str">
        <f>'INPUT DAFTAR PESERTA'!C12</f>
        <v>Andi Syaifullah Al Maslulil Agri</v>
      </c>
      <c r="D14" s="63"/>
      <c r="E14" s="63"/>
      <c r="F14" s="63"/>
      <c r="G14" s="63"/>
      <c r="H14" s="62">
        <f t="shared" si="1"/>
        <v>0</v>
      </c>
      <c r="I14" s="27">
        <v>1.0</v>
      </c>
      <c r="J14" s="27">
        <v>1.0</v>
      </c>
      <c r="K14" s="27">
        <v>1.0</v>
      </c>
      <c r="L14" s="27">
        <v>1.0</v>
      </c>
      <c r="M14" s="62">
        <f t="shared" si="2"/>
        <v>30</v>
      </c>
      <c r="N14" s="63"/>
      <c r="O14" s="63"/>
      <c r="P14" s="63"/>
      <c r="Q14" s="63"/>
      <c r="R14" s="62">
        <f t="shared" si="3"/>
        <v>0</v>
      </c>
      <c r="S14" s="63"/>
      <c r="T14" s="63"/>
      <c r="U14" s="63"/>
      <c r="V14" s="63"/>
      <c r="W14" s="62">
        <f t="shared" si="4"/>
        <v>0</v>
      </c>
      <c r="X14" s="27">
        <v>1.0</v>
      </c>
      <c r="Y14" s="27">
        <v>1.0</v>
      </c>
      <c r="Z14" s="27">
        <v>1.0</v>
      </c>
      <c r="AA14" s="27">
        <v>1.0</v>
      </c>
      <c r="AB14" s="62">
        <f t="shared" si="5"/>
        <v>30</v>
      </c>
      <c r="AC14" s="27">
        <v>3.0</v>
      </c>
      <c r="AD14" s="27">
        <v>2.0</v>
      </c>
      <c r="AE14" s="27">
        <v>2.0</v>
      </c>
      <c r="AF14" s="27">
        <v>2.0</v>
      </c>
      <c r="AG14" s="62">
        <f t="shared" si="6"/>
        <v>63</v>
      </c>
      <c r="AH14" s="63"/>
      <c r="AI14" s="63"/>
      <c r="AJ14" s="63"/>
      <c r="AK14" s="63"/>
      <c r="AL14" s="62">
        <f t="shared" si="7"/>
        <v>0</v>
      </c>
      <c r="AM14" s="63"/>
      <c r="AN14" s="63"/>
      <c r="AO14" s="63"/>
      <c r="AP14" s="63"/>
      <c r="AQ14" s="62">
        <f t="shared" si="8"/>
        <v>0</v>
      </c>
    </row>
    <row r="15">
      <c r="A15" s="7">
        <f>'INPUT DAFTAR PESERTA'!A13</f>
        <v>10</v>
      </c>
      <c r="B15" s="25">
        <f>'INPUT DAFTAR PESERTA'!B13</f>
        <v>2409056058</v>
      </c>
      <c r="C15" s="26" t="str">
        <f>'INPUT DAFTAR PESERTA'!C13</f>
        <v>Andre Pratama</v>
      </c>
      <c r="D15" s="63"/>
      <c r="E15" s="63"/>
      <c r="F15" s="63"/>
      <c r="G15" s="63"/>
      <c r="H15" s="62">
        <f t="shared" si="1"/>
        <v>0</v>
      </c>
      <c r="I15" s="27">
        <v>1.0</v>
      </c>
      <c r="J15" s="27">
        <v>1.0</v>
      </c>
      <c r="K15" s="27">
        <v>1.0</v>
      </c>
      <c r="L15" s="27">
        <v>1.0</v>
      </c>
      <c r="M15" s="62">
        <f t="shared" si="2"/>
        <v>30</v>
      </c>
      <c r="N15" s="63"/>
      <c r="O15" s="63"/>
      <c r="P15" s="63"/>
      <c r="Q15" s="63"/>
      <c r="R15" s="62">
        <f t="shared" si="3"/>
        <v>0</v>
      </c>
      <c r="S15" s="63"/>
      <c r="T15" s="63"/>
      <c r="U15" s="63"/>
      <c r="V15" s="63"/>
      <c r="W15" s="62">
        <f t="shared" si="4"/>
        <v>0</v>
      </c>
      <c r="X15" s="27">
        <v>1.0</v>
      </c>
      <c r="Y15" s="27">
        <v>1.0</v>
      </c>
      <c r="Z15" s="27">
        <v>1.0</v>
      </c>
      <c r="AA15" s="27">
        <v>1.0</v>
      </c>
      <c r="AB15" s="62">
        <f t="shared" si="5"/>
        <v>30</v>
      </c>
      <c r="AC15" s="27">
        <v>3.0</v>
      </c>
      <c r="AD15" s="27">
        <v>2.0</v>
      </c>
      <c r="AE15" s="27">
        <v>2.0</v>
      </c>
      <c r="AF15" s="27">
        <v>2.0</v>
      </c>
      <c r="AG15" s="62">
        <f t="shared" si="6"/>
        <v>63</v>
      </c>
      <c r="AH15" s="63"/>
      <c r="AI15" s="63"/>
      <c r="AJ15" s="63"/>
      <c r="AK15" s="63"/>
      <c r="AL15" s="62">
        <f t="shared" si="7"/>
        <v>0</v>
      </c>
      <c r="AM15" s="63"/>
      <c r="AN15" s="63"/>
      <c r="AO15" s="63"/>
      <c r="AP15" s="63"/>
      <c r="AQ15" s="62">
        <f t="shared" si="8"/>
        <v>0</v>
      </c>
    </row>
    <row r="16">
      <c r="A16" s="7">
        <f>'INPUT DAFTAR PESERTA'!A14</f>
        <v>11</v>
      </c>
      <c r="B16" s="25">
        <f>'INPUT DAFTAR PESERTA'!B14</f>
        <v>2409056067</v>
      </c>
      <c r="C16" s="26" t="str">
        <f>'INPUT DAFTAR PESERTA'!C14</f>
        <v>Andi Afif Najib Abdillah</v>
      </c>
      <c r="D16" s="63"/>
      <c r="E16" s="63"/>
      <c r="F16" s="63"/>
      <c r="G16" s="63"/>
      <c r="H16" s="62">
        <f t="shared" si="1"/>
        <v>0</v>
      </c>
      <c r="I16" s="27">
        <v>1.0</v>
      </c>
      <c r="J16" s="27">
        <v>1.0</v>
      </c>
      <c r="K16" s="27">
        <v>1.0</v>
      </c>
      <c r="L16" s="27">
        <v>1.0</v>
      </c>
      <c r="M16" s="62">
        <f t="shared" si="2"/>
        <v>30</v>
      </c>
      <c r="N16" s="63"/>
      <c r="O16" s="63"/>
      <c r="P16" s="63"/>
      <c r="Q16" s="63"/>
      <c r="R16" s="62">
        <f t="shared" si="3"/>
        <v>0</v>
      </c>
      <c r="S16" s="63"/>
      <c r="T16" s="63"/>
      <c r="U16" s="63"/>
      <c r="V16" s="63"/>
      <c r="W16" s="62">
        <f t="shared" si="4"/>
        <v>0</v>
      </c>
      <c r="X16" s="27">
        <v>1.0</v>
      </c>
      <c r="Y16" s="27">
        <v>1.0</v>
      </c>
      <c r="Z16" s="27">
        <v>1.0</v>
      </c>
      <c r="AA16" s="27">
        <v>1.0</v>
      </c>
      <c r="AB16" s="62">
        <f t="shared" si="5"/>
        <v>30</v>
      </c>
      <c r="AC16" s="27">
        <v>3.0</v>
      </c>
      <c r="AD16" s="27">
        <v>2.0</v>
      </c>
      <c r="AE16" s="27">
        <v>2.0</v>
      </c>
      <c r="AF16" s="27">
        <v>2.0</v>
      </c>
      <c r="AG16" s="62">
        <f t="shared" si="6"/>
        <v>63</v>
      </c>
      <c r="AH16" s="63"/>
      <c r="AI16" s="63"/>
      <c r="AJ16" s="63"/>
      <c r="AK16" s="63"/>
      <c r="AL16" s="62">
        <f t="shared" si="7"/>
        <v>0</v>
      </c>
      <c r="AM16" s="63"/>
      <c r="AN16" s="63"/>
      <c r="AO16" s="63"/>
      <c r="AP16" s="63"/>
      <c r="AQ16" s="62">
        <f t="shared" si="8"/>
        <v>0</v>
      </c>
    </row>
    <row r="17">
      <c r="A17" s="7">
        <f>'INPUT DAFTAR PESERTA'!A15</f>
        <v>12</v>
      </c>
      <c r="B17" s="25">
        <f>'INPUT DAFTAR PESERTA'!B15</f>
        <v>2409056068</v>
      </c>
      <c r="C17" s="26" t="str">
        <f>'INPUT DAFTAR PESERTA'!C15</f>
        <v>Christianus Gonzaga</v>
      </c>
      <c r="D17" s="63"/>
      <c r="E17" s="63"/>
      <c r="F17" s="63"/>
      <c r="G17" s="63"/>
      <c r="H17" s="62">
        <f t="shared" si="1"/>
        <v>0</v>
      </c>
      <c r="I17" s="27">
        <v>1.0</v>
      </c>
      <c r="J17" s="27">
        <v>1.0</v>
      </c>
      <c r="K17" s="27">
        <v>1.0</v>
      </c>
      <c r="L17" s="27">
        <v>1.0</v>
      </c>
      <c r="M17" s="62">
        <f t="shared" si="2"/>
        <v>30</v>
      </c>
      <c r="N17" s="63"/>
      <c r="O17" s="63"/>
      <c r="P17" s="63"/>
      <c r="Q17" s="63"/>
      <c r="R17" s="62">
        <f t="shared" si="3"/>
        <v>0</v>
      </c>
      <c r="S17" s="63"/>
      <c r="T17" s="63"/>
      <c r="U17" s="63"/>
      <c r="V17" s="63"/>
      <c r="W17" s="62">
        <f t="shared" si="4"/>
        <v>0</v>
      </c>
      <c r="X17" s="27">
        <v>1.0</v>
      </c>
      <c r="Y17" s="27">
        <v>1.0</v>
      </c>
      <c r="Z17" s="27">
        <v>1.0</v>
      </c>
      <c r="AA17" s="27">
        <v>1.0</v>
      </c>
      <c r="AB17" s="62">
        <f t="shared" si="5"/>
        <v>30</v>
      </c>
      <c r="AC17" s="27">
        <v>3.0</v>
      </c>
      <c r="AD17" s="27">
        <v>2.0</v>
      </c>
      <c r="AE17" s="27">
        <v>2.0</v>
      </c>
      <c r="AF17" s="27">
        <v>2.0</v>
      </c>
      <c r="AG17" s="62">
        <f t="shared" si="6"/>
        <v>63</v>
      </c>
      <c r="AH17" s="63"/>
      <c r="AI17" s="63"/>
      <c r="AJ17" s="63"/>
      <c r="AK17" s="63"/>
      <c r="AL17" s="62">
        <f t="shared" si="7"/>
        <v>0</v>
      </c>
      <c r="AM17" s="63"/>
      <c r="AN17" s="63"/>
      <c r="AO17" s="63"/>
      <c r="AP17" s="63"/>
      <c r="AQ17" s="62">
        <f t="shared" si="8"/>
        <v>0</v>
      </c>
    </row>
    <row r="18">
      <c r="A18" s="7">
        <f>'INPUT DAFTAR PESERTA'!A16</f>
        <v>13</v>
      </c>
      <c r="B18" s="25">
        <f>'INPUT DAFTAR PESERTA'!B16</f>
        <v>2509056001</v>
      </c>
      <c r="C18" s="26" t="str">
        <f>'INPUT DAFTAR PESERTA'!C16</f>
        <v>Mutiara Suci Rahmadani</v>
      </c>
      <c r="D18" s="27">
        <v>3.0</v>
      </c>
      <c r="E18" s="27">
        <v>3.0</v>
      </c>
      <c r="F18" s="27">
        <v>3.0</v>
      </c>
      <c r="G18" s="27">
        <v>2.0</v>
      </c>
      <c r="H18" s="62">
        <f t="shared" si="1"/>
        <v>75</v>
      </c>
      <c r="I18" s="27">
        <v>3.0</v>
      </c>
      <c r="J18" s="27">
        <v>3.0</v>
      </c>
      <c r="K18" s="27">
        <v>3.0</v>
      </c>
      <c r="L18" s="27">
        <v>1.0</v>
      </c>
      <c r="M18" s="62">
        <f t="shared" si="2"/>
        <v>60</v>
      </c>
      <c r="N18" s="27">
        <v>3.0</v>
      </c>
      <c r="O18" s="27">
        <v>3.0</v>
      </c>
      <c r="P18" s="27">
        <v>3.0</v>
      </c>
      <c r="Q18" s="27">
        <v>3.0</v>
      </c>
      <c r="R18" s="62">
        <f t="shared" si="3"/>
        <v>90</v>
      </c>
      <c r="S18" s="27">
        <v>3.0</v>
      </c>
      <c r="T18" s="27">
        <v>3.0</v>
      </c>
      <c r="U18" s="27">
        <v>3.0</v>
      </c>
      <c r="V18" s="27">
        <v>3.0</v>
      </c>
      <c r="W18" s="62">
        <f t="shared" si="4"/>
        <v>90</v>
      </c>
      <c r="X18" s="27">
        <v>2.0</v>
      </c>
      <c r="Y18" s="27">
        <v>3.0</v>
      </c>
      <c r="Z18" s="27">
        <v>3.0</v>
      </c>
      <c r="AA18" s="27">
        <v>1.0</v>
      </c>
      <c r="AB18" s="62">
        <f t="shared" si="5"/>
        <v>57</v>
      </c>
      <c r="AC18" s="27">
        <v>3.0</v>
      </c>
      <c r="AD18" s="27">
        <v>3.0</v>
      </c>
      <c r="AE18" s="27">
        <v>3.0</v>
      </c>
      <c r="AF18" s="27">
        <v>2.0</v>
      </c>
      <c r="AG18" s="62">
        <f t="shared" si="6"/>
        <v>75</v>
      </c>
      <c r="AH18" s="27">
        <v>2.0</v>
      </c>
      <c r="AI18" s="27">
        <v>3.0</v>
      </c>
      <c r="AJ18" s="27">
        <v>3.0</v>
      </c>
      <c r="AK18" s="27">
        <v>3.0</v>
      </c>
      <c r="AL18" s="62">
        <f t="shared" si="7"/>
        <v>87</v>
      </c>
      <c r="AM18" s="27">
        <v>3.0</v>
      </c>
      <c r="AN18" s="27">
        <v>3.0</v>
      </c>
      <c r="AO18" s="27">
        <v>3.0</v>
      </c>
      <c r="AP18" s="27">
        <v>3.0</v>
      </c>
      <c r="AQ18" s="62">
        <f t="shared" si="8"/>
        <v>90</v>
      </c>
    </row>
    <row r="19">
      <c r="A19" s="7">
        <f>'INPUT DAFTAR PESERTA'!A17</f>
        <v>14</v>
      </c>
      <c r="B19" s="25">
        <f>'INPUT DAFTAR PESERTA'!B17</f>
        <v>2509056002</v>
      </c>
      <c r="C19" s="26" t="str">
        <f>'INPUT DAFTAR PESERTA'!C17</f>
        <v>Adhwa Ghinna Febrianty</v>
      </c>
      <c r="D19" s="27">
        <v>3.0</v>
      </c>
      <c r="E19" s="27">
        <v>3.0</v>
      </c>
      <c r="F19" s="27">
        <v>3.0</v>
      </c>
      <c r="G19" s="27">
        <v>2.0</v>
      </c>
      <c r="H19" s="62">
        <f t="shared" si="1"/>
        <v>75</v>
      </c>
      <c r="I19" s="27">
        <v>3.0</v>
      </c>
      <c r="J19" s="27">
        <v>3.0</v>
      </c>
      <c r="K19" s="27">
        <v>3.0</v>
      </c>
      <c r="L19" s="27">
        <v>1.0</v>
      </c>
      <c r="M19" s="62">
        <f t="shared" si="2"/>
        <v>60</v>
      </c>
      <c r="N19" s="27">
        <v>3.0</v>
      </c>
      <c r="O19" s="27">
        <v>3.0</v>
      </c>
      <c r="P19" s="27">
        <v>3.0</v>
      </c>
      <c r="Q19" s="27">
        <v>3.0</v>
      </c>
      <c r="R19" s="62">
        <f t="shared" si="3"/>
        <v>90</v>
      </c>
      <c r="S19" s="27">
        <v>3.0</v>
      </c>
      <c r="T19" s="27">
        <v>3.0</v>
      </c>
      <c r="U19" s="27">
        <v>3.0</v>
      </c>
      <c r="V19" s="27">
        <v>2.0</v>
      </c>
      <c r="W19" s="62">
        <f t="shared" si="4"/>
        <v>75</v>
      </c>
      <c r="X19" s="27">
        <v>2.0</v>
      </c>
      <c r="Y19" s="27">
        <v>3.0</v>
      </c>
      <c r="Z19" s="27">
        <v>3.0</v>
      </c>
      <c r="AA19" s="27">
        <v>1.0</v>
      </c>
      <c r="AB19" s="62">
        <f t="shared" si="5"/>
        <v>57</v>
      </c>
      <c r="AC19" s="27">
        <v>3.0</v>
      </c>
      <c r="AD19" s="27">
        <v>3.0</v>
      </c>
      <c r="AE19" s="27">
        <v>3.0</v>
      </c>
      <c r="AF19" s="27">
        <v>2.0</v>
      </c>
      <c r="AG19" s="62">
        <f t="shared" si="6"/>
        <v>75</v>
      </c>
      <c r="AH19" s="27">
        <v>2.0</v>
      </c>
      <c r="AI19" s="27">
        <v>3.0</v>
      </c>
      <c r="AJ19" s="27">
        <v>3.0</v>
      </c>
      <c r="AK19" s="27">
        <v>1.0</v>
      </c>
      <c r="AL19" s="62">
        <f t="shared" si="7"/>
        <v>57</v>
      </c>
      <c r="AM19" s="27">
        <v>3.0</v>
      </c>
      <c r="AN19" s="27">
        <v>3.0</v>
      </c>
      <c r="AO19" s="27">
        <v>3.0</v>
      </c>
      <c r="AP19" s="27">
        <v>1.0</v>
      </c>
      <c r="AQ19" s="62">
        <f t="shared" si="8"/>
        <v>60</v>
      </c>
    </row>
    <row r="20">
      <c r="A20" s="7">
        <f>'INPUT DAFTAR PESERTA'!A18</f>
        <v>15</v>
      </c>
      <c r="B20" s="25">
        <f>'INPUT DAFTAR PESERTA'!B18</f>
        <v>2509056003</v>
      </c>
      <c r="C20" s="26" t="str">
        <f>'INPUT DAFTAR PESERTA'!C18</f>
        <v>Muhammad Daffa Alifiansyah</v>
      </c>
      <c r="D20" s="27">
        <v>3.0</v>
      </c>
      <c r="E20" s="27">
        <v>3.0</v>
      </c>
      <c r="F20" s="27">
        <v>3.0</v>
      </c>
      <c r="G20" s="27">
        <v>2.0</v>
      </c>
      <c r="H20" s="62">
        <f t="shared" si="1"/>
        <v>75</v>
      </c>
      <c r="I20" s="27">
        <v>3.0</v>
      </c>
      <c r="J20" s="27">
        <v>3.0</v>
      </c>
      <c r="K20" s="27">
        <v>3.0</v>
      </c>
      <c r="L20" s="27">
        <v>3.0</v>
      </c>
      <c r="M20" s="62">
        <f t="shared" si="2"/>
        <v>90</v>
      </c>
      <c r="N20" s="27">
        <v>3.0</v>
      </c>
      <c r="O20" s="27">
        <v>3.0</v>
      </c>
      <c r="P20" s="27">
        <v>3.0</v>
      </c>
      <c r="Q20" s="27">
        <v>3.0</v>
      </c>
      <c r="R20" s="62">
        <f t="shared" si="3"/>
        <v>90</v>
      </c>
      <c r="S20" s="27">
        <v>3.0</v>
      </c>
      <c r="T20" s="27">
        <v>3.0</v>
      </c>
      <c r="U20" s="27">
        <v>3.0</v>
      </c>
      <c r="V20" s="27">
        <v>3.0</v>
      </c>
      <c r="W20" s="62">
        <f t="shared" si="4"/>
        <v>90</v>
      </c>
      <c r="X20" s="27">
        <v>1.0</v>
      </c>
      <c r="Y20" s="27">
        <v>1.0</v>
      </c>
      <c r="Z20" s="27">
        <v>1.0</v>
      </c>
      <c r="AA20" s="27">
        <v>1.0</v>
      </c>
      <c r="AB20" s="62">
        <f t="shared" si="5"/>
        <v>30</v>
      </c>
      <c r="AC20" s="27">
        <v>3.0</v>
      </c>
      <c r="AD20" s="27">
        <v>3.0</v>
      </c>
      <c r="AE20" s="27">
        <v>3.0</v>
      </c>
      <c r="AF20" s="27">
        <v>2.0</v>
      </c>
      <c r="AG20" s="62">
        <f t="shared" si="6"/>
        <v>75</v>
      </c>
      <c r="AH20" s="27">
        <v>2.0</v>
      </c>
      <c r="AI20" s="27">
        <v>3.0</v>
      </c>
      <c r="AJ20" s="27">
        <v>3.0</v>
      </c>
      <c r="AK20" s="27">
        <v>3.0</v>
      </c>
      <c r="AL20" s="62">
        <f t="shared" si="7"/>
        <v>87</v>
      </c>
      <c r="AM20" s="27">
        <v>3.0</v>
      </c>
      <c r="AN20" s="27">
        <v>3.0</v>
      </c>
      <c r="AO20" s="27">
        <v>3.0</v>
      </c>
      <c r="AP20" s="27">
        <v>1.0</v>
      </c>
      <c r="AQ20" s="62">
        <f t="shared" si="8"/>
        <v>60</v>
      </c>
    </row>
    <row r="21">
      <c r="A21" s="7">
        <f>'INPUT DAFTAR PESERTA'!A19</f>
        <v>16</v>
      </c>
      <c r="B21" s="25">
        <f>'INPUT DAFTAR PESERTA'!B19</f>
        <v>2509056004</v>
      </c>
      <c r="C21" s="26" t="str">
        <f>'INPUT DAFTAR PESERTA'!C19</f>
        <v>Adya Nur Adzhuriva</v>
      </c>
      <c r="D21" s="63"/>
      <c r="E21" s="63"/>
      <c r="F21" s="63"/>
      <c r="G21" s="63"/>
      <c r="H21" s="62">
        <f t="shared" si="1"/>
        <v>0</v>
      </c>
      <c r="I21" s="63"/>
      <c r="J21" s="63"/>
      <c r="K21" s="63"/>
      <c r="L21" s="63"/>
      <c r="M21" s="62">
        <f t="shared" si="2"/>
        <v>0</v>
      </c>
      <c r="N21" s="63"/>
      <c r="O21" s="63"/>
      <c r="P21" s="63"/>
      <c r="Q21" s="63"/>
      <c r="R21" s="62">
        <f t="shared" si="3"/>
        <v>0</v>
      </c>
      <c r="S21" s="63"/>
      <c r="T21" s="63"/>
      <c r="U21" s="63"/>
      <c r="V21" s="63"/>
      <c r="W21" s="62">
        <f t="shared" si="4"/>
        <v>0</v>
      </c>
      <c r="X21" s="27">
        <v>1.0</v>
      </c>
      <c r="Y21" s="27">
        <v>1.0</v>
      </c>
      <c r="Z21" s="27">
        <v>1.0</v>
      </c>
      <c r="AA21" s="27">
        <v>1.0</v>
      </c>
      <c r="AB21" s="62">
        <f t="shared" si="5"/>
        <v>30</v>
      </c>
      <c r="AC21" s="27">
        <v>3.0</v>
      </c>
      <c r="AD21" s="27">
        <v>3.0</v>
      </c>
      <c r="AE21" s="27">
        <v>3.0</v>
      </c>
      <c r="AF21" s="27">
        <v>2.0</v>
      </c>
      <c r="AG21" s="62">
        <f t="shared" si="6"/>
        <v>75</v>
      </c>
      <c r="AH21" s="63"/>
      <c r="AI21" s="63"/>
      <c r="AJ21" s="63"/>
      <c r="AK21" s="63"/>
      <c r="AL21" s="62">
        <f t="shared" si="7"/>
        <v>0</v>
      </c>
      <c r="AM21" s="63"/>
      <c r="AN21" s="63"/>
      <c r="AO21" s="63"/>
      <c r="AP21" s="63"/>
      <c r="AQ21" s="62">
        <f t="shared" si="8"/>
        <v>0</v>
      </c>
    </row>
    <row r="22">
      <c r="A22" s="7">
        <f>'INPUT DAFTAR PESERTA'!A20</f>
        <v>17</v>
      </c>
      <c r="B22" s="25">
        <f>'INPUT DAFTAR PESERTA'!B20</f>
        <v>2509056005</v>
      </c>
      <c r="C22" s="26" t="str">
        <f>'INPUT DAFTAR PESERTA'!C20</f>
        <v>Cheva Fasha Prathama</v>
      </c>
      <c r="D22" s="63"/>
      <c r="E22" s="63"/>
      <c r="F22" s="63"/>
      <c r="G22" s="63"/>
      <c r="H22" s="62">
        <f t="shared" si="1"/>
        <v>0</v>
      </c>
      <c r="I22" s="63"/>
      <c r="J22" s="63"/>
      <c r="K22" s="63"/>
      <c r="L22" s="63"/>
      <c r="M22" s="62">
        <f t="shared" si="2"/>
        <v>0</v>
      </c>
      <c r="N22" s="63"/>
      <c r="O22" s="63"/>
      <c r="P22" s="63"/>
      <c r="Q22" s="63"/>
      <c r="R22" s="62">
        <f t="shared" si="3"/>
        <v>0</v>
      </c>
      <c r="S22" s="63"/>
      <c r="T22" s="63"/>
      <c r="U22" s="63"/>
      <c r="V22" s="63"/>
      <c r="W22" s="62">
        <f t="shared" si="4"/>
        <v>0</v>
      </c>
      <c r="X22" s="27">
        <v>1.0</v>
      </c>
      <c r="Y22" s="27">
        <v>1.0</v>
      </c>
      <c r="Z22" s="27">
        <v>1.0</v>
      </c>
      <c r="AA22" s="27">
        <v>1.0</v>
      </c>
      <c r="AB22" s="62">
        <f t="shared" si="5"/>
        <v>30</v>
      </c>
      <c r="AC22" s="63"/>
      <c r="AD22" s="63"/>
      <c r="AE22" s="63"/>
      <c r="AF22" s="63"/>
      <c r="AG22" s="62">
        <f t="shared" si="6"/>
        <v>0</v>
      </c>
      <c r="AH22" s="63"/>
      <c r="AI22" s="63"/>
      <c r="AJ22" s="63"/>
      <c r="AK22" s="63"/>
      <c r="AL22" s="62">
        <f t="shared" si="7"/>
        <v>0</v>
      </c>
      <c r="AM22" s="63"/>
      <c r="AN22" s="63"/>
      <c r="AO22" s="63"/>
      <c r="AP22" s="63"/>
      <c r="AQ22" s="62">
        <f t="shared" si="8"/>
        <v>0</v>
      </c>
    </row>
    <row r="23">
      <c r="A23" s="7">
        <f>'INPUT DAFTAR PESERTA'!A21</f>
        <v>18</v>
      </c>
      <c r="B23" s="25">
        <f>'INPUT DAFTAR PESERTA'!B21</f>
        <v>2509056006</v>
      </c>
      <c r="C23" s="26" t="str">
        <f>'INPUT DAFTAR PESERTA'!C21</f>
        <v>Muhammad Zaki Fadillah</v>
      </c>
      <c r="D23" s="63"/>
      <c r="E23" s="63"/>
      <c r="F23" s="63"/>
      <c r="G23" s="63"/>
      <c r="H23" s="62">
        <f t="shared" si="1"/>
        <v>0</v>
      </c>
      <c r="I23" s="63"/>
      <c r="J23" s="63"/>
      <c r="K23" s="63"/>
      <c r="L23" s="63"/>
      <c r="M23" s="62">
        <f t="shared" si="2"/>
        <v>0</v>
      </c>
      <c r="N23" s="63"/>
      <c r="O23" s="63"/>
      <c r="P23" s="63"/>
      <c r="Q23" s="63"/>
      <c r="R23" s="62">
        <f t="shared" si="3"/>
        <v>0</v>
      </c>
      <c r="S23" s="63"/>
      <c r="T23" s="63"/>
      <c r="U23" s="63"/>
      <c r="V23" s="63"/>
      <c r="W23" s="62">
        <f t="shared" si="4"/>
        <v>0</v>
      </c>
      <c r="X23" s="27">
        <v>1.0</v>
      </c>
      <c r="Y23" s="27">
        <v>1.0</v>
      </c>
      <c r="Z23" s="27">
        <v>1.0</v>
      </c>
      <c r="AA23" s="27">
        <v>1.0</v>
      </c>
      <c r="AB23" s="62">
        <f t="shared" si="5"/>
        <v>30</v>
      </c>
      <c r="AC23" s="63"/>
      <c r="AD23" s="63"/>
      <c r="AE23" s="63"/>
      <c r="AF23" s="63"/>
      <c r="AG23" s="62">
        <f t="shared" si="6"/>
        <v>0</v>
      </c>
      <c r="AH23" s="63"/>
      <c r="AI23" s="63"/>
      <c r="AJ23" s="63"/>
      <c r="AK23" s="63"/>
      <c r="AL23" s="62">
        <f t="shared" si="7"/>
        <v>0</v>
      </c>
      <c r="AM23" s="63"/>
      <c r="AN23" s="63"/>
      <c r="AO23" s="63"/>
      <c r="AP23" s="63"/>
      <c r="AQ23" s="62">
        <f t="shared" si="8"/>
        <v>0</v>
      </c>
    </row>
    <row r="24">
      <c r="A24" s="7">
        <f>'INPUT DAFTAR PESERTA'!A22</f>
        <v>19</v>
      </c>
      <c r="B24" s="25">
        <f>'INPUT DAFTAR PESERTA'!B22</f>
        <v>2509056007</v>
      </c>
      <c r="C24" s="26" t="str">
        <f>'INPUT DAFTAR PESERTA'!C22</f>
        <v>Widdyanti Fetrina Sefriany</v>
      </c>
      <c r="D24" s="63"/>
      <c r="E24" s="63"/>
      <c r="F24" s="63"/>
      <c r="G24" s="63"/>
      <c r="H24" s="62">
        <f t="shared" si="1"/>
        <v>0</v>
      </c>
      <c r="I24" s="63"/>
      <c r="J24" s="63"/>
      <c r="K24" s="63"/>
      <c r="L24" s="63"/>
      <c r="M24" s="62">
        <f t="shared" si="2"/>
        <v>0</v>
      </c>
      <c r="N24" s="63"/>
      <c r="O24" s="63"/>
      <c r="P24" s="63"/>
      <c r="Q24" s="63"/>
      <c r="R24" s="62">
        <f t="shared" si="3"/>
        <v>0</v>
      </c>
      <c r="S24" s="63"/>
      <c r="T24" s="63"/>
      <c r="U24" s="63"/>
      <c r="V24" s="63"/>
      <c r="W24" s="62">
        <f t="shared" si="4"/>
        <v>0</v>
      </c>
      <c r="X24" s="27">
        <v>1.0</v>
      </c>
      <c r="Y24" s="27">
        <v>1.0</v>
      </c>
      <c r="Z24" s="27">
        <v>1.0</v>
      </c>
      <c r="AA24" s="27">
        <v>1.0</v>
      </c>
      <c r="AB24" s="62">
        <f t="shared" si="5"/>
        <v>30</v>
      </c>
      <c r="AC24" s="63"/>
      <c r="AD24" s="63"/>
      <c r="AE24" s="63"/>
      <c r="AF24" s="63"/>
      <c r="AG24" s="62">
        <f t="shared" si="6"/>
        <v>0</v>
      </c>
      <c r="AH24" s="63"/>
      <c r="AI24" s="63"/>
      <c r="AJ24" s="63"/>
      <c r="AK24" s="63"/>
      <c r="AL24" s="62">
        <f t="shared" si="7"/>
        <v>0</v>
      </c>
      <c r="AM24" s="63"/>
      <c r="AN24" s="63"/>
      <c r="AO24" s="63"/>
      <c r="AP24" s="63"/>
      <c r="AQ24" s="62">
        <f t="shared" si="8"/>
        <v>0</v>
      </c>
    </row>
    <row r="25">
      <c r="A25" s="7">
        <f>'INPUT DAFTAR PESERTA'!A23</f>
        <v>20</v>
      </c>
      <c r="B25" s="25">
        <f>'INPUT DAFTAR PESERTA'!B23</f>
        <v>2509056008</v>
      </c>
      <c r="C25" s="26" t="str">
        <f>'INPUT DAFTAR PESERTA'!C23</f>
        <v>Gita Mufidatuzahrah</v>
      </c>
      <c r="D25" s="27">
        <v>3.0</v>
      </c>
      <c r="E25" s="27">
        <v>3.0</v>
      </c>
      <c r="F25" s="27">
        <v>3.0</v>
      </c>
      <c r="G25" s="27">
        <v>1.0</v>
      </c>
      <c r="H25" s="62">
        <f t="shared" si="1"/>
        <v>60</v>
      </c>
      <c r="I25" s="63"/>
      <c r="J25" s="63"/>
      <c r="K25" s="63"/>
      <c r="L25" s="63"/>
      <c r="M25" s="62">
        <f t="shared" si="2"/>
        <v>0</v>
      </c>
      <c r="N25" s="63"/>
      <c r="O25" s="63"/>
      <c r="P25" s="63"/>
      <c r="Q25" s="63"/>
      <c r="R25" s="62">
        <f t="shared" si="3"/>
        <v>0</v>
      </c>
      <c r="S25" s="63"/>
      <c r="T25" s="63"/>
      <c r="U25" s="63"/>
      <c r="V25" s="63"/>
      <c r="W25" s="62">
        <f t="shared" si="4"/>
        <v>0</v>
      </c>
      <c r="X25" s="27">
        <v>1.0</v>
      </c>
      <c r="Y25" s="27">
        <v>1.0</v>
      </c>
      <c r="Z25" s="27">
        <v>1.0</v>
      </c>
      <c r="AA25" s="27">
        <v>1.0</v>
      </c>
      <c r="AB25" s="62">
        <f t="shared" si="5"/>
        <v>30</v>
      </c>
      <c r="AC25" s="63"/>
      <c r="AD25" s="63"/>
      <c r="AE25" s="63"/>
      <c r="AF25" s="63"/>
      <c r="AG25" s="62">
        <f t="shared" si="6"/>
        <v>0</v>
      </c>
      <c r="AH25" s="27">
        <v>2.0</v>
      </c>
      <c r="AI25" s="27">
        <v>3.0</v>
      </c>
      <c r="AJ25" s="27">
        <v>3.0</v>
      </c>
      <c r="AK25" s="27">
        <v>1.0</v>
      </c>
      <c r="AL25" s="62">
        <f t="shared" si="7"/>
        <v>57</v>
      </c>
      <c r="AM25" s="63"/>
      <c r="AN25" s="63"/>
      <c r="AO25" s="63"/>
      <c r="AP25" s="63"/>
      <c r="AQ25" s="62">
        <f t="shared" si="8"/>
        <v>0</v>
      </c>
    </row>
    <row r="26">
      <c r="A26" s="7">
        <f>'INPUT DAFTAR PESERTA'!A24</f>
        <v>21</v>
      </c>
      <c r="B26" s="25">
        <f>'INPUT DAFTAR PESERTA'!B24</f>
        <v>2509056009</v>
      </c>
      <c r="C26" s="26" t="str">
        <f>'INPUT DAFTAR PESERTA'!C24</f>
        <v>Muhammad Hersal Ramadhan</v>
      </c>
      <c r="D26" s="27">
        <v>2.0</v>
      </c>
      <c r="E26" s="27">
        <v>3.0</v>
      </c>
      <c r="F26" s="27">
        <v>2.0</v>
      </c>
      <c r="G26" s="27">
        <v>2.0</v>
      </c>
      <c r="H26" s="62">
        <f t="shared" si="1"/>
        <v>66</v>
      </c>
      <c r="I26" s="27">
        <v>3.0</v>
      </c>
      <c r="J26" s="27">
        <v>3.0</v>
      </c>
      <c r="K26" s="27">
        <v>3.0</v>
      </c>
      <c r="L26" s="27">
        <v>1.0</v>
      </c>
      <c r="M26" s="62">
        <f t="shared" si="2"/>
        <v>60</v>
      </c>
      <c r="N26" s="27">
        <v>3.0</v>
      </c>
      <c r="O26" s="27">
        <v>3.0</v>
      </c>
      <c r="P26" s="27">
        <v>3.0</v>
      </c>
      <c r="Q26" s="27">
        <v>3.0</v>
      </c>
      <c r="R26" s="62">
        <f t="shared" si="3"/>
        <v>90</v>
      </c>
      <c r="S26" s="27">
        <v>2.0</v>
      </c>
      <c r="T26" s="27">
        <v>3.0</v>
      </c>
      <c r="U26" s="27">
        <v>3.0</v>
      </c>
      <c r="V26" s="27">
        <v>3.0</v>
      </c>
      <c r="W26" s="62">
        <f t="shared" si="4"/>
        <v>87</v>
      </c>
      <c r="X26" s="27">
        <v>2.0</v>
      </c>
      <c r="Y26" s="27">
        <v>2.0</v>
      </c>
      <c r="Z26" s="27">
        <v>2.0</v>
      </c>
      <c r="AA26" s="27">
        <v>3.0</v>
      </c>
      <c r="AB26" s="62">
        <f t="shared" si="5"/>
        <v>75</v>
      </c>
      <c r="AC26" s="27">
        <v>3.0</v>
      </c>
      <c r="AD26" s="27">
        <v>2.0</v>
      </c>
      <c r="AE26" s="27">
        <v>3.0</v>
      </c>
      <c r="AF26" s="27">
        <v>2.0</v>
      </c>
      <c r="AG26" s="62">
        <f t="shared" si="6"/>
        <v>69</v>
      </c>
      <c r="AH26" s="27">
        <v>2.0</v>
      </c>
      <c r="AI26" s="27">
        <v>3.0</v>
      </c>
      <c r="AJ26" s="27">
        <v>3.0</v>
      </c>
      <c r="AK26" s="27">
        <v>1.0</v>
      </c>
      <c r="AL26" s="62">
        <f t="shared" si="7"/>
        <v>57</v>
      </c>
      <c r="AM26" s="27">
        <v>3.0</v>
      </c>
      <c r="AN26" s="27">
        <v>3.0</v>
      </c>
      <c r="AO26" s="27">
        <v>3.0</v>
      </c>
      <c r="AP26" s="27">
        <v>1.0</v>
      </c>
      <c r="AQ26" s="62">
        <f t="shared" si="8"/>
        <v>60</v>
      </c>
    </row>
    <row r="27">
      <c r="A27" s="7">
        <f>'INPUT DAFTAR PESERTA'!A25</f>
        <v>22</v>
      </c>
      <c r="B27" s="25">
        <f>'INPUT DAFTAR PESERTA'!B25</f>
        <v>2509056010</v>
      </c>
      <c r="C27" s="26" t="str">
        <f>'INPUT DAFTAR PESERTA'!C25</f>
        <v>Chikal Fattiya Putri</v>
      </c>
      <c r="D27" s="63"/>
      <c r="E27" s="63"/>
      <c r="F27" s="63"/>
      <c r="G27" s="63"/>
      <c r="H27" s="62">
        <f t="shared" si="1"/>
        <v>0</v>
      </c>
      <c r="I27" s="63"/>
      <c r="J27" s="63"/>
      <c r="K27" s="63"/>
      <c r="L27" s="63"/>
      <c r="M27" s="62">
        <f t="shared" si="2"/>
        <v>0</v>
      </c>
      <c r="N27" s="63"/>
      <c r="O27" s="63"/>
      <c r="P27" s="63"/>
      <c r="Q27" s="63"/>
      <c r="R27" s="62">
        <f t="shared" si="3"/>
        <v>0</v>
      </c>
      <c r="S27" s="63"/>
      <c r="T27" s="63"/>
      <c r="U27" s="63"/>
      <c r="V27" s="63"/>
      <c r="W27" s="62">
        <f t="shared" si="4"/>
        <v>0</v>
      </c>
      <c r="X27" s="27">
        <v>3.0</v>
      </c>
      <c r="Y27" s="27">
        <v>3.0</v>
      </c>
      <c r="Z27" s="27">
        <v>3.0</v>
      </c>
      <c r="AA27" s="27">
        <v>1.0</v>
      </c>
      <c r="AB27" s="62">
        <f t="shared" si="5"/>
        <v>60</v>
      </c>
      <c r="AC27" s="27">
        <v>3.0</v>
      </c>
      <c r="AD27" s="27">
        <v>2.0</v>
      </c>
      <c r="AE27" s="27">
        <v>3.0</v>
      </c>
      <c r="AF27" s="27">
        <v>2.0</v>
      </c>
      <c r="AG27" s="62">
        <f t="shared" si="6"/>
        <v>69</v>
      </c>
      <c r="AH27" s="27">
        <v>2.0</v>
      </c>
      <c r="AI27" s="27">
        <v>3.0</v>
      </c>
      <c r="AJ27" s="27">
        <v>3.0</v>
      </c>
      <c r="AK27" s="27">
        <v>1.0</v>
      </c>
      <c r="AL27" s="62">
        <f t="shared" si="7"/>
        <v>57</v>
      </c>
      <c r="AM27" s="63"/>
      <c r="AN27" s="63"/>
      <c r="AO27" s="63"/>
      <c r="AP27" s="63"/>
      <c r="AQ27" s="62">
        <f t="shared" si="8"/>
        <v>0</v>
      </c>
    </row>
    <row r="28">
      <c r="A28" s="7">
        <f>'INPUT DAFTAR PESERTA'!A26</f>
        <v>23</v>
      </c>
      <c r="B28" s="25">
        <f>'INPUT DAFTAR PESERTA'!B26</f>
        <v>2509056011</v>
      </c>
      <c r="C28" s="26" t="str">
        <f>'INPUT DAFTAR PESERTA'!C26</f>
        <v>Muhammad Daffa Lailitama Sinaga</v>
      </c>
      <c r="D28" s="27">
        <v>3.0</v>
      </c>
      <c r="E28" s="27">
        <v>3.0</v>
      </c>
      <c r="F28" s="27">
        <v>3.0</v>
      </c>
      <c r="G28" s="27">
        <v>2.0</v>
      </c>
      <c r="H28" s="62">
        <f t="shared" si="1"/>
        <v>75</v>
      </c>
      <c r="I28" s="27">
        <v>3.0</v>
      </c>
      <c r="J28" s="27">
        <v>3.0</v>
      </c>
      <c r="K28" s="27">
        <v>3.0</v>
      </c>
      <c r="L28" s="27">
        <v>1.0</v>
      </c>
      <c r="M28" s="62">
        <f t="shared" si="2"/>
        <v>60</v>
      </c>
      <c r="N28" s="27">
        <v>2.0</v>
      </c>
      <c r="O28" s="27">
        <v>3.0</v>
      </c>
      <c r="P28" s="27">
        <v>3.0</v>
      </c>
      <c r="Q28" s="27">
        <v>3.0</v>
      </c>
      <c r="R28" s="62">
        <f t="shared" si="3"/>
        <v>87</v>
      </c>
      <c r="S28" s="27">
        <v>2.0</v>
      </c>
      <c r="T28" s="27">
        <v>3.0</v>
      </c>
      <c r="U28" s="27">
        <v>3.0</v>
      </c>
      <c r="V28" s="27">
        <v>3.0</v>
      </c>
      <c r="W28" s="62">
        <f t="shared" si="4"/>
        <v>87</v>
      </c>
      <c r="X28" s="27">
        <v>3.0</v>
      </c>
      <c r="Y28" s="27">
        <v>3.0</v>
      </c>
      <c r="Z28" s="27">
        <v>3.0</v>
      </c>
      <c r="AA28" s="27">
        <v>3.0</v>
      </c>
      <c r="AB28" s="62">
        <f t="shared" si="5"/>
        <v>90</v>
      </c>
      <c r="AC28" s="27">
        <v>3.0</v>
      </c>
      <c r="AD28" s="27">
        <v>2.0</v>
      </c>
      <c r="AE28" s="27">
        <v>3.0</v>
      </c>
      <c r="AF28" s="27">
        <v>2.0</v>
      </c>
      <c r="AG28" s="62">
        <f t="shared" si="6"/>
        <v>69</v>
      </c>
      <c r="AH28" s="27">
        <v>2.0</v>
      </c>
      <c r="AI28" s="27">
        <v>3.0</v>
      </c>
      <c r="AJ28" s="27">
        <v>3.0</v>
      </c>
      <c r="AK28" s="27">
        <v>3.0</v>
      </c>
      <c r="AL28" s="62">
        <f t="shared" si="7"/>
        <v>87</v>
      </c>
      <c r="AM28" s="27">
        <v>3.0</v>
      </c>
      <c r="AN28" s="27">
        <v>3.0</v>
      </c>
      <c r="AO28" s="27">
        <v>3.0</v>
      </c>
      <c r="AP28" s="27">
        <v>1.0</v>
      </c>
      <c r="AQ28" s="62">
        <f t="shared" si="8"/>
        <v>60</v>
      </c>
    </row>
    <row r="29">
      <c r="A29" s="7">
        <f>'INPUT DAFTAR PESERTA'!A27</f>
        <v>24</v>
      </c>
      <c r="B29" s="25">
        <f>'INPUT DAFTAR PESERTA'!B27</f>
        <v>2509056012</v>
      </c>
      <c r="C29" s="26" t="str">
        <f>'INPUT DAFTAR PESERTA'!C27</f>
        <v>Sera Ayu Ningsih</v>
      </c>
      <c r="D29" s="27">
        <v>3.0</v>
      </c>
      <c r="E29" s="27">
        <v>3.0</v>
      </c>
      <c r="F29" s="27">
        <v>3.0</v>
      </c>
      <c r="G29" s="27">
        <v>1.0</v>
      </c>
      <c r="H29" s="62">
        <f t="shared" si="1"/>
        <v>60</v>
      </c>
      <c r="I29" s="27">
        <v>3.0</v>
      </c>
      <c r="J29" s="27">
        <v>3.0</v>
      </c>
      <c r="K29" s="27">
        <v>3.0</v>
      </c>
      <c r="L29" s="27">
        <v>1.0</v>
      </c>
      <c r="M29" s="62">
        <f t="shared" si="2"/>
        <v>60</v>
      </c>
      <c r="N29" s="27">
        <v>2.0</v>
      </c>
      <c r="O29" s="27">
        <v>3.0</v>
      </c>
      <c r="P29" s="27">
        <v>3.0</v>
      </c>
      <c r="Q29" s="27">
        <v>1.0</v>
      </c>
      <c r="R29" s="62">
        <f t="shared" si="3"/>
        <v>57</v>
      </c>
      <c r="S29" s="27">
        <v>2.0</v>
      </c>
      <c r="T29" s="27">
        <v>3.0</v>
      </c>
      <c r="U29" s="27">
        <v>3.0</v>
      </c>
      <c r="V29" s="27">
        <v>3.0</v>
      </c>
      <c r="W29" s="62">
        <f t="shared" si="4"/>
        <v>87</v>
      </c>
      <c r="X29" s="27">
        <v>3.0</v>
      </c>
      <c r="Y29" s="27">
        <v>3.0</v>
      </c>
      <c r="Z29" s="27">
        <v>3.0</v>
      </c>
      <c r="AA29" s="27">
        <v>1.0</v>
      </c>
      <c r="AB29" s="62">
        <f t="shared" si="5"/>
        <v>60</v>
      </c>
      <c r="AC29" s="27">
        <v>3.0</v>
      </c>
      <c r="AD29" s="27">
        <v>2.0</v>
      </c>
      <c r="AE29" s="27">
        <v>3.0</v>
      </c>
      <c r="AF29" s="27">
        <v>2.0</v>
      </c>
      <c r="AG29" s="62">
        <f t="shared" si="6"/>
        <v>69</v>
      </c>
      <c r="AH29" s="27">
        <v>2.0</v>
      </c>
      <c r="AI29" s="27">
        <v>3.0</v>
      </c>
      <c r="AJ29" s="27">
        <v>3.0</v>
      </c>
      <c r="AK29" s="27">
        <v>2.0</v>
      </c>
      <c r="AL29" s="62">
        <f t="shared" si="7"/>
        <v>72</v>
      </c>
      <c r="AM29" s="27">
        <v>3.0</v>
      </c>
      <c r="AN29" s="27">
        <v>3.0</v>
      </c>
      <c r="AO29" s="27">
        <v>3.0</v>
      </c>
      <c r="AP29" s="27">
        <v>1.0</v>
      </c>
      <c r="AQ29" s="62">
        <f t="shared" si="8"/>
        <v>60</v>
      </c>
    </row>
    <row r="30">
      <c r="A30" s="7">
        <f>'INPUT DAFTAR PESERTA'!A28</f>
        <v>25</v>
      </c>
      <c r="B30" s="25">
        <f>'INPUT DAFTAR PESERTA'!B28</f>
        <v>2509056013</v>
      </c>
      <c r="C30" s="26" t="str">
        <f>'INPUT DAFTAR PESERTA'!C28</f>
        <v>Naufal Firdaus Syauqi</v>
      </c>
      <c r="D30" s="27">
        <v>3.0</v>
      </c>
      <c r="E30" s="27">
        <v>3.0</v>
      </c>
      <c r="F30" s="27">
        <v>3.0</v>
      </c>
      <c r="G30" s="27">
        <v>2.0</v>
      </c>
      <c r="H30" s="62">
        <f t="shared" si="1"/>
        <v>75</v>
      </c>
      <c r="I30" s="63"/>
      <c r="J30" s="63"/>
      <c r="K30" s="63"/>
      <c r="L30" s="63"/>
      <c r="M30" s="62">
        <f t="shared" si="2"/>
        <v>0</v>
      </c>
      <c r="N30" s="27">
        <v>2.0</v>
      </c>
      <c r="O30" s="27">
        <v>3.0</v>
      </c>
      <c r="P30" s="27">
        <v>3.0</v>
      </c>
      <c r="Q30" s="27">
        <v>1.0</v>
      </c>
      <c r="R30" s="62">
        <f t="shared" si="3"/>
        <v>57</v>
      </c>
      <c r="S30" s="27">
        <v>2.0</v>
      </c>
      <c r="T30" s="27">
        <v>3.0</v>
      </c>
      <c r="U30" s="27">
        <v>3.0</v>
      </c>
      <c r="V30" s="27">
        <v>2.0</v>
      </c>
      <c r="W30" s="62">
        <f t="shared" si="4"/>
        <v>72</v>
      </c>
      <c r="X30" s="27">
        <v>3.0</v>
      </c>
      <c r="Y30" s="27">
        <v>3.0</v>
      </c>
      <c r="Z30" s="27">
        <v>3.0</v>
      </c>
      <c r="AA30" s="27">
        <v>1.0</v>
      </c>
      <c r="AB30" s="62">
        <f t="shared" si="5"/>
        <v>60</v>
      </c>
      <c r="AC30" s="27">
        <v>3.0</v>
      </c>
      <c r="AD30" s="27">
        <v>2.0</v>
      </c>
      <c r="AE30" s="27">
        <v>2.0</v>
      </c>
      <c r="AF30" s="27">
        <v>2.0</v>
      </c>
      <c r="AG30" s="62">
        <f t="shared" si="6"/>
        <v>63</v>
      </c>
      <c r="AH30" s="27">
        <v>2.0</v>
      </c>
      <c r="AI30" s="27">
        <v>3.0</v>
      </c>
      <c r="AJ30" s="27">
        <v>3.0</v>
      </c>
      <c r="AK30" s="27">
        <v>2.0</v>
      </c>
      <c r="AL30" s="62">
        <f t="shared" si="7"/>
        <v>72</v>
      </c>
      <c r="AM30" s="27">
        <v>3.0</v>
      </c>
      <c r="AN30" s="27">
        <v>3.0</v>
      </c>
      <c r="AO30" s="27">
        <v>3.0</v>
      </c>
      <c r="AP30" s="27">
        <v>2.0</v>
      </c>
      <c r="AQ30" s="62">
        <f t="shared" si="8"/>
        <v>75</v>
      </c>
    </row>
    <row r="31">
      <c r="A31" s="7">
        <f>'INPUT DAFTAR PESERTA'!A29</f>
        <v>26</v>
      </c>
      <c r="B31" s="25">
        <f>'INPUT DAFTAR PESERTA'!B29</f>
        <v>2509056014</v>
      </c>
      <c r="C31" s="26" t="str">
        <f>'INPUT DAFTAR PESERTA'!C29</f>
        <v>Alexander Radja Roben Saragih</v>
      </c>
      <c r="D31" s="27">
        <v>3.0</v>
      </c>
      <c r="E31" s="27">
        <v>3.0</v>
      </c>
      <c r="F31" s="27">
        <v>3.0</v>
      </c>
      <c r="G31" s="27">
        <v>3.0</v>
      </c>
      <c r="H31" s="62">
        <f t="shared" si="1"/>
        <v>90</v>
      </c>
      <c r="I31" s="27">
        <v>3.0</v>
      </c>
      <c r="J31" s="27">
        <v>3.0</v>
      </c>
      <c r="K31" s="27">
        <v>3.0</v>
      </c>
      <c r="L31" s="27">
        <v>1.0</v>
      </c>
      <c r="M31" s="62">
        <f t="shared" si="2"/>
        <v>60</v>
      </c>
      <c r="N31" s="27">
        <v>2.0</v>
      </c>
      <c r="O31" s="27">
        <v>3.0</v>
      </c>
      <c r="P31" s="27">
        <v>3.0</v>
      </c>
      <c r="Q31" s="27">
        <v>3.0</v>
      </c>
      <c r="R31" s="62">
        <f t="shared" si="3"/>
        <v>87</v>
      </c>
      <c r="S31" s="27">
        <v>2.0</v>
      </c>
      <c r="T31" s="27">
        <v>3.0</v>
      </c>
      <c r="U31" s="27">
        <v>3.0</v>
      </c>
      <c r="V31" s="27">
        <v>3.0</v>
      </c>
      <c r="W31" s="62">
        <f t="shared" si="4"/>
        <v>87</v>
      </c>
      <c r="X31" s="27">
        <v>3.0</v>
      </c>
      <c r="Y31" s="27">
        <v>3.0</v>
      </c>
      <c r="Z31" s="27">
        <v>3.0</v>
      </c>
      <c r="AA31" s="27">
        <v>3.0</v>
      </c>
      <c r="AB31" s="62">
        <f t="shared" si="5"/>
        <v>90</v>
      </c>
      <c r="AC31" s="27">
        <v>3.0</v>
      </c>
      <c r="AD31" s="27">
        <v>2.0</v>
      </c>
      <c r="AE31" s="27">
        <v>2.0</v>
      </c>
      <c r="AF31" s="27">
        <v>2.0</v>
      </c>
      <c r="AG31" s="62">
        <f t="shared" si="6"/>
        <v>63</v>
      </c>
      <c r="AH31" s="27">
        <v>2.0</v>
      </c>
      <c r="AI31" s="27">
        <v>3.0</v>
      </c>
      <c r="AJ31" s="27">
        <v>3.0</v>
      </c>
      <c r="AK31" s="27">
        <v>3.0</v>
      </c>
      <c r="AL31" s="62">
        <f t="shared" si="7"/>
        <v>87</v>
      </c>
      <c r="AM31" s="27">
        <v>3.0</v>
      </c>
      <c r="AN31" s="27">
        <v>3.0</v>
      </c>
      <c r="AO31" s="27">
        <v>3.0</v>
      </c>
      <c r="AP31" s="27">
        <v>3.0</v>
      </c>
      <c r="AQ31" s="62">
        <f t="shared" si="8"/>
        <v>90</v>
      </c>
    </row>
    <row r="32">
      <c r="A32" s="7">
        <f>'INPUT DAFTAR PESERTA'!A30</f>
        <v>27</v>
      </c>
      <c r="B32" s="25">
        <f>'INPUT DAFTAR PESERTA'!B30</f>
        <v>2509056015</v>
      </c>
      <c r="C32" s="26" t="str">
        <f>'INPUT DAFTAR PESERTA'!C30</f>
        <v>Tiara Aqila Azzahra</v>
      </c>
      <c r="D32" s="27">
        <v>3.0</v>
      </c>
      <c r="E32" s="27">
        <v>3.0</v>
      </c>
      <c r="F32" s="27">
        <v>3.0</v>
      </c>
      <c r="G32" s="27">
        <v>1.0</v>
      </c>
      <c r="H32" s="62">
        <f t="shared" si="1"/>
        <v>60</v>
      </c>
      <c r="I32" s="27">
        <v>3.0</v>
      </c>
      <c r="J32" s="27">
        <v>3.0</v>
      </c>
      <c r="K32" s="27">
        <v>3.0</v>
      </c>
      <c r="L32" s="27">
        <v>2.0</v>
      </c>
      <c r="M32" s="62">
        <f t="shared" si="2"/>
        <v>75</v>
      </c>
      <c r="N32" s="27">
        <v>2.0</v>
      </c>
      <c r="O32" s="27">
        <v>3.0</v>
      </c>
      <c r="P32" s="27">
        <v>3.0</v>
      </c>
      <c r="Q32" s="27">
        <v>2.0</v>
      </c>
      <c r="R32" s="62">
        <f t="shared" si="3"/>
        <v>72</v>
      </c>
      <c r="S32" s="27">
        <v>2.0</v>
      </c>
      <c r="T32" s="27">
        <v>3.0</v>
      </c>
      <c r="U32" s="27">
        <v>3.0</v>
      </c>
      <c r="V32" s="27">
        <v>3.0</v>
      </c>
      <c r="W32" s="62">
        <f t="shared" si="4"/>
        <v>87</v>
      </c>
      <c r="X32" s="27">
        <v>3.0</v>
      </c>
      <c r="Y32" s="27">
        <v>3.0</v>
      </c>
      <c r="Z32" s="27">
        <v>3.0</v>
      </c>
      <c r="AA32" s="27">
        <v>3.0</v>
      </c>
      <c r="AB32" s="62">
        <f t="shared" si="5"/>
        <v>90</v>
      </c>
      <c r="AC32" s="27">
        <v>3.0</v>
      </c>
      <c r="AD32" s="27">
        <v>2.0</v>
      </c>
      <c r="AE32" s="27">
        <v>2.0</v>
      </c>
      <c r="AF32" s="27">
        <v>2.0</v>
      </c>
      <c r="AG32" s="62">
        <f t="shared" si="6"/>
        <v>63</v>
      </c>
      <c r="AH32" s="27">
        <v>2.0</v>
      </c>
      <c r="AI32" s="27">
        <v>3.0</v>
      </c>
      <c r="AJ32" s="27">
        <v>3.0</v>
      </c>
      <c r="AK32" s="27">
        <v>3.0</v>
      </c>
      <c r="AL32" s="62">
        <f t="shared" si="7"/>
        <v>87</v>
      </c>
      <c r="AM32" s="27">
        <v>3.0</v>
      </c>
      <c r="AN32" s="27">
        <v>3.0</v>
      </c>
      <c r="AO32" s="27">
        <v>3.0</v>
      </c>
      <c r="AP32" s="27">
        <v>2.0</v>
      </c>
      <c r="AQ32" s="62">
        <f t="shared" si="8"/>
        <v>75</v>
      </c>
    </row>
    <row r="33">
      <c r="A33" s="7">
        <f>'INPUT DAFTAR PESERTA'!A31</f>
        <v>28</v>
      </c>
      <c r="B33" s="25">
        <f>'INPUT DAFTAR PESERTA'!B31</f>
        <v>2509056016</v>
      </c>
      <c r="C33" s="26" t="str">
        <f>'INPUT DAFTAR PESERTA'!C31</f>
        <v>Muhammad Haikal Islamy Saputra</v>
      </c>
      <c r="D33" s="27">
        <v>2.0</v>
      </c>
      <c r="E33" s="27">
        <v>2.0</v>
      </c>
      <c r="F33" s="27">
        <v>3.0</v>
      </c>
      <c r="G33" s="27">
        <v>1.0</v>
      </c>
      <c r="H33" s="62">
        <f t="shared" si="1"/>
        <v>51</v>
      </c>
      <c r="I33" s="27">
        <v>3.0</v>
      </c>
      <c r="J33" s="27">
        <v>3.0</v>
      </c>
      <c r="K33" s="27">
        <v>3.0</v>
      </c>
      <c r="L33" s="27">
        <v>1.0</v>
      </c>
      <c r="M33" s="62">
        <f t="shared" si="2"/>
        <v>60</v>
      </c>
      <c r="N33" s="27">
        <v>3.0</v>
      </c>
      <c r="O33" s="27">
        <v>3.0</v>
      </c>
      <c r="P33" s="27">
        <v>3.0</v>
      </c>
      <c r="Q33" s="27">
        <v>1.0</v>
      </c>
      <c r="R33" s="62">
        <f t="shared" si="3"/>
        <v>60</v>
      </c>
      <c r="S33" s="27">
        <v>2.0</v>
      </c>
      <c r="T33" s="27">
        <v>3.0</v>
      </c>
      <c r="U33" s="27">
        <v>3.0</v>
      </c>
      <c r="V33" s="27">
        <v>2.0</v>
      </c>
      <c r="W33" s="62">
        <f t="shared" si="4"/>
        <v>72</v>
      </c>
      <c r="X33" s="27">
        <v>3.0</v>
      </c>
      <c r="Y33" s="27">
        <v>2.0</v>
      </c>
      <c r="Z33" s="27">
        <v>2.0</v>
      </c>
      <c r="AA33" s="27">
        <v>3.0</v>
      </c>
      <c r="AB33" s="62">
        <f t="shared" si="5"/>
        <v>78</v>
      </c>
      <c r="AC33" s="27">
        <v>3.0</v>
      </c>
      <c r="AD33" s="27">
        <v>2.0</v>
      </c>
      <c r="AE33" s="27">
        <v>2.0</v>
      </c>
      <c r="AF33" s="27">
        <v>2.0</v>
      </c>
      <c r="AG33" s="62">
        <f t="shared" si="6"/>
        <v>63</v>
      </c>
      <c r="AH33" s="27">
        <v>2.0</v>
      </c>
      <c r="AI33" s="27">
        <v>3.0</v>
      </c>
      <c r="AJ33" s="27">
        <v>3.0</v>
      </c>
      <c r="AK33" s="27">
        <v>3.0</v>
      </c>
      <c r="AL33" s="62">
        <f t="shared" si="7"/>
        <v>87</v>
      </c>
      <c r="AM33" s="27">
        <v>3.0</v>
      </c>
      <c r="AN33" s="27">
        <v>3.0</v>
      </c>
      <c r="AO33" s="27">
        <v>3.0</v>
      </c>
      <c r="AP33" s="27">
        <v>2.0</v>
      </c>
      <c r="AQ33" s="62">
        <f t="shared" si="8"/>
        <v>75</v>
      </c>
    </row>
    <row r="34">
      <c r="A34" s="7">
        <f>'INPUT DAFTAR PESERTA'!A32</f>
        <v>29</v>
      </c>
      <c r="B34" s="25">
        <f>'INPUT DAFTAR PESERTA'!B32</f>
        <v>2509056017</v>
      </c>
      <c r="C34" s="26" t="str">
        <f>'INPUT DAFTAR PESERTA'!C32</f>
        <v>Faatihur Rizki</v>
      </c>
      <c r="D34" s="27">
        <v>2.0</v>
      </c>
      <c r="E34" s="27">
        <v>2.0</v>
      </c>
      <c r="F34" s="27">
        <v>3.0</v>
      </c>
      <c r="G34" s="27">
        <v>1.0</v>
      </c>
      <c r="H34" s="62">
        <f t="shared" si="1"/>
        <v>51</v>
      </c>
      <c r="I34" s="27">
        <v>3.0</v>
      </c>
      <c r="J34" s="27">
        <v>3.0</v>
      </c>
      <c r="K34" s="27">
        <v>3.0</v>
      </c>
      <c r="L34" s="27">
        <v>1.0</v>
      </c>
      <c r="M34" s="62">
        <f t="shared" si="2"/>
        <v>60</v>
      </c>
      <c r="N34" s="27">
        <v>3.0</v>
      </c>
      <c r="O34" s="27">
        <v>3.0</v>
      </c>
      <c r="P34" s="27">
        <v>3.0</v>
      </c>
      <c r="Q34" s="27">
        <v>1.0</v>
      </c>
      <c r="R34" s="62">
        <f t="shared" si="3"/>
        <v>60</v>
      </c>
      <c r="S34" s="27">
        <v>2.0</v>
      </c>
      <c r="T34" s="27">
        <v>3.0</v>
      </c>
      <c r="U34" s="27">
        <v>3.0</v>
      </c>
      <c r="V34" s="27">
        <v>1.0</v>
      </c>
      <c r="W34" s="62">
        <f t="shared" si="4"/>
        <v>57</v>
      </c>
      <c r="X34" s="27">
        <v>3.0</v>
      </c>
      <c r="Y34" s="27">
        <v>3.0</v>
      </c>
      <c r="Z34" s="27">
        <v>3.0</v>
      </c>
      <c r="AA34" s="27">
        <v>1.0</v>
      </c>
      <c r="AB34" s="62">
        <f t="shared" si="5"/>
        <v>60</v>
      </c>
      <c r="AC34" s="27">
        <v>3.0</v>
      </c>
      <c r="AD34" s="27">
        <v>2.0</v>
      </c>
      <c r="AE34" s="27">
        <v>2.0</v>
      </c>
      <c r="AF34" s="27">
        <v>2.0</v>
      </c>
      <c r="AG34" s="62">
        <f t="shared" si="6"/>
        <v>63</v>
      </c>
      <c r="AH34" s="27">
        <v>2.0</v>
      </c>
      <c r="AI34" s="27">
        <v>3.0</v>
      </c>
      <c r="AJ34" s="27">
        <v>3.0</v>
      </c>
      <c r="AK34" s="27">
        <v>2.0</v>
      </c>
      <c r="AL34" s="62">
        <f t="shared" si="7"/>
        <v>72</v>
      </c>
      <c r="AM34" s="27">
        <v>3.0</v>
      </c>
      <c r="AN34" s="27">
        <v>3.0</v>
      </c>
      <c r="AO34" s="27">
        <v>3.0</v>
      </c>
      <c r="AP34" s="27">
        <v>2.0</v>
      </c>
      <c r="AQ34" s="62">
        <f t="shared" si="8"/>
        <v>75</v>
      </c>
    </row>
    <row r="35">
      <c r="A35" s="7">
        <f>'INPUT DAFTAR PESERTA'!A33</f>
        <v>30</v>
      </c>
      <c r="B35" s="25">
        <f>'INPUT DAFTAR PESERTA'!B33</f>
        <v>2509056018</v>
      </c>
      <c r="C35" s="26" t="str">
        <f>'INPUT DAFTAR PESERTA'!C33</f>
        <v>Rashya Annara Salsabilla Tomasoa</v>
      </c>
      <c r="D35" s="27">
        <v>2.0</v>
      </c>
      <c r="E35" s="27">
        <v>2.0</v>
      </c>
      <c r="F35" s="27">
        <v>3.0</v>
      </c>
      <c r="G35" s="27">
        <v>2.0</v>
      </c>
      <c r="H35" s="62">
        <f t="shared" si="1"/>
        <v>66</v>
      </c>
      <c r="I35" s="27">
        <v>3.0</v>
      </c>
      <c r="J35" s="27">
        <v>3.0</v>
      </c>
      <c r="K35" s="27">
        <v>3.0</v>
      </c>
      <c r="L35" s="27">
        <v>3.0</v>
      </c>
      <c r="M35" s="62">
        <f t="shared" si="2"/>
        <v>90</v>
      </c>
      <c r="N35" s="27">
        <v>3.0</v>
      </c>
      <c r="O35" s="27">
        <v>3.0</v>
      </c>
      <c r="P35" s="27">
        <v>3.0</v>
      </c>
      <c r="Q35" s="27">
        <v>3.0</v>
      </c>
      <c r="R35" s="62">
        <f t="shared" si="3"/>
        <v>90</v>
      </c>
      <c r="S35" s="27">
        <v>2.0</v>
      </c>
      <c r="T35" s="27">
        <v>3.0</v>
      </c>
      <c r="U35" s="27">
        <v>3.0</v>
      </c>
      <c r="V35" s="27">
        <v>3.0</v>
      </c>
      <c r="W35" s="62">
        <f t="shared" si="4"/>
        <v>87</v>
      </c>
      <c r="X35" s="27">
        <v>2.0</v>
      </c>
      <c r="Y35" s="27">
        <v>2.0</v>
      </c>
      <c r="Z35" s="27">
        <v>2.0</v>
      </c>
      <c r="AA35" s="27">
        <v>3.0</v>
      </c>
      <c r="AB35" s="62">
        <f t="shared" si="5"/>
        <v>75</v>
      </c>
      <c r="AC35" s="27">
        <v>3.0</v>
      </c>
      <c r="AD35" s="27">
        <v>2.0</v>
      </c>
      <c r="AE35" s="27">
        <v>2.0</v>
      </c>
      <c r="AF35" s="27">
        <v>2.0</v>
      </c>
      <c r="AG35" s="62">
        <f t="shared" si="6"/>
        <v>63</v>
      </c>
      <c r="AH35" s="27">
        <v>2.0</v>
      </c>
      <c r="AI35" s="27">
        <v>3.0</v>
      </c>
      <c r="AJ35" s="27">
        <v>3.0</v>
      </c>
      <c r="AK35" s="27">
        <v>3.0</v>
      </c>
      <c r="AL35" s="62">
        <f t="shared" si="7"/>
        <v>87</v>
      </c>
      <c r="AM35" s="27">
        <v>3.0</v>
      </c>
      <c r="AN35" s="27">
        <v>3.0</v>
      </c>
      <c r="AO35" s="27">
        <v>3.0</v>
      </c>
      <c r="AP35" s="27">
        <v>1.0</v>
      </c>
      <c r="AQ35" s="62">
        <f t="shared" si="8"/>
        <v>60</v>
      </c>
    </row>
    <row r="36">
      <c r="A36" s="7">
        <f>'INPUT DAFTAR PESERTA'!A34</f>
        <v>31</v>
      </c>
      <c r="B36" s="25">
        <f>'INPUT DAFTAR PESERTA'!B34</f>
        <v>2509056019</v>
      </c>
      <c r="C36" s="26" t="str">
        <f>'INPUT DAFTAR PESERTA'!C34</f>
        <v>Desta Novie Sulfianie</v>
      </c>
      <c r="D36" s="63"/>
      <c r="E36" s="63"/>
      <c r="F36" s="63"/>
      <c r="G36" s="63"/>
      <c r="H36" s="62">
        <f t="shared" si="1"/>
        <v>0</v>
      </c>
      <c r="I36" s="27">
        <v>3.0</v>
      </c>
      <c r="J36" s="27">
        <v>3.0</v>
      </c>
      <c r="K36" s="27">
        <v>3.0</v>
      </c>
      <c r="L36" s="27">
        <v>1.0</v>
      </c>
      <c r="M36" s="62">
        <f t="shared" si="2"/>
        <v>60</v>
      </c>
      <c r="N36" s="63"/>
      <c r="O36" s="63"/>
      <c r="P36" s="63"/>
      <c r="Q36" s="63"/>
      <c r="R36" s="62">
        <f t="shared" si="3"/>
        <v>0</v>
      </c>
      <c r="S36" s="63"/>
      <c r="T36" s="63"/>
      <c r="U36" s="63"/>
      <c r="V36" s="63"/>
      <c r="W36" s="62">
        <f t="shared" si="4"/>
        <v>0</v>
      </c>
      <c r="X36" s="27">
        <v>3.0</v>
      </c>
      <c r="Y36" s="27">
        <v>3.0</v>
      </c>
      <c r="Z36" s="27">
        <v>3.0</v>
      </c>
      <c r="AA36" s="27">
        <v>1.0</v>
      </c>
      <c r="AB36" s="62">
        <f t="shared" si="5"/>
        <v>60</v>
      </c>
      <c r="AC36" s="27">
        <v>2.0</v>
      </c>
      <c r="AD36" s="27">
        <v>2.0</v>
      </c>
      <c r="AE36" s="27">
        <v>2.0</v>
      </c>
      <c r="AF36" s="27">
        <v>2.0</v>
      </c>
      <c r="AG36" s="62">
        <f t="shared" si="6"/>
        <v>60</v>
      </c>
      <c r="AH36" s="63"/>
      <c r="AI36" s="63"/>
      <c r="AJ36" s="63"/>
      <c r="AK36" s="63"/>
      <c r="AL36" s="62">
        <f t="shared" si="7"/>
        <v>0</v>
      </c>
      <c r="AM36" s="63"/>
      <c r="AN36" s="63"/>
      <c r="AO36" s="63"/>
      <c r="AP36" s="63"/>
      <c r="AQ36" s="62">
        <f t="shared" si="8"/>
        <v>0</v>
      </c>
    </row>
    <row r="37">
      <c r="A37" s="7">
        <f>'INPUT DAFTAR PESERTA'!A35</f>
        <v>32</v>
      </c>
      <c r="B37" s="25">
        <f>'INPUT DAFTAR PESERTA'!B35</f>
        <v>2509056020</v>
      </c>
      <c r="C37" s="26" t="str">
        <f>'INPUT DAFTAR PESERTA'!C35</f>
        <v>Chandra Ahmad Dwinata</v>
      </c>
      <c r="D37" s="27">
        <v>3.0</v>
      </c>
      <c r="E37" s="27">
        <v>3.0</v>
      </c>
      <c r="F37" s="27">
        <v>3.0</v>
      </c>
      <c r="G37" s="27">
        <v>1.0</v>
      </c>
      <c r="H37" s="62">
        <f t="shared" si="1"/>
        <v>60</v>
      </c>
      <c r="I37" s="63"/>
      <c r="J37" s="63"/>
      <c r="K37" s="63"/>
      <c r="L37" s="63"/>
      <c r="M37" s="62">
        <f t="shared" si="2"/>
        <v>0</v>
      </c>
      <c r="N37" s="27">
        <v>3.0</v>
      </c>
      <c r="O37" s="27">
        <v>3.0</v>
      </c>
      <c r="P37" s="27">
        <v>3.0</v>
      </c>
      <c r="Q37" s="27">
        <v>1.0</v>
      </c>
      <c r="R37" s="62">
        <f t="shared" si="3"/>
        <v>60</v>
      </c>
      <c r="S37" s="27">
        <v>3.0</v>
      </c>
      <c r="T37" s="27">
        <v>3.0</v>
      </c>
      <c r="U37" s="27">
        <v>3.0</v>
      </c>
      <c r="V37" s="27">
        <v>1.0</v>
      </c>
      <c r="W37" s="62">
        <f t="shared" si="4"/>
        <v>60</v>
      </c>
      <c r="X37" s="27">
        <v>2.0</v>
      </c>
      <c r="Y37" s="27">
        <v>2.0</v>
      </c>
      <c r="Z37" s="27">
        <v>3.0</v>
      </c>
      <c r="AA37" s="27">
        <v>3.0</v>
      </c>
      <c r="AB37" s="62">
        <f t="shared" si="5"/>
        <v>81</v>
      </c>
      <c r="AC37" s="27">
        <v>2.0</v>
      </c>
      <c r="AD37" s="27">
        <v>2.0</v>
      </c>
      <c r="AE37" s="27">
        <v>2.0</v>
      </c>
      <c r="AF37" s="27">
        <v>2.0</v>
      </c>
      <c r="AG37" s="62">
        <f t="shared" si="6"/>
        <v>60</v>
      </c>
      <c r="AH37" s="27">
        <v>3.0</v>
      </c>
      <c r="AI37" s="27">
        <v>3.0</v>
      </c>
      <c r="AJ37" s="27">
        <v>3.0</v>
      </c>
      <c r="AK37" s="27">
        <v>1.0</v>
      </c>
      <c r="AL37" s="62">
        <f t="shared" si="7"/>
        <v>60</v>
      </c>
      <c r="AM37" s="27">
        <v>3.0</v>
      </c>
      <c r="AN37" s="27">
        <v>3.0</v>
      </c>
      <c r="AO37" s="27">
        <v>3.0</v>
      </c>
      <c r="AP37" s="27">
        <v>1.0</v>
      </c>
      <c r="AQ37" s="62">
        <f t="shared" si="8"/>
        <v>60</v>
      </c>
    </row>
    <row r="38">
      <c r="A38" s="7">
        <f>'INPUT DAFTAR PESERTA'!A36</f>
        <v>33</v>
      </c>
      <c r="B38" s="25">
        <f>'INPUT DAFTAR PESERTA'!B36</f>
        <v>2509056021</v>
      </c>
      <c r="C38" s="26" t="str">
        <f>'INPUT DAFTAR PESERTA'!C36</f>
        <v>Sopando Imanuel Sipayung</v>
      </c>
      <c r="D38" s="27">
        <v>2.0</v>
      </c>
      <c r="E38" s="27">
        <v>3.0</v>
      </c>
      <c r="F38" s="27">
        <v>3.0</v>
      </c>
      <c r="G38" s="27">
        <v>2.0</v>
      </c>
      <c r="H38" s="62">
        <f t="shared" si="1"/>
        <v>72</v>
      </c>
      <c r="I38" s="27">
        <v>3.0</v>
      </c>
      <c r="J38" s="27">
        <v>3.0</v>
      </c>
      <c r="K38" s="27">
        <v>3.0</v>
      </c>
      <c r="L38" s="27">
        <v>3.0</v>
      </c>
      <c r="M38" s="62">
        <f t="shared" si="2"/>
        <v>90</v>
      </c>
      <c r="N38" s="27">
        <v>3.0</v>
      </c>
      <c r="O38" s="27">
        <v>3.0</v>
      </c>
      <c r="P38" s="27">
        <v>3.0</v>
      </c>
      <c r="Q38" s="27">
        <v>2.0</v>
      </c>
      <c r="R38" s="62">
        <f t="shared" si="3"/>
        <v>75</v>
      </c>
      <c r="S38" s="27">
        <v>3.0</v>
      </c>
      <c r="T38" s="27">
        <v>3.0</v>
      </c>
      <c r="U38" s="27">
        <v>3.0</v>
      </c>
      <c r="V38" s="27">
        <v>1.0</v>
      </c>
      <c r="W38" s="62">
        <f t="shared" si="4"/>
        <v>60</v>
      </c>
      <c r="X38" s="27">
        <v>3.0</v>
      </c>
      <c r="Y38" s="27">
        <v>2.0</v>
      </c>
      <c r="Z38" s="27">
        <v>3.0</v>
      </c>
      <c r="AA38" s="27">
        <v>3.0</v>
      </c>
      <c r="AB38" s="62">
        <f t="shared" si="5"/>
        <v>84</v>
      </c>
      <c r="AC38" s="27">
        <v>2.0</v>
      </c>
      <c r="AD38" s="27">
        <v>2.0</v>
      </c>
      <c r="AE38" s="27">
        <v>2.0</v>
      </c>
      <c r="AF38" s="27">
        <v>2.0</v>
      </c>
      <c r="AG38" s="62">
        <f t="shared" si="6"/>
        <v>60</v>
      </c>
      <c r="AH38" s="27">
        <v>2.0</v>
      </c>
      <c r="AI38" s="27">
        <v>3.0</v>
      </c>
      <c r="AJ38" s="27">
        <v>3.0</v>
      </c>
      <c r="AK38" s="27">
        <v>3.0</v>
      </c>
      <c r="AL38" s="62">
        <f t="shared" si="7"/>
        <v>87</v>
      </c>
      <c r="AM38" s="27">
        <v>3.0</v>
      </c>
      <c r="AN38" s="27">
        <v>3.0</v>
      </c>
      <c r="AO38" s="27">
        <v>3.0</v>
      </c>
      <c r="AP38" s="27">
        <v>1.0</v>
      </c>
      <c r="AQ38" s="62">
        <f t="shared" si="8"/>
        <v>60</v>
      </c>
    </row>
    <row r="39">
      <c r="A39" s="7">
        <f>'INPUT DAFTAR PESERTA'!A37</f>
        <v>34</v>
      </c>
      <c r="B39" s="25">
        <f>'INPUT DAFTAR PESERTA'!B37</f>
        <v>2509056022</v>
      </c>
      <c r="C39" s="26" t="str">
        <f>'INPUT DAFTAR PESERTA'!C37</f>
        <v>Rayhan Winata Prabowo</v>
      </c>
      <c r="D39" s="27">
        <v>3.0</v>
      </c>
      <c r="E39" s="27">
        <v>3.0</v>
      </c>
      <c r="F39" s="27">
        <v>3.0</v>
      </c>
      <c r="G39" s="27">
        <v>1.0</v>
      </c>
      <c r="H39" s="62">
        <f t="shared" si="1"/>
        <v>60</v>
      </c>
      <c r="I39" s="27">
        <v>3.0</v>
      </c>
      <c r="J39" s="27">
        <v>3.0</v>
      </c>
      <c r="K39" s="27">
        <v>3.0</v>
      </c>
      <c r="L39" s="27">
        <v>1.0</v>
      </c>
      <c r="M39" s="62">
        <f t="shared" si="2"/>
        <v>60</v>
      </c>
      <c r="N39" s="27">
        <v>3.0</v>
      </c>
      <c r="O39" s="27">
        <v>3.0</v>
      </c>
      <c r="P39" s="27">
        <v>3.0</v>
      </c>
      <c r="Q39" s="27">
        <v>2.0</v>
      </c>
      <c r="R39" s="62">
        <f t="shared" si="3"/>
        <v>75</v>
      </c>
      <c r="S39" s="27">
        <v>3.0</v>
      </c>
      <c r="T39" s="27">
        <v>3.0</v>
      </c>
      <c r="U39" s="27">
        <v>3.0</v>
      </c>
      <c r="V39" s="27">
        <v>3.0</v>
      </c>
      <c r="W39" s="62">
        <f t="shared" si="4"/>
        <v>90</v>
      </c>
      <c r="X39" s="27">
        <v>2.0</v>
      </c>
      <c r="Y39" s="27">
        <v>3.0</v>
      </c>
      <c r="Z39" s="27">
        <v>3.0</v>
      </c>
      <c r="AA39" s="27">
        <v>1.0</v>
      </c>
      <c r="AB39" s="62">
        <f t="shared" si="5"/>
        <v>57</v>
      </c>
      <c r="AC39" s="27">
        <v>2.0</v>
      </c>
      <c r="AD39" s="27">
        <v>2.0</v>
      </c>
      <c r="AE39" s="27">
        <v>2.0</v>
      </c>
      <c r="AF39" s="27">
        <v>2.0</v>
      </c>
      <c r="AG39" s="62">
        <f t="shared" si="6"/>
        <v>60</v>
      </c>
      <c r="AH39" s="27">
        <v>2.0</v>
      </c>
      <c r="AI39" s="27">
        <v>3.0</v>
      </c>
      <c r="AJ39" s="27">
        <v>3.0</v>
      </c>
      <c r="AK39" s="27">
        <v>1.0</v>
      </c>
      <c r="AL39" s="62">
        <f t="shared" si="7"/>
        <v>57</v>
      </c>
      <c r="AM39" s="27">
        <v>3.0</v>
      </c>
      <c r="AN39" s="27">
        <v>3.0</v>
      </c>
      <c r="AO39" s="27">
        <v>3.0</v>
      </c>
      <c r="AP39" s="27">
        <v>2.0</v>
      </c>
      <c r="AQ39" s="62">
        <f t="shared" si="8"/>
        <v>75</v>
      </c>
    </row>
    <row r="40">
      <c r="A40" s="7">
        <f>'INPUT DAFTAR PESERTA'!A38</f>
        <v>35</v>
      </c>
      <c r="B40" s="25">
        <f>'INPUT DAFTAR PESERTA'!B38</f>
        <v>2509056023</v>
      </c>
      <c r="C40" s="26" t="str">
        <f>'INPUT DAFTAR PESERTA'!C38</f>
        <v>Ahmad Din Nejad</v>
      </c>
      <c r="D40" s="27">
        <v>3.0</v>
      </c>
      <c r="E40" s="27">
        <v>3.0</v>
      </c>
      <c r="F40" s="27">
        <v>3.0</v>
      </c>
      <c r="G40" s="27">
        <v>3.0</v>
      </c>
      <c r="H40" s="62">
        <f t="shared" si="1"/>
        <v>90</v>
      </c>
      <c r="I40" s="27">
        <v>3.0</v>
      </c>
      <c r="J40" s="27">
        <v>3.0</v>
      </c>
      <c r="K40" s="27">
        <v>3.0</v>
      </c>
      <c r="L40" s="27">
        <v>1.0</v>
      </c>
      <c r="M40" s="62">
        <f t="shared" si="2"/>
        <v>60</v>
      </c>
      <c r="N40" s="63"/>
      <c r="O40" s="63"/>
      <c r="P40" s="63"/>
      <c r="Q40" s="63"/>
      <c r="R40" s="62">
        <f t="shared" si="3"/>
        <v>0</v>
      </c>
      <c r="S40" s="63"/>
      <c r="T40" s="63"/>
      <c r="U40" s="63"/>
      <c r="V40" s="63"/>
      <c r="W40" s="62">
        <f t="shared" si="4"/>
        <v>0</v>
      </c>
      <c r="X40" s="27">
        <v>1.0</v>
      </c>
      <c r="Y40" s="27">
        <v>1.0</v>
      </c>
      <c r="Z40" s="27">
        <v>1.0</v>
      </c>
      <c r="AA40" s="27">
        <v>1.0</v>
      </c>
      <c r="AB40" s="62">
        <f t="shared" si="5"/>
        <v>30</v>
      </c>
      <c r="AC40" s="27">
        <v>2.0</v>
      </c>
      <c r="AD40" s="27">
        <v>2.0</v>
      </c>
      <c r="AE40" s="27">
        <v>2.0</v>
      </c>
      <c r="AF40" s="27">
        <v>2.0</v>
      </c>
      <c r="AG40" s="62">
        <f t="shared" si="6"/>
        <v>60</v>
      </c>
      <c r="AH40" s="63"/>
      <c r="AI40" s="63"/>
      <c r="AJ40" s="63"/>
      <c r="AK40" s="63"/>
      <c r="AL40" s="62">
        <f t="shared" si="7"/>
        <v>0</v>
      </c>
      <c r="AM40" s="63"/>
      <c r="AN40" s="63"/>
      <c r="AO40" s="63"/>
      <c r="AP40" s="63"/>
      <c r="AQ40" s="62">
        <f t="shared" si="8"/>
        <v>0</v>
      </c>
    </row>
    <row r="41">
      <c r="A41" s="7">
        <f>'INPUT DAFTAR PESERTA'!A39</f>
        <v>36</v>
      </c>
      <c r="B41" s="25">
        <f>'INPUT DAFTAR PESERTA'!B39</f>
        <v>2509056024</v>
      </c>
      <c r="C41" s="26" t="str">
        <f>'INPUT DAFTAR PESERTA'!C39</f>
        <v>Nabil Candra Hartanto</v>
      </c>
      <c r="D41" s="27">
        <v>3.0</v>
      </c>
      <c r="E41" s="27">
        <v>3.0</v>
      </c>
      <c r="F41" s="27">
        <v>3.0</v>
      </c>
      <c r="G41" s="27">
        <v>3.0</v>
      </c>
      <c r="H41" s="62">
        <f t="shared" si="1"/>
        <v>90</v>
      </c>
      <c r="I41" s="27">
        <v>1.0</v>
      </c>
      <c r="J41" s="27">
        <v>1.0</v>
      </c>
      <c r="K41" s="27">
        <v>1.0</v>
      </c>
      <c r="L41" s="27">
        <v>1.0</v>
      </c>
      <c r="M41" s="62">
        <f t="shared" si="2"/>
        <v>30</v>
      </c>
      <c r="N41" s="27">
        <v>3.0</v>
      </c>
      <c r="O41" s="27">
        <v>3.0</v>
      </c>
      <c r="P41" s="27">
        <v>3.0</v>
      </c>
      <c r="Q41" s="27">
        <v>3.0</v>
      </c>
      <c r="R41" s="62">
        <f t="shared" si="3"/>
        <v>90</v>
      </c>
      <c r="S41" s="27">
        <v>3.0</v>
      </c>
      <c r="T41" s="27">
        <v>3.0</v>
      </c>
      <c r="U41" s="27">
        <v>3.0</v>
      </c>
      <c r="V41" s="27">
        <v>1.0</v>
      </c>
      <c r="W41" s="62">
        <f t="shared" si="4"/>
        <v>60</v>
      </c>
      <c r="X41" s="27">
        <v>2.0</v>
      </c>
      <c r="Y41" s="27">
        <v>3.0</v>
      </c>
      <c r="Z41" s="27">
        <v>3.0</v>
      </c>
      <c r="AA41" s="27">
        <v>0.0</v>
      </c>
      <c r="AB41" s="62">
        <f t="shared" si="5"/>
        <v>42</v>
      </c>
      <c r="AC41" s="27">
        <v>2.0</v>
      </c>
      <c r="AD41" s="27">
        <v>2.0</v>
      </c>
      <c r="AE41" s="27">
        <v>2.0</v>
      </c>
      <c r="AF41" s="27">
        <v>2.0</v>
      </c>
      <c r="AG41" s="62">
        <f t="shared" si="6"/>
        <v>60</v>
      </c>
      <c r="AH41" s="27">
        <v>2.0</v>
      </c>
      <c r="AI41" s="27">
        <v>3.0</v>
      </c>
      <c r="AJ41" s="27">
        <v>3.0</v>
      </c>
      <c r="AK41" s="27">
        <v>1.0</v>
      </c>
      <c r="AL41" s="62">
        <f t="shared" si="7"/>
        <v>57</v>
      </c>
      <c r="AM41" s="27">
        <v>3.0</v>
      </c>
      <c r="AN41" s="27">
        <v>3.0</v>
      </c>
      <c r="AO41" s="27">
        <v>3.0</v>
      </c>
      <c r="AP41" s="27">
        <v>2.0</v>
      </c>
      <c r="AQ41" s="62">
        <f t="shared" si="8"/>
        <v>75</v>
      </c>
    </row>
    <row r="42">
      <c r="A42" s="7">
        <f>'INPUT DAFTAR PESERTA'!A40</f>
        <v>37</v>
      </c>
      <c r="B42" s="25">
        <f>'INPUT DAFTAR PESERTA'!B40</f>
        <v>2509056025</v>
      </c>
      <c r="C42" s="26" t="str">
        <f>'INPUT DAFTAR PESERTA'!C40</f>
        <v>Muhammad Rifqi Ibnu Malik</v>
      </c>
      <c r="D42" s="27">
        <v>3.0</v>
      </c>
      <c r="E42" s="27">
        <v>3.0</v>
      </c>
      <c r="F42" s="27">
        <v>3.0</v>
      </c>
      <c r="G42" s="27">
        <v>1.0</v>
      </c>
      <c r="H42" s="62">
        <f t="shared" si="1"/>
        <v>60</v>
      </c>
      <c r="I42" s="63"/>
      <c r="J42" s="63"/>
      <c r="K42" s="63"/>
      <c r="L42" s="63"/>
      <c r="M42" s="62">
        <f t="shared" si="2"/>
        <v>0</v>
      </c>
      <c r="N42" s="63"/>
      <c r="O42" s="63"/>
      <c r="P42" s="63"/>
      <c r="Q42" s="63"/>
      <c r="R42" s="62">
        <f t="shared" si="3"/>
        <v>0</v>
      </c>
      <c r="S42" s="63"/>
      <c r="T42" s="63"/>
      <c r="U42" s="63"/>
      <c r="V42" s="63"/>
      <c r="W42" s="62">
        <f t="shared" si="4"/>
        <v>0</v>
      </c>
      <c r="X42" s="27">
        <v>2.0</v>
      </c>
      <c r="Y42" s="27">
        <v>3.0</v>
      </c>
      <c r="Z42" s="27">
        <v>3.0</v>
      </c>
      <c r="AA42" s="27">
        <v>1.0</v>
      </c>
      <c r="AB42" s="62">
        <f t="shared" si="5"/>
        <v>57</v>
      </c>
      <c r="AC42" s="27">
        <v>2.0</v>
      </c>
      <c r="AD42" s="27">
        <v>2.0</v>
      </c>
      <c r="AE42" s="27">
        <v>2.0</v>
      </c>
      <c r="AF42" s="27">
        <v>2.0</v>
      </c>
      <c r="AG42" s="62">
        <f t="shared" si="6"/>
        <v>60</v>
      </c>
      <c r="AH42" s="27">
        <v>2.0</v>
      </c>
      <c r="AI42" s="27">
        <v>3.0</v>
      </c>
      <c r="AJ42" s="27">
        <v>3.0</v>
      </c>
      <c r="AK42" s="27">
        <v>1.0</v>
      </c>
      <c r="AL42" s="62">
        <f t="shared" si="7"/>
        <v>57</v>
      </c>
      <c r="AM42" s="63"/>
      <c r="AN42" s="63"/>
      <c r="AO42" s="63"/>
      <c r="AP42" s="63"/>
      <c r="AQ42" s="62">
        <f t="shared" si="8"/>
        <v>0</v>
      </c>
    </row>
    <row r="43">
      <c r="A43" s="7">
        <f>'INPUT DAFTAR PESERTA'!A41</f>
        <v>38</v>
      </c>
      <c r="B43" s="25">
        <f>'INPUT DAFTAR PESERTA'!B41</f>
        <v>2509056026</v>
      </c>
      <c r="C43" s="26" t="str">
        <f>'INPUT DAFTAR PESERTA'!C41</f>
        <v>Aditya Alfiansyah</v>
      </c>
      <c r="D43" s="27">
        <v>3.0</v>
      </c>
      <c r="E43" s="27">
        <v>3.0</v>
      </c>
      <c r="F43" s="27">
        <v>3.0</v>
      </c>
      <c r="G43" s="27">
        <v>3.0</v>
      </c>
      <c r="H43" s="62">
        <f t="shared" si="1"/>
        <v>90</v>
      </c>
      <c r="I43" s="63"/>
      <c r="J43" s="63"/>
      <c r="K43" s="63"/>
      <c r="L43" s="63"/>
      <c r="M43" s="62">
        <f t="shared" si="2"/>
        <v>0</v>
      </c>
      <c r="N43" s="63"/>
      <c r="O43" s="63"/>
      <c r="P43" s="63"/>
      <c r="Q43" s="63"/>
      <c r="R43" s="62">
        <f t="shared" si="3"/>
        <v>0</v>
      </c>
      <c r="S43" s="63"/>
      <c r="T43" s="63"/>
      <c r="U43" s="63"/>
      <c r="V43" s="63"/>
      <c r="W43" s="62">
        <f t="shared" si="4"/>
        <v>0</v>
      </c>
      <c r="X43" s="27">
        <v>1.0</v>
      </c>
      <c r="Y43" s="27">
        <v>1.0</v>
      </c>
      <c r="Z43" s="27">
        <v>1.0</v>
      </c>
      <c r="AA43" s="27">
        <v>1.0</v>
      </c>
      <c r="AB43" s="62">
        <f t="shared" si="5"/>
        <v>30</v>
      </c>
      <c r="AC43" s="63"/>
      <c r="AD43" s="63"/>
      <c r="AE43" s="63"/>
      <c r="AF43" s="63"/>
      <c r="AG43" s="62">
        <f t="shared" si="6"/>
        <v>0</v>
      </c>
      <c r="AH43" s="63"/>
      <c r="AI43" s="63"/>
      <c r="AJ43" s="63"/>
      <c r="AK43" s="63"/>
      <c r="AL43" s="62">
        <f t="shared" si="7"/>
        <v>0</v>
      </c>
      <c r="AM43" s="63"/>
      <c r="AN43" s="63"/>
      <c r="AO43" s="63"/>
      <c r="AP43" s="63"/>
      <c r="AQ43" s="62">
        <f t="shared" si="8"/>
        <v>0</v>
      </c>
    </row>
    <row r="44">
      <c r="A44" s="7">
        <f>'INPUT DAFTAR PESERTA'!A42</f>
        <v>39</v>
      </c>
      <c r="B44" s="25">
        <f>'INPUT DAFTAR PESERTA'!B42</f>
        <v>2509056027</v>
      </c>
      <c r="C44" s="26" t="str">
        <f>'INPUT DAFTAR PESERTA'!C42</f>
        <v>Muhammad Syauqi Nail</v>
      </c>
      <c r="D44" s="27">
        <v>3.0</v>
      </c>
      <c r="E44" s="27">
        <v>3.0</v>
      </c>
      <c r="F44" s="27">
        <v>3.0</v>
      </c>
      <c r="G44" s="27">
        <v>1.0</v>
      </c>
      <c r="H44" s="62">
        <f t="shared" si="1"/>
        <v>60</v>
      </c>
      <c r="I44" s="27">
        <v>3.0</v>
      </c>
      <c r="J44" s="27">
        <v>3.0</v>
      </c>
      <c r="K44" s="27">
        <v>3.0</v>
      </c>
      <c r="L44" s="27">
        <v>3.0</v>
      </c>
      <c r="M44" s="62">
        <f t="shared" si="2"/>
        <v>90</v>
      </c>
      <c r="N44" s="27">
        <v>3.0</v>
      </c>
      <c r="O44" s="27">
        <v>3.0</v>
      </c>
      <c r="P44" s="27">
        <v>3.0</v>
      </c>
      <c r="Q44" s="27">
        <v>3.0</v>
      </c>
      <c r="R44" s="62">
        <f t="shared" si="3"/>
        <v>90</v>
      </c>
      <c r="S44" s="27">
        <v>3.0</v>
      </c>
      <c r="T44" s="27">
        <v>3.0</v>
      </c>
      <c r="U44" s="27">
        <v>3.0</v>
      </c>
      <c r="V44" s="27">
        <v>3.0</v>
      </c>
      <c r="W44" s="62">
        <f t="shared" si="4"/>
        <v>90</v>
      </c>
      <c r="X44" s="27">
        <v>2.0</v>
      </c>
      <c r="Y44" s="27">
        <v>3.0</v>
      </c>
      <c r="Z44" s="27">
        <v>3.0</v>
      </c>
      <c r="AA44" s="27">
        <v>1.0</v>
      </c>
      <c r="AB44" s="62">
        <f t="shared" si="5"/>
        <v>57</v>
      </c>
      <c r="AC44" s="27">
        <v>3.0</v>
      </c>
      <c r="AD44" s="27">
        <v>3.0</v>
      </c>
      <c r="AE44" s="27">
        <v>3.0</v>
      </c>
      <c r="AF44" s="27">
        <v>2.0</v>
      </c>
      <c r="AG44" s="62">
        <f t="shared" si="6"/>
        <v>75</v>
      </c>
      <c r="AH44" s="27">
        <v>2.0</v>
      </c>
      <c r="AI44" s="27">
        <v>3.0</v>
      </c>
      <c r="AJ44" s="27">
        <v>3.0</v>
      </c>
      <c r="AK44" s="27">
        <v>3.0</v>
      </c>
      <c r="AL44" s="62">
        <f t="shared" si="7"/>
        <v>87</v>
      </c>
      <c r="AM44" s="27">
        <v>2.0</v>
      </c>
      <c r="AN44" s="27">
        <v>3.0</v>
      </c>
      <c r="AO44" s="27">
        <v>3.0</v>
      </c>
      <c r="AP44" s="27">
        <v>3.0</v>
      </c>
      <c r="AQ44" s="62">
        <f t="shared" si="8"/>
        <v>87</v>
      </c>
    </row>
    <row r="45">
      <c r="A45" s="7">
        <f>'INPUT DAFTAR PESERTA'!A43</f>
        <v>40</v>
      </c>
      <c r="B45" s="25">
        <f>'INPUT DAFTAR PESERTA'!B43</f>
        <v>2509056028</v>
      </c>
      <c r="C45" s="26" t="str">
        <f>'INPUT DAFTAR PESERTA'!C43</f>
        <v>Muhammad Rizky Nugraha</v>
      </c>
      <c r="D45" s="27">
        <v>3.0</v>
      </c>
      <c r="E45" s="27">
        <v>3.0</v>
      </c>
      <c r="F45" s="27">
        <v>3.0</v>
      </c>
      <c r="G45" s="27">
        <v>1.0</v>
      </c>
      <c r="H45" s="62">
        <f t="shared" si="1"/>
        <v>60</v>
      </c>
      <c r="I45" s="27">
        <v>3.0</v>
      </c>
      <c r="J45" s="27">
        <v>3.0</v>
      </c>
      <c r="K45" s="27">
        <v>3.0</v>
      </c>
      <c r="L45" s="27">
        <v>2.0</v>
      </c>
      <c r="M45" s="62">
        <f t="shared" si="2"/>
        <v>75</v>
      </c>
      <c r="N45" s="27">
        <v>3.0</v>
      </c>
      <c r="O45" s="27">
        <v>3.0</v>
      </c>
      <c r="P45" s="27">
        <v>3.0</v>
      </c>
      <c r="Q45" s="27">
        <v>1.0</v>
      </c>
      <c r="R45" s="62">
        <f t="shared" si="3"/>
        <v>60</v>
      </c>
      <c r="S45" s="27">
        <v>3.0</v>
      </c>
      <c r="T45" s="27">
        <v>3.0</v>
      </c>
      <c r="U45" s="27">
        <v>3.0</v>
      </c>
      <c r="V45" s="27">
        <v>3.0</v>
      </c>
      <c r="W45" s="62">
        <f t="shared" si="4"/>
        <v>90</v>
      </c>
      <c r="X45" s="27">
        <v>2.0</v>
      </c>
      <c r="Y45" s="27">
        <v>3.0</v>
      </c>
      <c r="Z45" s="27">
        <v>3.0</v>
      </c>
      <c r="AA45" s="27">
        <v>1.0</v>
      </c>
      <c r="AB45" s="62">
        <f t="shared" si="5"/>
        <v>57</v>
      </c>
      <c r="AC45" s="27">
        <v>3.0</v>
      </c>
      <c r="AD45" s="27">
        <v>3.0</v>
      </c>
      <c r="AE45" s="27">
        <v>3.0</v>
      </c>
      <c r="AF45" s="27">
        <v>2.0</v>
      </c>
      <c r="AG45" s="62">
        <f t="shared" si="6"/>
        <v>75</v>
      </c>
      <c r="AH45" s="27">
        <v>2.0</v>
      </c>
      <c r="AI45" s="27">
        <v>3.0</v>
      </c>
      <c r="AJ45" s="27">
        <v>3.0</v>
      </c>
      <c r="AK45" s="27">
        <v>1.0</v>
      </c>
      <c r="AL45" s="62">
        <f t="shared" si="7"/>
        <v>57</v>
      </c>
      <c r="AM45" s="27">
        <v>2.0</v>
      </c>
      <c r="AN45" s="27">
        <v>2.0</v>
      </c>
      <c r="AO45" s="27">
        <v>2.0</v>
      </c>
      <c r="AP45" s="27">
        <v>1.0</v>
      </c>
      <c r="AQ45" s="62">
        <f t="shared" si="8"/>
        <v>45</v>
      </c>
    </row>
    <row r="46">
      <c r="A46" s="7">
        <f>'INPUT DAFTAR PESERTA'!A44</f>
        <v>41</v>
      </c>
      <c r="B46" s="25">
        <f>'INPUT DAFTAR PESERTA'!B44</f>
        <v>2509056029</v>
      </c>
      <c r="C46" s="26" t="str">
        <f>'INPUT DAFTAR PESERTA'!C44</f>
        <v>Reyska Bintang Afdillah</v>
      </c>
      <c r="D46" s="27">
        <v>3.0</v>
      </c>
      <c r="E46" s="27">
        <v>3.0</v>
      </c>
      <c r="F46" s="27">
        <v>3.0</v>
      </c>
      <c r="G46" s="27">
        <v>3.0</v>
      </c>
      <c r="H46" s="62">
        <f t="shared" si="1"/>
        <v>90</v>
      </c>
      <c r="I46" s="63"/>
      <c r="J46" s="63"/>
      <c r="K46" s="63"/>
      <c r="L46" s="63"/>
      <c r="M46" s="62">
        <f t="shared" si="2"/>
        <v>0</v>
      </c>
      <c r="N46" s="63"/>
      <c r="O46" s="63"/>
      <c r="P46" s="63"/>
      <c r="Q46" s="63"/>
      <c r="R46" s="62">
        <f t="shared" si="3"/>
        <v>0</v>
      </c>
      <c r="S46" s="63"/>
      <c r="T46" s="63"/>
      <c r="U46" s="63"/>
      <c r="V46" s="63"/>
      <c r="W46" s="62">
        <f t="shared" si="4"/>
        <v>0</v>
      </c>
      <c r="X46" s="27">
        <v>1.0</v>
      </c>
      <c r="Y46" s="27">
        <v>1.0</v>
      </c>
      <c r="Z46" s="27">
        <v>1.0</v>
      </c>
      <c r="AA46" s="27">
        <v>1.0</v>
      </c>
      <c r="AB46" s="62">
        <f t="shared" si="5"/>
        <v>30</v>
      </c>
      <c r="AC46" s="27">
        <v>3.0</v>
      </c>
      <c r="AD46" s="27">
        <v>3.0</v>
      </c>
      <c r="AE46" s="27">
        <v>3.0</v>
      </c>
      <c r="AF46" s="27">
        <v>2.0</v>
      </c>
      <c r="AG46" s="62">
        <f t="shared" si="6"/>
        <v>75</v>
      </c>
      <c r="AH46" s="27">
        <v>2.0</v>
      </c>
      <c r="AI46" s="27">
        <v>3.0</v>
      </c>
      <c r="AJ46" s="27">
        <v>3.0</v>
      </c>
      <c r="AK46" s="27">
        <v>1.0</v>
      </c>
      <c r="AL46" s="62">
        <f t="shared" si="7"/>
        <v>57</v>
      </c>
      <c r="AM46" s="27">
        <v>2.0</v>
      </c>
      <c r="AN46" s="27">
        <v>2.0</v>
      </c>
      <c r="AO46" s="27">
        <v>2.0</v>
      </c>
      <c r="AP46" s="27">
        <v>1.0</v>
      </c>
      <c r="AQ46" s="62">
        <f t="shared" si="8"/>
        <v>45</v>
      </c>
    </row>
    <row r="47">
      <c r="A47" s="7">
        <f>'INPUT DAFTAR PESERTA'!A45</f>
        <v>42</v>
      </c>
      <c r="B47" s="25">
        <f>'INPUT DAFTAR PESERTA'!B45</f>
        <v>2509056030</v>
      </c>
      <c r="C47" s="26" t="str">
        <f>'INPUT DAFTAR PESERTA'!C45</f>
        <v>Muhammad Elo</v>
      </c>
      <c r="D47" s="27">
        <v>3.0</v>
      </c>
      <c r="E47" s="27">
        <v>3.0</v>
      </c>
      <c r="F47" s="27">
        <v>3.0</v>
      </c>
      <c r="G47" s="27">
        <v>3.0</v>
      </c>
      <c r="H47" s="62">
        <f t="shared" si="1"/>
        <v>90</v>
      </c>
      <c r="I47" s="27">
        <v>3.0</v>
      </c>
      <c r="J47" s="27">
        <v>3.0</v>
      </c>
      <c r="K47" s="27">
        <v>3.0</v>
      </c>
      <c r="L47" s="27">
        <v>3.0</v>
      </c>
      <c r="M47" s="62">
        <f t="shared" si="2"/>
        <v>90</v>
      </c>
      <c r="N47" s="27">
        <v>2.0</v>
      </c>
      <c r="O47" s="27">
        <v>3.0</v>
      </c>
      <c r="P47" s="27">
        <v>3.0</v>
      </c>
      <c r="Q47" s="27">
        <v>3.0</v>
      </c>
      <c r="R47" s="62">
        <f t="shared" si="3"/>
        <v>87</v>
      </c>
      <c r="S47" s="27">
        <v>3.0</v>
      </c>
      <c r="T47" s="27">
        <v>3.0</v>
      </c>
      <c r="U47" s="27">
        <v>3.0</v>
      </c>
      <c r="V47" s="27">
        <v>3.0</v>
      </c>
      <c r="W47" s="62">
        <f t="shared" si="4"/>
        <v>90</v>
      </c>
      <c r="X47" s="27">
        <v>2.0</v>
      </c>
      <c r="Y47" s="27">
        <v>2.0</v>
      </c>
      <c r="Z47" s="27">
        <v>2.0</v>
      </c>
      <c r="AA47" s="27">
        <v>3.0</v>
      </c>
      <c r="AB47" s="62">
        <f t="shared" si="5"/>
        <v>75</v>
      </c>
      <c r="AC47" s="27">
        <v>3.0</v>
      </c>
      <c r="AD47" s="27">
        <v>3.0</v>
      </c>
      <c r="AE47" s="27">
        <v>3.0</v>
      </c>
      <c r="AF47" s="27">
        <v>2.0</v>
      </c>
      <c r="AG47" s="62">
        <f t="shared" si="6"/>
        <v>75</v>
      </c>
      <c r="AH47" s="27">
        <v>2.0</v>
      </c>
      <c r="AI47" s="27">
        <v>3.0</v>
      </c>
      <c r="AJ47" s="27">
        <v>3.0</v>
      </c>
      <c r="AK47" s="27">
        <v>1.0</v>
      </c>
      <c r="AL47" s="62">
        <f t="shared" si="7"/>
        <v>57</v>
      </c>
      <c r="AM47" s="27">
        <v>2.0</v>
      </c>
      <c r="AN47" s="27">
        <v>2.0</v>
      </c>
      <c r="AO47" s="27">
        <v>2.0</v>
      </c>
      <c r="AP47" s="27">
        <v>1.0</v>
      </c>
      <c r="AQ47" s="62">
        <f t="shared" si="8"/>
        <v>45</v>
      </c>
    </row>
    <row r="48">
      <c r="A48" s="7">
        <f>'INPUT DAFTAR PESERTA'!A46</f>
        <v>43</v>
      </c>
      <c r="B48" s="25">
        <f>'INPUT DAFTAR PESERTA'!B46</f>
        <v>2509056031</v>
      </c>
      <c r="C48" s="26" t="str">
        <f>'INPUT DAFTAR PESERTA'!C46</f>
        <v>Naufal Herdizza Akbar Ps</v>
      </c>
      <c r="D48" s="27">
        <v>3.0</v>
      </c>
      <c r="E48" s="27">
        <v>3.0</v>
      </c>
      <c r="F48" s="27">
        <v>3.0</v>
      </c>
      <c r="G48" s="27">
        <v>3.0</v>
      </c>
      <c r="H48" s="62">
        <f t="shared" si="1"/>
        <v>90</v>
      </c>
      <c r="I48" s="27">
        <v>3.0</v>
      </c>
      <c r="J48" s="27">
        <v>3.0</v>
      </c>
      <c r="K48" s="27">
        <v>3.0</v>
      </c>
      <c r="L48" s="27">
        <v>3.0</v>
      </c>
      <c r="M48" s="62">
        <f t="shared" si="2"/>
        <v>90</v>
      </c>
      <c r="N48" s="27">
        <v>3.0</v>
      </c>
      <c r="O48" s="27">
        <v>3.0</v>
      </c>
      <c r="P48" s="27">
        <v>3.0</v>
      </c>
      <c r="Q48" s="27">
        <v>3.0</v>
      </c>
      <c r="R48" s="62">
        <f t="shared" si="3"/>
        <v>90</v>
      </c>
      <c r="S48" s="27">
        <v>3.0</v>
      </c>
      <c r="T48" s="27">
        <v>3.0</v>
      </c>
      <c r="U48" s="27">
        <v>3.0</v>
      </c>
      <c r="V48" s="27">
        <v>3.0</v>
      </c>
      <c r="W48" s="62">
        <f t="shared" si="4"/>
        <v>90</v>
      </c>
      <c r="X48" s="27">
        <v>2.0</v>
      </c>
      <c r="Y48" s="27">
        <v>2.0</v>
      </c>
      <c r="Z48" s="27">
        <v>2.0</v>
      </c>
      <c r="AA48" s="27">
        <v>3.0</v>
      </c>
      <c r="AB48" s="62">
        <f t="shared" si="5"/>
        <v>75</v>
      </c>
      <c r="AC48" s="27">
        <v>3.0</v>
      </c>
      <c r="AD48" s="27">
        <v>3.0</v>
      </c>
      <c r="AE48" s="27">
        <v>3.0</v>
      </c>
      <c r="AF48" s="27">
        <v>2.0</v>
      </c>
      <c r="AG48" s="62">
        <f t="shared" si="6"/>
        <v>75</v>
      </c>
      <c r="AH48" s="27">
        <v>2.0</v>
      </c>
      <c r="AI48" s="27">
        <v>3.0</v>
      </c>
      <c r="AJ48" s="27">
        <v>3.0</v>
      </c>
      <c r="AK48" s="27">
        <v>1.0</v>
      </c>
      <c r="AL48" s="62">
        <f t="shared" si="7"/>
        <v>57</v>
      </c>
      <c r="AM48" s="27">
        <v>2.0</v>
      </c>
      <c r="AN48" s="27">
        <v>3.0</v>
      </c>
      <c r="AO48" s="27">
        <v>2.0</v>
      </c>
      <c r="AP48" s="27">
        <v>1.0</v>
      </c>
      <c r="AQ48" s="62">
        <f t="shared" si="8"/>
        <v>51</v>
      </c>
    </row>
    <row r="49">
      <c r="A49" s="7">
        <f>'INPUT DAFTAR PESERTA'!A47</f>
        <v>44</v>
      </c>
      <c r="B49" s="25">
        <f>'INPUT DAFTAR PESERTA'!B47</f>
        <v>2509056032</v>
      </c>
      <c r="C49" s="26" t="str">
        <f>'INPUT DAFTAR PESERTA'!C47</f>
        <v>Dea Mila Marsela</v>
      </c>
      <c r="D49" s="27">
        <v>3.0</v>
      </c>
      <c r="E49" s="27">
        <v>3.0</v>
      </c>
      <c r="F49" s="27">
        <v>3.0</v>
      </c>
      <c r="G49" s="27">
        <v>3.0</v>
      </c>
      <c r="H49" s="62">
        <f t="shared" si="1"/>
        <v>90</v>
      </c>
      <c r="I49" s="27">
        <v>3.0</v>
      </c>
      <c r="J49" s="27">
        <v>3.0</v>
      </c>
      <c r="K49" s="27">
        <v>3.0</v>
      </c>
      <c r="L49" s="27">
        <v>1.0</v>
      </c>
      <c r="M49" s="62">
        <f t="shared" si="2"/>
        <v>60</v>
      </c>
      <c r="N49" s="27">
        <v>2.0</v>
      </c>
      <c r="O49" s="27">
        <v>3.0</v>
      </c>
      <c r="P49" s="27">
        <v>3.0</v>
      </c>
      <c r="Q49" s="27">
        <v>3.0</v>
      </c>
      <c r="R49" s="62">
        <f t="shared" si="3"/>
        <v>87</v>
      </c>
      <c r="S49" s="27">
        <v>3.0</v>
      </c>
      <c r="T49" s="27">
        <v>3.0</v>
      </c>
      <c r="U49" s="27">
        <v>3.0</v>
      </c>
      <c r="V49" s="27">
        <v>1.0</v>
      </c>
      <c r="W49" s="62">
        <f t="shared" si="4"/>
        <v>60</v>
      </c>
      <c r="X49" s="27">
        <v>2.0</v>
      </c>
      <c r="Y49" s="27">
        <v>2.0</v>
      </c>
      <c r="Z49" s="27">
        <v>2.0</v>
      </c>
      <c r="AA49" s="27">
        <v>3.0</v>
      </c>
      <c r="AB49" s="62">
        <f t="shared" si="5"/>
        <v>75</v>
      </c>
      <c r="AC49" s="27">
        <v>3.0</v>
      </c>
      <c r="AD49" s="27">
        <v>3.0</v>
      </c>
      <c r="AE49" s="27">
        <v>3.0</v>
      </c>
      <c r="AF49" s="27">
        <v>1.0</v>
      </c>
      <c r="AG49" s="62">
        <f t="shared" si="6"/>
        <v>60</v>
      </c>
      <c r="AH49" s="27">
        <v>2.0</v>
      </c>
      <c r="AI49" s="27">
        <v>3.0</v>
      </c>
      <c r="AJ49" s="27">
        <v>3.0</v>
      </c>
      <c r="AK49" s="27">
        <v>1.0</v>
      </c>
      <c r="AL49" s="62">
        <f t="shared" si="7"/>
        <v>57</v>
      </c>
      <c r="AM49" s="27">
        <v>2.0</v>
      </c>
      <c r="AN49" s="27">
        <v>2.0</v>
      </c>
      <c r="AO49" s="27">
        <v>2.0</v>
      </c>
      <c r="AP49" s="27">
        <v>1.0</v>
      </c>
      <c r="AQ49" s="62">
        <f t="shared" si="8"/>
        <v>45</v>
      </c>
    </row>
    <row r="50">
      <c r="A50" s="7">
        <f>'INPUT DAFTAR PESERTA'!A48</f>
        <v>45</v>
      </c>
      <c r="B50" s="25">
        <f>'INPUT DAFTAR PESERTA'!B48</f>
        <v>2509056033</v>
      </c>
      <c r="C50" s="26" t="str">
        <f>'INPUT DAFTAR PESERTA'!C48</f>
        <v>Ahmad Salman Nur</v>
      </c>
      <c r="D50" s="27">
        <v>3.0</v>
      </c>
      <c r="E50" s="27">
        <v>3.0</v>
      </c>
      <c r="F50" s="27">
        <v>3.0</v>
      </c>
      <c r="G50" s="27">
        <v>2.0</v>
      </c>
      <c r="H50" s="62">
        <f t="shared" si="1"/>
        <v>75</v>
      </c>
      <c r="I50" s="27">
        <v>3.0</v>
      </c>
      <c r="J50" s="27">
        <v>3.0</v>
      </c>
      <c r="K50" s="27">
        <v>3.0</v>
      </c>
      <c r="L50" s="27">
        <v>3.0</v>
      </c>
      <c r="M50" s="62">
        <f t="shared" si="2"/>
        <v>90</v>
      </c>
      <c r="N50" s="27">
        <v>2.0</v>
      </c>
      <c r="O50" s="27">
        <v>3.0</v>
      </c>
      <c r="P50" s="27">
        <v>3.0</v>
      </c>
      <c r="Q50" s="27">
        <v>1.0</v>
      </c>
      <c r="R50" s="62">
        <f t="shared" si="3"/>
        <v>57</v>
      </c>
      <c r="S50" s="27">
        <v>3.0</v>
      </c>
      <c r="T50" s="27">
        <v>3.0</v>
      </c>
      <c r="U50" s="27">
        <v>3.0</v>
      </c>
      <c r="V50" s="27">
        <v>2.0</v>
      </c>
      <c r="W50" s="62">
        <f t="shared" si="4"/>
        <v>75</v>
      </c>
      <c r="X50" s="27">
        <v>2.0</v>
      </c>
      <c r="Y50" s="27">
        <v>2.0</v>
      </c>
      <c r="Z50" s="27">
        <v>2.0</v>
      </c>
      <c r="AA50" s="27">
        <v>1.0</v>
      </c>
      <c r="AB50" s="62">
        <f t="shared" si="5"/>
        <v>45</v>
      </c>
      <c r="AC50" s="27">
        <v>3.0</v>
      </c>
      <c r="AD50" s="27">
        <v>3.0</v>
      </c>
      <c r="AE50" s="27">
        <v>3.0</v>
      </c>
      <c r="AF50" s="27">
        <v>2.0</v>
      </c>
      <c r="AG50" s="62">
        <f t="shared" si="6"/>
        <v>75</v>
      </c>
      <c r="AH50" s="27">
        <v>2.0</v>
      </c>
      <c r="AI50" s="27">
        <v>3.0</v>
      </c>
      <c r="AJ50" s="27">
        <v>3.0</v>
      </c>
      <c r="AK50" s="27">
        <v>1.0</v>
      </c>
      <c r="AL50" s="62">
        <f t="shared" si="7"/>
        <v>57</v>
      </c>
      <c r="AM50" s="27">
        <v>2.0</v>
      </c>
      <c r="AN50" s="27">
        <v>3.0</v>
      </c>
      <c r="AO50" s="27">
        <v>3.0</v>
      </c>
      <c r="AP50" s="27">
        <v>1.0</v>
      </c>
      <c r="AQ50" s="62">
        <f t="shared" si="8"/>
        <v>57</v>
      </c>
    </row>
    <row r="51">
      <c r="A51" s="7">
        <f>'INPUT DAFTAR PESERTA'!A49</f>
        <v>46</v>
      </c>
      <c r="B51" s="25">
        <f>'INPUT DAFTAR PESERTA'!B49</f>
        <v>2509056035</v>
      </c>
      <c r="C51" s="26" t="str">
        <f>'INPUT DAFTAR PESERTA'!C49</f>
        <v>Syahputra Lumbantoruan</v>
      </c>
      <c r="D51" s="63"/>
      <c r="E51" s="63"/>
      <c r="F51" s="63"/>
      <c r="G51" s="63"/>
      <c r="H51" s="62">
        <f t="shared" si="1"/>
        <v>0</v>
      </c>
      <c r="I51" s="63"/>
      <c r="J51" s="63"/>
      <c r="K51" s="63"/>
      <c r="L51" s="63"/>
      <c r="M51" s="62">
        <f t="shared" si="2"/>
        <v>0</v>
      </c>
      <c r="N51" s="63"/>
      <c r="O51" s="63"/>
      <c r="P51" s="63"/>
      <c r="Q51" s="63"/>
      <c r="R51" s="62">
        <f t="shared" si="3"/>
        <v>0</v>
      </c>
      <c r="S51" s="63"/>
      <c r="T51" s="63"/>
      <c r="U51" s="63"/>
      <c r="V51" s="63"/>
      <c r="W51" s="62">
        <f t="shared" si="4"/>
        <v>0</v>
      </c>
      <c r="X51" s="27">
        <v>1.0</v>
      </c>
      <c r="Y51" s="27">
        <v>1.0</v>
      </c>
      <c r="Z51" s="27">
        <v>1.0</v>
      </c>
      <c r="AA51" s="27">
        <v>1.0</v>
      </c>
      <c r="AB51" s="62">
        <f t="shared" si="5"/>
        <v>30</v>
      </c>
      <c r="AC51" s="27">
        <v>3.0</v>
      </c>
      <c r="AD51" s="27">
        <v>2.0</v>
      </c>
      <c r="AE51" s="27">
        <v>2.0</v>
      </c>
      <c r="AF51" s="27">
        <v>2.0</v>
      </c>
      <c r="AG51" s="62">
        <f t="shared" si="6"/>
        <v>63</v>
      </c>
      <c r="AH51" s="63"/>
      <c r="AI51" s="63"/>
      <c r="AJ51" s="63"/>
      <c r="AK51" s="63"/>
      <c r="AL51" s="62">
        <f t="shared" si="7"/>
        <v>0</v>
      </c>
      <c r="AM51" s="63"/>
      <c r="AN51" s="63"/>
      <c r="AO51" s="63"/>
      <c r="AP51" s="63"/>
      <c r="AQ51" s="62">
        <f t="shared" si="8"/>
        <v>0</v>
      </c>
    </row>
    <row r="52">
      <c r="A52" s="7">
        <f>'INPUT DAFTAR PESERTA'!A50</f>
        <v>47</v>
      </c>
      <c r="B52" s="25">
        <f>'INPUT DAFTAR PESERTA'!B50</f>
        <v>2509056036</v>
      </c>
      <c r="C52" s="26" t="str">
        <f>'INPUT DAFTAR PESERTA'!C50</f>
        <v>Furqan Ahmad</v>
      </c>
      <c r="D52" s="27">
        <v>1.0</v>
      </c>
      <c r="E52" s="27">
        <v>1.0</v>
      </c>
      <c r="F52" s="27">
        <v>1.0</v>
      </c>
      <c r="G52" s="27">
        <v>1.0</v>
      </c>
      <c r="H52" s="62">
        <f t="shared" si="1"/>
        <v>30</v>
      </c>
      <c r="I52" s="63"/>
      <c r="J52" s="63"/>
      <c r="K52" s="63"/>
      <c r="L52" s="63"/>
      <c r="M52" s="62">
        <f t="shared" si="2"/>
        <v>0</v>
      </c>
      <c r="N52" s="63"/>
      <c r="O52" s="63"/>
      <c r="P52" s="63"/>
      <c r="Q52" s="63"/>
      <c r="R52" s="62">
        <f t="shared" si="3"/>
        <v>0</v>
      </c>
      <c r="S52" s="27">
        <v>3.0</v>
      </c>
      <c r="T52" s="27">
        <v>3.0</v>
      </c>
      <c r="U52" s="27">
        <v>3.0</v>
      </c>
      <c r="V52" s="27">
        <v>1.0</v>
      </c>
      <c r="W52" s="62">
        <f t="shared" si="4"/>
        <v>60</v>
      </c>
      <c r="X52" s="27">
        <v>1.0</v>
      </c>
      <c r="Y52" s="27">
        <v>1.0</v>
      </c>
      <c r="Z52" s="27">
        <v>1.0</v>
      </c>
      <c r="AA52" s="27">
        <v>1.0</v>
      </c>
      <c r="AB52" s="62">
        <f t="shared" si="5"/>
        <v>30</v>
      </c>
      <c r="AC52" s="27">
        <v>3.0</v>
      </c>
      <c r="AD52" s="27">
        <v>2.0</v>
      </c>
      <c r="AE52" s="27">
        <v>2.0</v>
      </c>
      <c r="AF52" s="27">
        <v>2.0</v>
      </c>
      <c r="AG52" s="62">
        <f t="shared" si="6"/>
        <v>63</v>
      </c>
      <c r="AH52" s="63"/>
      <c r="AI52" s="63"/>
      <c r="AJ52" s="63"/>
      <c r="AK52" s="63"/>
      <c r="AL52" s="62">
        <f t="shared" si="7"/>
        <v>0</v>
      </c>
      <c r="AM52" s="63"/>
      <c r="AN52" s="63"/>
      <c r="AO52" s="63"/>
      <c r="AP52" s="63"/>
      <c r="AQ52" s="62">
        <f t="shared" si="8"/>
        <v>0</v>
      </c>
    </row>
    <row r="53">
      <c r="A53" s="7">
        <f>'INPUT DAFTAR PESERTA'!A51</f>
        <v>48</v>
      </c>
      <c r="B53" s="25">
        <f>'INPUT DAFTAR PESERTA'!B51</f>
        <v>2509056037</v>
      </c>
      <c r="C53" s="26" t="str">
        <f>'INPUT DAFTAR PESERTA'!C51</f>
        <v>Muhammad An Naafi Zaini</v>
      </c>
      <c r="D53" s="27">
        <v>3.0</v>
      </c>
      <c r="E53" s="27">
        <v>3.0</v>
      </c>
      <c r="F53" s="27">
        <v>3.0</v>
      </c>
      <c r="G53" s="27">
        <v>2.0</v>
      </c>
      <c r="H53" s="62">
        <f t="shared" si="1"/>
        <v>75</v>
      </c>
      <c r="I53" s="27">
        <v>3.0</v>
      </c>
      <c r="J53" s="27">
        <v>3.0</v>
      </c>
      <c r="K53" s="27">
        <v>3.0</v>
      </c>
      <c r="L53" s="27">
        <v>1.0</v>
      </c>
      <c r="M53" s="62">
        <f t="shared" si="2"/>
        <v>60</v>
      </c>
      <c r="N53" s="27"/>
      <c r="O53" s="63"/>
      <c r="P53" s="63"/>
      <c r="Q53" s="63"/>
      <c r="R53" s="62">
        <f t="shared" si="3"/>
        <v>0</v>
      </c>
      <c r="S53" s="27">
        <v>3.0</v>
      </c>
      <c r="T53" s="27">
        <v>3.0</v>
      </c>
      <c r="U53" s="27">
        <v>3.0</v>
      </c>
      <c r="V53" s="27">
        <v>1.0</v>
      </c>
      <c r="W53" s="62">
        <f t="shared" si="4"/>
        <v>60</v>
      </c>
      <c r="X53" s="27">
        <v>2.0</v>
      </c>
      <c r="Y53" s="27">
        <v>2.0</v>
      </c>
      <c r="Z53" s="27">
        <v>2.0</v>
      </c>
      <c r="AA53" s="27">
        <v>3.0</v>
      </c>
      <c r="AB53" s="62">
        <f t="shared" si="5"/>
        <v>75</v>
      </c>
      <c r="AC53" s="27">
        <v>3.0</v>
      </c>
      <c r="AD53" s="27">
        <v>2.0</v>
      </c>
      <c r="AE53" s="27">
        <v>2.0</v>
      </c>
      <c r="AF53" s="27">
        <v>2.0</v>
      </c>
      <c r="AG53" s="62">
        <f t="shared" si="6"/>
        <v>63</v>
      </c>
      <c r="AH53" s="63"/>
      <c r="AI53" s="63"/>
      <c r="AJ53" s="63"/>
      <c r="AK53" s="63"/>
      <c r="AL53" s="62">
        <f t="shared" si="7"/>
        <v>0</v>
      </c>
      <c r="AM53" s="63"/>
      <c r="AN53" s="63"/>
      <c r="AO53" s="63"/>
      <c r="AP53" s="63"/>
      <c r="AQ53" s="62">
        <f t="shared" si="8"/>
        <v>0</v>
      </c>
    </row>
    <row r="54">
      <c r="A54" s="7">
        <f>'INPUT DAFTAR PESERTA'!A52</f>
        <v>49</v>
      </c>
      <c r="B54" s="25">
        <f>'INPUT DAFTAR PESERTA'!B52</f>
        <v>2509056038</v>
      </c>
      <c r="C54" s="26" t="str">
        <f>'INPUT DAFTAR PESERTA'!C52</f>
        <v>Muh. Afriansyah Syafani</v>
      </c>
      <c r="D54" s="63"/>
      <c r="E54" s="63"/>
      <c r="F54" s="63"/>
      <c r="G54" s="27"/>
      <c r="H54" s="62">
        <f t="shared" si="1"/>
        <v>0</v>
      </c>
      <c r="I54" s="63"/>
      <c r="J54" s="63"/>
      <c r="K54" s="63"/>
      <c r="L54" s="63"/>
      <c r="M54" s="62">
        <f t="shared" si="2"/>
        <v>0</v>
      </c>
      <c r="N54" s="63"/>
      <c r="O54" s="63"/>
      <c r="P54" s="63"/>
      <c r="Q54" s="63"/>
      <c r="R54" s="62">
        <f t="shared" si="3"/>
        <v>0</v>
      </c>
      <c r="S54" s="63"/>
      <c r="T54" s="63"/>
      <c r="U54" s="63"/>
      <c r="V54" s="63"/>
      <c r="W54" s="62">
        <f t="shared" si="4"/>
        <v>0</v>
      </c>
      <c r="X54" s="27">
        <v>2.0</v>
      </c>
      <c r="Y54" s="27">
        <v>2.0</v>
      </c>
      <c r="Z54" s="27">
        <v>2.0</v>
      </c>
      <c r="AA54" s="27">
        <v>1.0</v>
      </c>
      <c r="AB54" s="62">
        <f t="shared" si="5"/>
        <v>45</v>
      </c>
      <c r="AC54" s="27">
        <v>3.0</v>
      </c>
      <c r="AD54" s="27">
        <v>2.0</v>
      </c>
      <c r="AE54" s="27">
        <v>2.0</v>
      </c>
      <c r="AF54" s="27">
        <v>2.0</v>
      </c>
      <c r="AG54" s="62">
        <f t="shared" si="6"/>
        <v>63</v>
      </c>
      <c r="AH54" s="63"/>
      <c r="AI54" s="63"/>
      <c r="AJ54" s="63"/>
      <c r="AK54" s="63"/>
      <c r="AL54" s="62">
        <f t="shared" si="7"/>
        <v>0</v>
      </c>
      <c r="AM54" s="63"/>
      <c r="AN54" s="63"/>
      <c r="AO54" s="63"/>
      <c r="AP54" s="63"/>
      <c r="AQ54" s="62">
        <f t="shared" si="8"/>
        <v>0</v>
      </c>
    </row>
    <row r="55">
      <c r="A55" s="7">
        <f>'INPUT DAFTAR PESERTA'!A53</f>
        <v>50</v>
      </c>
      <c r="B55" s="25">
        <f>'INPUT DAFTAR PESERTA'!B53</f>
        <v>2509056039</v>
      </c>
      <c r="C55" s="26" t="str">
        <f>'INPUT DAFTAR PESERTA'!C53</f>
        <v>Evan Hizky Edward Juliano Sahata Manihuruk</v>
      </c>
      <c r="D55" s="63"/>
      <c r="E55" s="63"/>
      <c r="F55" s="63"/>
      <c r="G55" s="63"/>
      <c r="H55" s="62">
        <f t="shared" si="1"/>
        <v>0</v>
      </c>
      <c r="I55" s="63"/>
      <c r="J55" s="63"/>
      <c r="K55" s="63"/>
      <c r="L55" s="63"/>
      <c r="M55" s="62">
        <f t="shared" si="2"/>
        <v>0</v>
      </c>
      <c r="N55" s="63"/>
      <c r="O55" s="63"/>
      <c r="P55" s="63"/>
      <c r="Q55" s="63"/>
      <c r="R55" s="62">
        <f t="shared" si="3"/>
        <v>0</v>
      </c>
      <c r="S55" s="63"/>
      <c r="T55" s="63"/>
      <c r="U55" s="63"/>
      <c r="V55" s="63"/>
      <c r="W55" s="62">
        <f t="shared" si="4"/>
        <v>0</v>
      </c>
      <c r="X55" s="27">
        <v>1.0</v>
      </c>
      <c r="Y55" s="27">
        <v>1.0</v>
      </c>
      <c r="Z55" s="27">
        <v>1.0</v>
      </c>
      <c r="AA55" s="27">
        <v>1.0</v>
      </c>
      <c r="AB55" s="62">
        <f t="shared" si="5"/>
        <v>30</v>
      </c>
      <c r="AC55" s="27"/>
      <c r="AD55" s="27"/>
      <c r="AE55" s="27"/>
      <c r="AF55" s="27"/>
      <c r="AG55" s="62">
        <f t="shared" si="6"/>
        <v>0</v>
      </c>
      <c r="AH55" s="63"/>
      <c r="AI55" s="63"/>
      <c r="AJ55" s="63"/>
      <c r="AK55" s="63"/>
      <c r="AL55" s="62">
        <f t="shared" si="7"/>
        <v>0</v>
      </c>
      <c r="AM55" s="63"/>
      <c r="AN55" s="63"/>
      <c r="AO55" s="63"/>
      <c r="AP55" s="63"/>
      <c r="AQ55" s="62">
        <f t="shared" si="8"/>
        <v>0</v>
      </c>
    </row>
    <row r="56">
      <c r="A56" s="7">
        <f>'INPUT DAFTAR PESERTA'!A54</f>
        <v>51</v>
      </c>
      <c r="B56" s="25">
        <f>'INPUT DAFTAR PESERTA'!B54</f>
        <v>2509056040</v>
      </c>
      <c r="C56" s="26" t="str">
        <f>'INPUT DAFTAR PESERTA'!C54</f>
        <v>Rasya Ataullah Arnata</v>
      </c>
      <c r="D56" s="63"/>
      <c r="E56" s="63"/>
      <c r="F56" s="63"/>
      <c r="G56" s="63"/>
      <c r="H56" s="62">
        <f t="shared" si="1"/>
        <v>0</v>
      </c>
      <c r="I56" s="63"/>
      <c r="J56" s="63"/>
      <c r="K56" s="63"/>
      <c r="L56" s="63"/>
      <c r="M56" s="62">
        <f t="shared" si="2"/>
        <v>0</v>
      </c>
      <c r="N56" s="63"/>
      <c r="O56" s="63"/>
      <c r="P56" s="63"/>
      <c r="Q56" s="63"/>
      <c r="R56" s="62">
        <f t="shared" si="3"/>
        <v>0</v>
      </c>
      <c r="S56" s="63"/>
      <c r="T56" s="63"/>
      <c r="U56" s="63"/>
      <c r="V56" s="63"/>
      <c r="W56" s="62">
        <f t="shared" si="4"/>
        <v>0</v>
      </c>
      <c r="X56" s="27">
        <v>1.0</v>
      </c>
      <c r="Y56" s="27">
        <v>1.0</v>
      </c>
      <c r="Z56" s="27">
        <v>1.0</v>
      </c>
      <c r="AA56" s="27">
        <v>1.0</v>
      </c>
      <c r="AB56" s="62">
        <f t="shared" si="5"/>
        <v>30</v>
      </c>
      <c r="AC56" s="63"/>
      <c r="AD56" s="63"/>
      <c r="AE56" s="63"/>
      <c r="AF56" s="63"/>
      <c r="AG56" s="62">
        <f t="shared" si="6"/>
        <v>0</v>
      </c>
      <c r="AH56" s="63"/>
      <c r="AI56" s="63"/>
      <c r="AJ56" s="63"/>
      <c r="AK56" s="63"/>
      <c r="AL56" s="62">
        <f t="shared" si="7"/>
        <v>0</v>
      </c>
      <c r="AM56" s="63"/>
      <c r="AN56" s="63"/>
      <c r="AO56" s="63"/>
      <c r="AP56" s="63"/>
      <c r="AQ56" s="62">
        <f t="shared" si="8"/>
        <v>0</v>
      </c>
    </row>
    <row r="57">
      <c r="A57" s="7">
        <f>'INPUT DAFTAR PESERTA'!A55</f>
        <v>52</v>
      </c>
      <c r="B57" s="25">
        <f>'INPUT DAFTAR PESERTA'!B55</f>
        <v>2509056041</v>
      </c>
      <c r="C57" s="26" t="str">
        <f>'INPUT DAFTAR PESERTA'!C55</f>
        <v>Yadi Ramadani</v>
      </c>
      <c r="D57" s="27">
        <v>2.0</v>
      </c>
      <c r="E57" s="27">
        <v>3.0</v>
      </c>
      <c r="F57" s="27">
        <v>3.0</v>
      </c>
      <c r="G57" s="27">
        <v>1.0</v>
      </c>
      <c r="H57" s="62">
        <f t="shared" si="1"/>
        <v>57</v>
      </c>
      <c r="I57" s="27">
        <v>2.0</v>
      </c>
      <c r="J57" s="27">
        <v>3.0</v>
      </c>
      <c r="K57" s="27">
        <v>3.0</v>
      </c>
      <c r="L57" s="27">
        <v>1.0</v>
      </c>
      <c r="M57" s="62">
        <f t="shared" si="2"/>
        <v>57</v>
      </c>
      <c r="N57" s="27">
        <v>2.0</v>
      </c>
      <c r="O57" s="27">
        <v>3.0</v>
      </c>
      <c r="P57" s="27">
        <v>3.0</v>
      </c>
      <c r="Q57" s="27">
        <v>2.0</v>
      </c>
      <c r="R57" s="62">
        <f t="shared" si="3"/>
        <v>72</v>
      </c>
      <c r="S57" s="27">
        <v>3.0</v>
      </c>
      <c r="T57" s="27">
        <v>3.0</v>
      </c>
      <c r="U57" s="27">
        <v>3.0</v>
      </c>
      <c r="V57" s="27">
        <v>3.0</v>
      </c>
      <c r="W57" s="62">
        <f t="shared" si="4"/>
        <v>90</v>
      </c>
      <c r="X57" s="27">
        <v>2.0</v>
      </c>
      <c r="Y57" s="27">
        <v>2.0</v>
      </c>
      <c r="Z57" s="27">
        <v>2.0</v>
      </c>
      <c r="AA57" s="27">
        <v>3.0</v>
      </c>
      <c r="AB57" s="62">
        <f t="shared" si="5"/>
        <v>75</v>
      </c>
      <c r="AC57" s="27">
        <v>3.0</v>
      </c>
      <c r="AD57" s="27">
        <v>2.0</v>
      </c>
      <c r="AE57" s="27">
        <v>2.0</v>
      </c>
      <c r="AF57" s="27">
        <v>2.0</v>
      </c>
      <c r="AG57" s="62">
        <f t="shared" si="6"/>
        <v>63</v>
      </c>
      <c r="AH57" s="27">
        <v>2.0</v>
      </c>
      <c r="AI57" s="27">
        <v>3.0</v>
      </c>
      <c r="AJ57" s="27">
        <v>3.0</v>
      </c>
      <c r="AK57" s="27">
        <v>1.0</v>
      </c>
      <c r="AL57" s="62">
        <f t="shared" si="7"/>
        <v>57</v>
      </c>
      <c r="AM57" s="27">
        <v>2.0</v>
      </c>
      <c r="AN57" s="27">
        <v>3.0</v>
      </c>
      <c r="AO57" s="27">
        <v>3.0</v>
      </c>
      <c r="AP57" s="27">
        <v>1.0</v>
      </c>
      <c r="AQ57" s="62">
        <f t="shared" si="8"/>
        <v>57</v>
      </c>
    </row>
    <row r="58">
      <c r="A58" s="7">
        <f>'INPUT DAFTAR PESERTA'!A56</f>
        <v>53</v>
      </c>
      <c r="B58" s="25">
        <f>'INPUT DAFTAR PESERTA'!B56</f>
        <v>2509056042</v>
      </c>
      <c r="C58" s="26" t="str">
        <f>'INPUT DAFTAR PESERTA'!C56</f>
        <v>Muhammad Alief Adz Dzikry Abdillah</v>
      </c>
      <c r="D58" s="63"/>
      <c r="E58" s="63"/>
      <c r="F58" s="63"/>
      <c r="G58" s="63"/>
      <c r="H58" s="62">
        <f t="shared" si="1"/>
        <v>0</v>
      </c>
      <c r="I58" s="63"/>
      <c r="J58" s="63"/>
      <c r="K58" s="63"/>
      <c r="L58" s="63"/>
      <c r="M58" s="62">
        <f t="shared" si="2"/>
        <v>0</v>
      </c>
      <c r="N58" s="63"/>
      <c r="O58" s="63"/>
      <c r="P58" s="63"/>
      <c r="Q58" s="63"/>
      <c r="R58" s="62">
        <f t="shared" si="3"/>
        <v>0</v>
      </c>
      <c r="S58" s="63"/>
      <c r="T58" s="63"/>
      <c r="U58" s="63"/>
      <c r="V58" s="63"/>
      <c r="W58" s="62">
        <f t="shared" si="4"/>
        <v>0</v>
      </c>
      <c r="X58" s="27">
        <v>1.0</v>
      </c>
      <c r="Y58" s="27">
        <v>1.0</v>
      </c>
      <c r="Z58" s="27">
        <v>1.0</v>
      </c>
      <c r="AA58" s="27">
        <v>1.0</v>
      </c>
      <c r="AB58" s="62">
        <f t="shared" si="5"/>
        <v>30</v>
      </c>
      <c r="AC58" s="63"/>
      <c r="AD58" s="63"/>
      <c r="AE58" s="63"/>
      <c r="AF58" s="63"/>
      <c r="AG58" s="62">
        <f t="shared" si="6"/>
        <v>0</v>
      </c>
      <c r="AH58" s="63"/>
      <c r="AI58" s="63"/>
      <c r="AJ58" s="63"/>
      <c r="AK58" s="63"/>
      <c r="AL58" s="62">
        <f t="shared" si="7"/>
        <v>0</v>
      </c>
      <c r="AM58" s="63"/>
      <c r="AN58" s="63"/>
      <c r="AO58" s="63"/>
      <c r="AP58" s="63"/>
      <c r="AQ58" s="62">
        <f t="shared" si="8"/>
        <v>0</v>
      </c>
    </row>
    <row r="59">
      <c r="A59" s="7">
        <f>'INPUT DAFTAR PESERTA'!A57</f>
        <v>54</v>
      </c>
      <c r="B59" s="25">
        <f>'INPUT DAFTAR PESERTA'!B57</f>
        <v>2509056043</v>
      </c>
      <c r="C59" s="26" t="str">
        <f>'INPUT DAFTAR PESERTA'!C57</f>
        <v>Hubert Abraham Pranoto Sirait</v>
      </c>
      <c r="D59" s="63"/>
      <c r="E59" s="63"/>
      <c r="F59" s="63"/>
      <c r="G59" s="63"/>
      <c r="H59" s="62">
        <f t="shared" si="1"/>
        <v>0</v>
      </c>
      <c r="I59" s="27">
        <v>2.0</v>
      </c>
      <c r="J59" s="27">
        <v>2.0</v>
      </c>
      <c r="K59" s="27">
        <v>2.0</v>
      </c>
      <c r="L59" s="27">
        <v>1.0</v>
      </c>
      <c r="M59" s="62">
        <f t="shared" si="2"/>
        <v>45</v>
      </c>
      <c r="N59" s="27">
        <v>2.0</v>
      </c>
      <c r="O59" s="27">
        <v>3.0</v>
      </c>
      <c r="P59" s="27">
        <v>3.0</v>
      </c>
      <c r="Q59" s="27">
        <v>2.0</v>
      </c>
      <c r="R59" s="62">
        <f t="shared" si="3"/>
        <v>72</v>
      </c>
      <c r="S59" s="27">
        <v>2.0</v>
      </c>
      <c r="T59" s="27">
        <v>3.0</v>
      </c>
      <c r="U59" s="27">
        <v>3.0</v>
      </c>
      <c r="V59" s="27">
        <v>1.0</v>
      </c>
      <c r="W59" s="62">
        <f t="shared" si="4"/>
        <v>57</v>
      </c>
      <c r="X59" s="27">
        <v>2.0</v>
      </c>
      <c r="Y59" s="27">
        <v>2.0</v>
      </c>
      <c r="Z59" s="27">
        <v>2.0</v>
      </c>
      <c r="AA59" s="27">
        <v>1.0</v>
      </c>
      <c r="AB59" s="62">
        <f t="shared" si="5"/>
        <v>45</v>
      </c>
      <c r="AC59" s="27">
        <v>3.0</v>
      </c>
      <c r="AD59" s="27">
        <v>2.0</v>
      </c>
      <c r="AE59" s="27">
        <v>2.0</v>
      </c>
      <c r="AF59" s="27">
        <v>2.0</v>
      </c>
      <c r="AG59" s="62">
        <f t="shared" si="6"/>
        <v>63</v>
      </c>
      <c r="AH59" s="27">
        <v>2.0</v>
      </c>
      <c r="AI59" s="27">
        <v>3.0</v>
      </c>
      <c r="AJ59" s="27">
        <v>3.0</v>
      </c>
      <c r="AK59" s="27">
        <v>3.0</v>
      </c>
      <c r="AL59" s="62">
        <f t="shared" si="7"/>
        <v>87</v>
      </c>
      <c r="AM59" s="27">
        <v>2.0</v>
      </c>
      <c r="AN59" s="27">
        <v>3.0</v>
      </c>
      <c r="AO59" s="27">
        <v>3.0</v>
      </c>
      <c r="AP59" s="27">
        <v>1.0</v>
      </c>
      <c r="AQ59" s="62">
        <f t="shared" si="8"/>
        <v>57</v>
      </c>
    </row>
    <row r="60">
      <c r="A60" s="7">
        <f>'INPUT DAFTAR PESERTA'!A58</f>
        <v>55</v>
      </c>
      <c r="B60" s="25">
        <f>'INPUT DAFTAR PESERTA'!B58</f>
        <v>2509056044</v>
      </c>
      <c r="C60" s="26" t="str">
        <f>'INPUT DAFTAR PESERTA'!C58</f>
        <v>Indah Tessalonica</v>
      </c>
      <c r="D60" s="63"/>
      <c r="E60" s="63"/>
      <c r="F60" s="63"/>
      <c r="G60" s="63"/>
      <c r="H60" s="62">
        <f t="shared" si="1"/>
        <v>0</v>
      </c>
      <c r="I60" s="63"/>
      <c r="J60" s="63"/>
      <c r="K60" s="63"/>
      <c r="L60" s="63"/>
      <c r="M60" s="62">
        <f t="shared" si="2"/>
        <v>0</v>
      </c>
      <c r="N60" s="63"/>
      <c r="O60" s="63"/>
      <c r="P60" s="63"/>
      <c r="Q60" s="63"/>
      <c r="R60" s="62">
        <f t="shared" si="3"/>
        <v>0</v>
      </c>
      <c r="S60" s="63"/>
      <c r="T60" s="63"/>
      <c r="U60" s="63"/>
      <c r="V60" s="63"/>
      <c r="W60" s="62">
        <f t="shared" si="4"/>
        <v>0</v>
      </c>
      <c r="X60" s="27">
        <v>1.0</v>
      </c>
      <c r="Y60" s="27">
        <v>1.0</v>
      </c>
      <c r="Z60" s="27">
        <v>1.0</v>
      </c>
      <c r="AA60" s="27">
        <v>1.0</v>
      </c>
      <c r="AB60" s="62">
        <f t="shared" si="5"/>
        <v>30</v>
      </c>
      <c r="AC60" s="63"/>
      <c r="AD60" s="63"/>
      <c r="AE60" s="63"/>
      <c r="AF60" s="63"/>
      <c r="AG60" s="62">
        <f t="shared" si="6"/>
        <v>0</v>
      </c>
      <c r="AH60" s="63"/>
      <c r="AI60" s="63"/>
      <c r="AJ60" s="63"/>
      <c r="AK60" s="63"/>
      <c r="AL60" s="62">
        <f t="shared" si="7"/>
        <v>0</v>
      </c>
      <c r="AM60" s="63"/>
      <c r="AN60" s="63"/>
      <c r="AO60" s="63"/>
      <c r="AP60" s="63"/>
      <c r="AQ60" s="62">
        <f t="shared" si="8"/>
        <v>0</v>
      </c>
    </row>
    <row r="61">
      <c r="A61" s="7">
        <f>'INPUT DAFTAR PESERTA'!A59</f>
        <v>56</v>
      </c>
      <c r="B61" s="25">
        <f>'INPUT DAFTAR PESERTA'!B59</f>
        <v>2509056045</v>
      </c>
      <c r="C61" s="26" t="str">
        <f>'INPUT DAFTAR PESERTA'!C59</f>
        <v>Fahrizi Al Rosid</v>
      </c>
      <c r="D61" s="63"/>
      <c r="E61" s="63"/>
      <c r="F61" s="63"/>
      <c r="G61" s="63"/>
      <c r="H61" s="62">
        <f t="shared" si="1"/>
        <v>0</v>
      </c>
      <c r="I61" s="63"/>
      <c r="J61" s="63"/>
      <c r="K61" s="63"/>
      <c r="L61" s="63"/>
      <c r="M61" s="62">
        <f t="shared" si="2"/>
        <v>0</v>
      </c>
      <c r="N61" s="63"/>
      <c r="O61" s="63"/>
      <c r="P61" s="63"/>
      <c r="Q61" s="63"/>
      <c r="R61" s="62">
        <f t="shared" si="3"/>
        <v>0</v>
      </c>
      <c r="S61" s="63"/>
      <c r="T61" s="63"/>
      <c r="U61" s="63"/>
      <c r="V61" s="63"/>
      <c r="W61" s="62">
        <f t="shared" si="4"/>
        <v>0</v>
      </c>
      <c r="X61" s="27">
        <v>1.0</v>
      </c>
      <c r="Y61" s="27">
        <v>1.0</v>
      </c>
      <c r="Z61" s="27">
        <v>1.0</v>
      </c>
      <c r="AA61" s="27">
        <v>1.0</v>
      </c>
      <c r="AB61" s="62">
        <f t="shared" si="5"/>
        <v>30</v>
      </c>
      <c r="AC61" s="63"/>
      <c r="AD61" s="63"/>
      <c r="AE61" s="63"/>
      <c r="AF61" s="63"/>
      <c r="AG61" s="62">
        <f t="shared" si="6"/>
        <v>0</v>
      </c>
      <c r="AH61" s="63"/>
      <c r="AI61" s="63"/>
      <c r="AJ61" s="63"/>
      <c r="AK61" s="63"/>
      <c r="AL61" s="62">
        <f t="shared" si="7"/>
        <v>0</v>
      </c>
      <c r="AM61" s="63"/>
      <c r="AN61" s="63"/>
      <c r="AO61" s="63"/>
      <c r="AP61" s="63"/>
      <c r="AQ61" s="62">
        <f t="shared" si="8"/>
        <v>0</v>
      </c>
    </row>
    <row r="62">
      <c r="A62" s="7">
        <f>'INPUT DAFTAR PESERTA'!A60</f>
        <v>57</v>
      </c>
      <c r="B62" s="25">
        <f>'INPUT DAFTAR PESERTA'!B60</f>
        <v>2509056046</v>
      </c>
      <c r="C62" s="26" t="str">
        <f>'INPUT DAFTAR PESERTA'!C60</f>
        <v>Syadid Musoffa</v>
      </c>
      <c r="D62" s="63"/>
      <c r="E62" s="63"/>
      <c r="F62" s="63"/>
      <c r="G62" s="63"/>
      <c r="H62" s="62">
        <f t="shared" si="1"/>
        <v>0</v>
      </c>
      <c r="I62" s="63"/>
      <c r="J62" s="63"/>
      <c r="K62" s="63"/>
      <c r="L62" s="63"/>
      <c r="M62" s="62">
        <f t="shared" si="2"/>
        <v>0</v>
      </c>
      <c r="N62" s="63"/>
      <c r="O62" s="63"/>
      <c r="P62" s="63"/>
      <c r="Q62" s="63"/>
      <c r="R62" s="62">
        <f t="shared" si="3"/>
        <v>0</v>
      </c>
      <c r="S62" s="63"/>
      <c r="T62" s="63"/>
      <c r="U62" s="63"/>
      <c r="V62" s="63"/>
      <c r="W62" s="62">
        <f t="shared" si="4"/>
        <v>0</v>
      </c>
      <c r="X62" s="27">
        <v>1.0</v>
      </c>
      <c r="Y62" s="27">
        <v>1.0</v>
      </c>
      <c r="Z62" s="27">
        <v>1.0</v>
      </c>
      <c r="AA62" s="27">
        <v>1.0</v>
      </c>
      <c r="AB62" s="62">
        <f t="shared" si="5"/>
        <v>30</v>
      </c>
      <c r="AC62" s="63"/>
      <c r="AD62" s="63"/>
      <c r="AE62" s="63"/>
      <c r="AF62" s="63"/>
      <c r="AG62" s="62">
        <f t="shared" si="6"/>
        <v>0</v>
      </c>
      <c r="AH62" s="63"/>
      <c r="AI62" s="63"/>
      <c r="AJ62" s="63"/>
      <c r="AK62" s="63"/>
      <c r="AL62" s="62">
        <f t="shared" si="7"/>
        <v>0</v>
      </c>
      <c r="AM62" s="63"/>
      <c r="AN62" s="63"/>
      <c r="AO62" s="63"/>
      <c r="AP62" s="63"/>
      <c r="AQ62" s="62">
        <f t="shared" si="8"/>
        <v>0</v>
      </c>
    </row>
    <row r="63">
      <c r="A63" s="7">
        <f>'INPUT DAFTAR PESERTA'!A61</f>
        <v>58</v>
      </c>
      <c r="B63" s="25">
        <f>'INPUT DAFTAR PESERTA'!B61</f>
        <v>2509056047</v>
      </c>
      <c r="C63" s="26" t="str">
        <f>'INPUT DAFTAR PESERTA'!C61</f>
        <v>Oktovianus Sirante</v>
      </c>
      <c r="D63" s="27">
        <v>2.0</v>
      </c>
      <c r="E63" s="27">
        <v>3.0</v>
      </c>
      <c r="F63" s="27">
        <v>3.0</v>
      </c>
      <c r="G63" s="27">
        <v>1.0</v>
      </c>
      <c r="H63" s="62">
        <f t="shared" si="1"/>
        <v>57</v>
      </c>
      <c r="I63" s="27">
        <v>3.0</v>
      </c>
      <c r="J63" s="27">
        <v>3.0</v>
      </c>
      <c r="K63" s="27">
        <v>3.0</v>
      </c>
      <c r="L63" s="27">
        <v>1.0</v>
      </c>
      <c r="M63" s="62">
        <f t="shared" si="2"/>
        <v>60</v>
      </c>
      <c r="N63" s="27">
        <v>3.0</v>
      </c>
      <c r="O63" s="27">
        <v>3.0</v>
      </c>
      <c r="P63" s="27">
        <v>3.0</v>
      </c>
      <c r="Q63" s="27">
        <v>2.0</v>
      </c>
      <c r="R63" s="62">
        <f t="shared" si="3"/>
        <v>75</v>
      </c>
      <c r="S63" s="27">
        <v>3.0</v>
      </c>
      <c r="T63" s="27">
        <v>3.0</v>
      </c>
      <c r="U63" s="27">
        <v>3.0</v>
      </c>
      <c r="V63" s="27">
        <v>3.0</v>
      </c>
      <c r="W63" s="62">
        <f t="shared" si="4"/>
        <v>90</v>
      </c>
      <c r="X63" s="27">
        <v>3.0</v>
      </c>
      <c r="Y63" s="27">
        <v>3.0</v>
      </c>
      <c r="Z63" s="27">
        <v>3.0</v>
      </c>
      <c r="AA63" s="27">
        <v>3.0</v>
      </c>
      <c r="AB63" s="62">
        <f t="shared" si="5"/>
        <v>90</v>
      </c>
      <c r="AC63" s="27">
        <v>3.0</v>
      </c>
      <c r="AD63" s="27">
        <v>2.0</v>
      </c>
      <c r="AE63" s="27">
        <v>2.0</v>
      </c>
      <c r="AF63" s="27">
        <v>2.0</v>
      </c>
      <c r="AG63" s="62">
        <f t="shared" si="6"/>
        <v>63</v>
      </c>
      <c r="AH63" s="27">
        <v>2.0</v>
      </c>
      <c r="AI63" s="27">
        <v>3.0</v>
      </c>
      <c r="AJ63" s="27">
        <v>3.0</v>
      </c>
      <c r="AK63" s="27">
        <v>3.0</v>
      </c>
      <c r="AL63" s="62">
        <f t="shared" si="7"/>
        <v>87</v>
      </c>
      <c r="AM63" s="27">
        <v>3.0</v>
      </c>
      <c r="AN63" s="27">
        <v>3.0</v>
      </c>
      <c r="AO63" s="27">
        <v>3.0</v>
      </c>
      <c r="AP63" s="27">
        <v>1.0</v>
      </c>
      <c r="AQ63" s="62">
        <f t="shared" si="8"/>
        <v>60</v>
      </c>
    </row>
    <row r="64">
      <c r="A64" s="7">
        <f>'INPUT DAFTAR PESERTA'!A62</f>
        <v>59</v>
      </c>
      <c r="B64" s="25">
        <f>'INPUT DAFTAR PESERTA'!B62</f>
        <v>2509056048</v>
      </c>
      <c r="C64" s="26" t="str">
        <f>'INPUT DAFTAR PESERTA'!C62</f>
        <v>Cristover Rafael Milang</v>
      </c>
      <c r="D64" s="63"/>
      <c r="E64" s="63"/>
      <c r="F64" s="63"/>
      <c r="G64" s="63"/>
      <c r="H64" s="62">
        <f t="shared" si="1"/>
        <v>0</v>
      </c>
      <c r="I64" s="63"/>
      <c r="J64" s="63"/>
      <c r="K64" s="63"/>
      <c r="L64" s="63"/>
      <c r="M64" s="62">
        <f t="shared" si="2"/>
        <v>0</v>
      </c>
      <c r="N64" s="63"/>
      <c r="O64" s="63"/>
      <c r="P64" s="63"/>
      <c r="Q64" s="63"/>
      <c r="R64" s="62">
        <f t="shared" si="3"/>
        <v>0</v>
      </c>
      <c r="S64" s="63"/>
      <c r="T64" s="63"/>
      <c r="U64" s="63"/>
      <c r="V64" s="63"/>
      <c r="W64" s="62">
        <f t="shared" si="4"/>
        <v>0</v>
      </c>
      <c r="X64" s="27">
        <v>1.0</v>
      </c>
      <c r="Y64" s="27">
        <v>1.0</v>
      </c>
      <c r="Z64" s="27">
        <v>1.0</v>
      </c>
      <c r="AA64" s="27">
        <v>1.0</v>
      </c>
      <c r="AB64" s="62">
        <f t="shared" si="5"/>
        <v>30</v>
      </c>
      <c r="AC64" s="63"/>
      <c r="AD64" s="63"/>
      <c r="AE64" s="63"/>
      <c r="AF64" s="63"/>
      <c r="AG64" s="62">
        <f t="shared" si="6"/>
        <v>0</v>
      </c>
      <c r="AH64" s="63"/>
      <c r="AI64" s="63"/>
      <c r="AJ64" s="63"/>
      <c r="AK64" s="63"/>
      <c r="AL64" s="62">
        <f t="shared" si="7"/>
        <v>0</v>
      </c>
      <c r="AM64" s="63"/>
      <c r="AN64" s="63"/>
      <c r="AO64" s="63"/>
      <c r="AP64" s="63"/>
      <c r="AQ64" s="62">
        <f t="shared" si="8"/>
        <v>0</v>
      </c>
    </row>
    <row r="65">
      <c r="A65" s="7">
        <f>'INPUT DAFTAR PESERTA'!A63</f>
        <v>60</v>
      </c>
      <c r="B65" s="25">
        <f>'INPUT DAFTAR PESERTA'!B63</f>
        <v>2509056049</v>
      </c>
      <c r="C65" s="26" t="str">
        <f>'INPUT DAFTAR PESERTA'!C63</f>
        <v>Kevin Angeliano Jonathan</v>
      </c>
      <c r="D65" s="27">
        <v>1.0</v>
      </c>
      <c r="E65" s="27">
        <v>3.0</v>
      </c>
      <c r="F65" s="27">
        <v>3.0</v>
      </c>
      <c r="G65" s="27">
        <v>1.0</v>
      </c>
      <c r="H65" s="62">
        <f t="shared" si="1"/>
        <v>54</v>
      </c>
      <c r="I65" s="27">
        <v>3.0</v>
      </c>
      <c r="J65" s="27">
        <v>3.0</v>
      </c>
      <c r="K65" s="27">
        <v>3.0</v>
      </c>
      <c r="L65" s="27">
        <v>1.0</v>
      </c>
      <c r="M65" s="62">
        <f t="shared" si="2"/>
        <v>60</v>
      </c>
      <c r="N65" s="27">
        <v>3.0</v>
      </c>
      <c r="O65" s="27">
        <v>3.0</v>
      </c>
      <c r="P65" s="27">
        <v>3.0</v>
      </c>
      <c r="Q65" s="27">
        <v>1.0</v>
      </c>
      <c r="R65" s="62">
        <f t="shared" si="3"/>
        <v>60</v>
      </c>
      <c r="S65" s="27">
        <v>3.0</v>
      </c>
      <c r="T65" s="27">
        <v>3.0</v>
      </c>
      <c r="U65" s="27">
        <v>3.0</v>
      </c>
      <c r="V65" s="27">
        <v>3.0</v>
      </c>
      <c r="W65" s="62">
        <f t="shared" si="4"/>
        <v>90</v>
      </c>
      <c r="X65" s="27">
        <v>3.0</v>
      </c>
      <c r="Y65" s="27">
        <v>2.0</v>
      </c>
      <c r="Z65" s="27">
        <v>2.0</v>
      </c>
      <c r="AA65" s="27">
        <v>3.0</v>
      </c>
      <c r="AB65" s="62">
        <f t="shared" si="5"/>
        <v>78</v>
      </c>
      <c r="AC65" s="27">
        <v>3.0</v>
      </c>
      <c r="AD65" s="27">
        <v>2.0</v>
      </c>
      <c r="AE65" s="27">
        <v>2.0</v>
      </c>
      <c r="AF65" s="27">
        <v>2.0</v>
      </c>
      <c r="AG65" s="62">
        <f t="shared" si="6"/>
        <v>63</v>
      </c>
      <c r="AH65" s="27">
        <v>2.0</v>
      </c>
      <c r="AI65" s="27">
        <v>3.0</v>
      </c>
      <c r="AJ65" s="27">
        <v>3.0</v>
      </c>
      <c r="AK65" s="27">
        <v>2.0</v>
      </c>
      <c r="AL65" s="62">
        <f t="shared" si="7"/>
        <v>72</v>
      </c>
      <c r="AM65" s="27">
        <v>2.0</v>
      </c>
      <c r="AN65" s="27">
        <v>3.0</v>
      </c>
      <c r="AO65" s="27">
        <v>3.0</v>
      </c>
      <c r="AP65" s="27">
        <v>1.0</v>
      </c>
      <c r="AQ65" s="62">
        <f t="shared" si="8"/>
        <v>57</v>
      </c>
    </row>
    <row r="66">
      <c r="A66" s="7">
        <f>'INPUT DAFTAR PESERTA'!A64</f>
        <v>61</v>
      </c>
      <c r="B66" s="25">
        <f>'INPUT DAFTAR PESERTA'!B64</f>
        <v>2509056050</v>
      </c>
      <c r="C66" s="26" t="str">
        <f>'INPUT DAFTAR PESERTA'!C64</f>
        <v>Fajar Arif Suyanto</v>
      </c>
      <c r="D66" s="27">
        <v>1.0</v>
      </c>
      <c r="E66" s="27">
        <v>3.0</v>
      </c>
      <c r="F66" s="27">
        <v>3.0</v>
      </c>
      <c r="G66" s="27">
        <v>1.0</v>
      </c>
      <c r="H66" s="62">
        <f t="shared" si="1"/>
        <v>54</v>
      </c>
      <c r="I66" s="63"/>
      <c r="J66" s="63"/>
      <c r="K66" s="63"/>
      <c r="L66" s="63"/>
      <c r="M66" s="62">
        <f t="shared" si="2"/>
        <v>0</v>
      </c>
      <c r="N66" s="63"/>
      <c r="O66" s="63"/>
      <c r="P66" s="63"/>
      <c r="Q66" s="63"/>
      <c r="R66" s="62">
        <f t="shared" si="3"/>
        <v>0</v>
      </c>
      <c r="S66" s="63"/>
      <c r="T66" s="63"/>
      <c r="U66" s="63"/>
      <c r="V66" s="63"/>
      <c r="W66" s="62">
        <f t="shared" si="4"/>
        <v>0</v>
      </c>
      <c r="X66" s="27">
        <v>3.0</v>
      </c>
      <c r="Y66" s="27">
        <v>2.0</v>
      </c>
      <c r="Z66" s="27">
        <v>3.0</v>
      </c>
      <c r="AA66" s="27">
        <v>3.0</v>
      </c>
      <c r="AB66" s="62">
        <f t="shared" si="5"/>
        <v>84</v>
      </c>
      <c r="AC66" s="27">
        <v>3.0</v>
      </c>
      <c r="AD66" s="27">
        <v>2.0</v>
      </c>
      <c r="AE66" s="27">
        <v>2.0</v>
      </c>
      <c r="AF66" s="27">
        <v>2.0</v>
      </c>
      <c r="AG66" s="62">
        <f t="shared" si="6"/>
        <v>63</v>
      </c>
      <c r="AH66" s="27">
        <v>2.0</v>
      </c>
      <c r="AI66" s="27">
        <v>3.0</v>
      </c>
      <c r="AJ66" s="27">
        <v>3.0</v>
      </c>
      <c r="AK66" s="27">
        <v>2.0</v>
      </c>
      <c r="AL66" s="62">
        <f t="shared" si="7"/>
        <v>72</v>
      </c>
      <c r="AM66" s="63"/>
      <c r="AN66" s="63"/>
      <c r="AO66" s="63"/>
      <c r="AP66" s="63"/>
      <c r="AQ66" s="62">
        <f t="shared" si="8"/>
        <v>0</v>
      </c>
    </row>
    <row r="67">
      <c r="A67" s="7">
        <f>'INPUT DAFTAR PESERTA'!A65</f>
        <v>62</v>
      </c>
      <c r="B67" s="25">
        <f>'INPUT DAFTAR PESERTA'!B65</f>
        <v>2509056051</v>
      </c>
      <c r="C67" s="26" t="str">
        <f>'INPUT DAFTAR PESERTA'!C65</f>
        <v>Satria Rizla Marlanata</v>
      </c>
      <c r="D67" s="27">
        <v>1.0</v>
      </c>
      <c r="E67" s="27">
        <v>3.0</v>
      </c>
      <c r="F67" s="27">
        <v>2.0</v>
      </c>
      <c r="G67" s="27">
        <v>3.0</v>
      </c>
      <c r="H67" s="62">
        <f t="shared" si="1"/>
        <v>78</v>
      </c>
      <c r="I67" s="27">
        <v>3.0</v>
      </c>
      <c r="J67" s="27">
        <v>3.0</v>
      </c>
      <c r="K67" s="27">
        <v>3.0</v>
      </c>
      <c r="L67" s="27">
        <v>3.0</v>
      </c>
      <c r="M67" s="62">
        <f t="shared" si="2"/>
        <v>90</v>
      </c>
      <c r="N67" s="27">
        <v>3.0</v>
      </c>
      <c r="O67" s="27">
        <v>3.0</v>
      </c>
      <c r="P67" s="27">
        <v>3.0</v>
      </c>
      <c r="Q67" s="27">
        <v>3.0</v>
      </c>
      <c r="R67" s="62">
        <f t="shared" si="3"/>
        <v>90</v>
      </c>
      <c r="S67" s="27">
        <v>2.0</v>
      </c>
      <c r="T67" s="27">
        <v>2.0</v>
      </c>
      <c r="U67" s="27">
        <v>3.0</v>
      </c>
      <c r="V67" s="27">
        <v>2.0</v>
      </c>
      <c r="W67" s="62">
        <f t="shared" si="4"/>
        <v>66</v>
      </c>
      <c r="X67" s="27">
        <v>3.0</v>
      </c>
      <c r="Y67" s="27">
        <v>3.0</v>
      </c>
      <c r="Z67" s="27">
        <v>3.0</v>
      </c>
      <c r="AA67" s="27">
        <v>2.0</v>
      </c>
      <c r="AB67" s="62">
        <f t="shared" si="5"/>
        <v>75</v>
      </c>
      <c r="AC67" s="27">
        <v>3.0</v>
      </c>
      <c r="AD67" s="27">
        <v>2.0</v>
      </c>
      <c r="AE67" s="27">
        <v>2.0</v>
      </c>
      <c r="AF67" s="27">
        <v>2.0</v>
      </c>
      <c r="AG67" s="62">
        <f t="shared" si="6"/>
        <v>63</v>
      </c>
      <c r="AH67" s="27">
        <v>2.0</v>
      </c>
      <c r="AI67" s="27">
        <v>3.0</v>
      </c>
      <c r="AJ67" s="27">
        <v>3.0</v>
      </c>
      <c r="AK67" s="27">
        <v>3.0</v>
      </c>
      <c r="AL67" s="62">
        <f t="shared" si="7"/>
        <v>87</v>
      </c>
      <c r="AM67" s="27">
        <v>2.0</v>
      </c>
      <c r="AN67" s="27">
        <v>3.0</v>
      </c>
      <c r="AO67" s="27">
        <v>3.0</v>
      </c>
      <c r="AP67" s="27">
        <v>1.0</v>
      </c>
      <c r="AQ67" s="62">
        <f t="shared" si="8"/>
        <v>57</v>
      </c>
    </row>
    <row r="68">
      <c r="A68" s="7">
        <f>'INPUT DAFTAR PESERTA'!A66</f>
        <v>63</v>
      </c>
      <c r="B68" s="25">
        <f>'INPUT DAFTAR PESERTA'!B66</f>
        <v>2509056052</v>
      </c>
      <c r="C68" s="26" t="str">
        <f>'INPUT DAFTAR PESERTA'!C66</f>
        <v>Aulya Azhari</v>
      </c>
      <c r="D68" s="63"/>
      <c r="E68" s="63"/>
      <c r="F68" s="63"/>
      <c r="G68" s="63"/>
      <c r="H68" s="62">
        <f t="shared" si="1"/>
        <v>0</v>
      </c>
      <c r="I68" s="63"/>
      <c r="J68" s="63"/>
      <c r="K68" s="63"/>
      <c r="L68" s="63"/>
      <c r="M68" s="62">
        <f t="shared" si="2"/>
        <v>0</v>
      </c>
      <c r="N68" s="63"/>
      <c r="O68" s="63"/>
      <c r="P68" s="63"/>
      <c r="Q68" s="63"/>
      <c r="R68" s="62">
        <f t="shared" si="3"/>
        <v>0</v>
      </c>
      <c r="S68" s="63"/>
      <c r="T68" s="63"/>
      <c r="U68" s="63"/>
      <c r="V68" s="63"/>
      <c r="W68" s="62">
        <f t="shared" si="4"/>
        <v>0</v>
      </c>
      <c r="X68" s="27">
        <v>2.0</v>
      </c>
      <c r="Y68" s="27">
        <v>2.0</v>
      </c>
      <c r="Z68" s="27">
        <v>2.0</v>
      </c>
      <c r="AA68" s="27">
        <v>3.0</v>
      </c>
      <c r="AB68" s="62">
        <f t="shared" si="5"/>
        <v>75</v>
      </c>
      <c r="AC68" s="27">
        <v>3.0</v>
      </c>
      <c r="AD68" s="27">
        <v>2.0</v>
      </c>
      <c r="AE68" s="27">
        <v>2.0</v>
      </c>
      <c r="AF68" s="27">
        <v>2.0</v>
      </c>
      <c r="AG68" s="62">
        <f t="shared" si="6"/>
        <v>63</v>
      </c>
      <c r="AH68" s="27">
        <v>2.0</v>
      </c>
      <c r="AI68" s="27">
        <v>3.0</v>
      </c>
      <c r="AJ68" s="27">
        <v>3.0</v>
      </c>
      <c r="AK68" s="27">
        <v>3.0</v>
      </c>
      <c r="AL68" s="62">
        <f t="shared" si="7"/>
        <v>87</v>
      </c>
      <c r="AM68" s="63"/>
      <c r="AN68" s="63"/>
      <c r="AO68" s="63"/>
      <c r="AP68" s="63"/>
      <c r="AQ68" s="62">
        <f t="shared" si="8"/>
        <v>0</v>
      </c>
    </row>
    <row r="69">
      <c r="A69" s="7">
        <f>'INPUT DAFTAR PESERTA'!A67</f>
        <v>64</v>
      </c>
      <c r="B69" s="25">
        <f>'INPUT DAFTAR PESERTA'!B67</f>
        <v>2509056053</v>
      </c>
      <c r="C69" s="26" t="str">
        <f>'INPUT DAFTAR PESERTA'!C67</f>
        <v>Muhammad Farrel Ardiano</v>
      </c>
      <c r="D69" s="27">
        <v>2.0</v>
      </c>
      <c r="E69" s="27">
        <v>3.0</v>
      </c>
      <c r="F69" s="27">
        <v>3.0</v>
      </c>
      <c r="G69" s="27">
        <v>1.0</v>
      </c>
      <c r="H69" s="62">
        <f t="shared" si="1"/>
        <v>57</v>
      </c>
      <c r="I69" s="27">
        <v>3.0</v>
      </c>
      <c r="J69" s="27">
        <v>3.0</v>
      </c>
      <c r="K69" s="27">
        <v>3.0</v>
      </c>
      <c r="L69" s="27">
        <v>1.0</v>
      </c>
      <c r="M69" s="62">
        <f t="shared" si="2"/>
        <v>60</v>
      </c>
      <c r="N69" s="27">
        <v>2.0</v>
      </c>
      <c r="O69" s="27">
        <v>3.0</v>
      </c>
      <c r="P69" s="27">
        <v>3.0</v>
      </c>
      <c r="Q69" s="27">
        <v>2.0</v>
      </c>
      <c r="R69" s="62">
        <f t="shared" si="3"/>
        <v>72</v>
      </c>
      <c r="S69" s="27">
        <v>2.0</v>
      </c>
      <c r="T69" s="27">
        <v>2.0</v>
      </c>
      <c r="U69" s="27">
        <v>3.0</v>
      </c>
      <c r="V69" s="27">
        <v>1.0</v>
      </c>
      <c r="W69" s="62">
        <f t="shared" si="4"/>
        <v>51</v>
      </c>
      <c r="X69" s="27">
        <v>3.0</v>
      </c>
      <c r="Y69" s="27">
        <v>3.0</v>
      </c>
      <c r="Z69" s="27">
        <v>3.0</v>
      </c>
      <c r="AA69" s="27">
        <v>3.0</v>
      </c>
      <c r="AB69" s="62">
        <f t="shared" si="5"/>
        <v>90</v>
      </c>
      <c r="AC69" s="27">
        <v>3.0</v>
      </c>
      <c r="AD69" s="27">
        <v>2.0</v>
      </c>
      <c r="AE69" s="27">
        <v>2.0</v>
      </c>
      <c r="AF69" s="27">
        <v>2.0</v>
      </c>
      <c r="AG69" s="62">
        <f t="shared" si="6"/>
        <v>63</v>
      </c>
      <c r="AH69" s="27">
        <v>2.0</v>
      </c>
      <c r="AI69" s="27">
        <v>3.0</v>
      </c>
      <c r="AJ69" s="27">
        <v>3.0</v>
      </c>
      <c r="AK69" s="27">
        <v>3.0</v>
      </c>
      <c r="AL69" s="62">
        <f t="shared" si="7"/>
        <v>87</v>
      </c>
      <c r="AM69" s="27">
        <v>3.0</v>
      </c>
      <c r="AN69" s="27">
        <v>3.0</v>
      </c>
      <c r="AO69" s="27">
        <v>3.0</v>
      </c>
      <c r="AP69" s="27">
        <v>2.0</v>
      </c>
      <c r="AQ69" s="62">
        <f t="shared" si="8"/>
        <v>75</v>
      </c>
    </row>
    <row r="70">
      <c r="A70" s="7">
        <f>'INPUT DAFTAR PESERTA'!A68</f>
        <v>65</v>
      </c>
      <c r="B70" s="25">
        <f>'INPUT DAFTAR PESERTA'!B68</f>
        <v>2509056054</v>
      </c>
      <c r="C70" s="26" t="str">
        <f>'INPUT DAFTAR PESERTA'!C68</f>
        <v>Arlan Candra Antholyn</v>
      </c>
      <c r="D70" s="27">
        <v>1.0</v>
      </c>
      <c r="E70" s="27">
        <v>2.0</v>
      </c>
      <c r="F70" s="27">
        <v>2.0</v>
      </c>
      <c r="G70" s="27">
        <v>2.0</v>
      </c>
      <c r="H70" s="62">
        <f t="shared" si="1"/>
        <v>57</v>
      </c>
      <c r="I70" s="27">
        <v>3.0</v>
      </c>
      <c r="J70" s="27">
        <v>3.0</v>
      </c>
      <c r="K70" s="27">
        <v>3.0</v>
      </c>
      <c r="L70" s="27">
        <v>1.0</v>
      </c>
      <c r="M70" s="62">
        <f t="shared" si="2"/>
        <v>60</v>
      </c>
      <c r="N70" s="27">
        <v>2.0</v>
      </c>
      <c r="O70" s="27">
        <v>3.0</v>
      </c>
      <c r="P70" s="27">
        <v>3.0</v>
      </c>
      <c r="Q70" s="27">
        <v>2.0</v>
      </c>
      <c r="R70" s="62">
        <f t="shared" si="3"/>
        <v>72</v>
      </c>
      <c r="S70" s="27">
        <v>3.0</v>
      </c>
      <c r="T70" s="27">
        <v>3.0</v>
      </c>
      <c r="U70" s="27">
        <v>3.0</v>
      </c>
      <c r="V70" s="27">
        <v>1.0</v>
      </c>
      <c r="W70" s="62">
        <f t="shared" si="4"/>
        <v>60</v>
      </c>
      <c r="X70" s="27">
        <v>2.0</v>
      </c>
      <c r="Y70" s="27">
        <v>2.0</v>
      </c>
      <c r="Z70" s="27">
        <v>2.0</v>
      </c>
      <c r="AA70" s="27">
        <v>3.0</v>
      </c>
      <c r="AB70" s="62">
        <f t="shared" si="5"/>
        <v>75</v>
      </c>
      <c r="AC70" s="27">
        <v>3.0</v>
      </c>
      <c r="AD70" s="27">
        <v>2.0</v>
      </c>
      <c r="AE70" s="27">
        <v>2.0</v>
      </c>
      <c r="AF70" s="27">
        <v>2.0</v>
      </c>
      <c r="AG70" s="62">
        <f t="shared" si="6"/>
        <v>63</v>
      </c>
      <c r="AH70" s="27">
        <v>2.0</v>
      </c>
      <c r="AI70" s="27">
        <v>3.0</v>
      </c>
      <c r="AJ70" s="27">
        <v>3.0</v>
      </c>
      <c r="AK70" s="27">
        <v>3.0</v>
      </c>
      <c r="AL70" s="62">
        <f t="shared" si="7"/>
        <v>87</v>
      </c>
      <c r="AM70" s="27">
        <v>2.0</v>
      </c>
      <c r="AN70" s="27">
        <v>3.0</v>
      </c>
      <c r="AO70" s="27">
        <v>3.0</v>
      </c>
      <c r="AP70" s="27">
        <v>1.0</v>
      </c>
      <c r="AQ70" s="62">
        <f t="shared" si="8"/>
        <v>57</v>
      </c>
    </row>
    <row r="71">
      <c r="A71" s="7">
        <f>'INPUT DAFTAR PESERTA'!A69</f>
        <v>66</v>
      </c>
      <c r="B71" s="25">
        <f>'INPUT DAFTAR PESERTA'!B69</f>
        <v>2509056055</v>
      </c>
      <c r="C71" s="26" t="str">
        <f>'INPUT DAFTAR PESERTA'!C69</f>
        <v>Taufan Akbar Bunawan</v>
      </c>
      <c r="D71" s="27">
        <v>3.0</v>
      </c>
      <c r="E71" s="27">
        <v>3.0</v>
      </c>
      <c r="F71" s="27">
        <v>3.0</v>
      </c>
      <c r="G71" s="27">
        <v>1.0</v>
      </c>
      <c r="H71" s="62">
        <f t="shared" si="1"/>
        <v>60</v>
      </c>
      <c r="I71" s="27">
        <v>2.0</v>
      </c>
      <c r="J71" s="27">
        <v>3.0</v>
      </c>
      <c r="K71" s="27">
        <v>3.0</v>
      </c>
      <c r="L71" s="27">
        <v>1.0</v>
      </c>
      <c r="M71" s="62">
        <f t="shared" si="2"/>
        <v>57</v>
      </c>
      <c r="N71" s="27">
        <v>2.0</v>
      </c>
      <c r="O71" s="27">
        <v>3.0</v>
      </c>
      <c r="P71" s="27">
        <v>3.0</v>
      </c>
      <c r="Q71" s="27">
        <v>2.0</v>
      </c>
      <c r="R71" s="62">
        <f t="shared" si="3"/>
        <v>72</v>
      </c>
      <c r="S71" s="27">
        <v>3.0</v>
      </c>
      <c r="T71" s="27">
        <v>3.0</v>
      </c>
      <c r="U71" s="27">
        <v>3.0</v>
      </c>
      <c r="V71" s="27">
        <v>0.0</v>
      </c>
      <c r="W71" s="62">
        <f t="shared" si="4"/>
        <v>45</v>
      </c>
      <c r="X71" s="27">
        <v>2.0</v>
      </c>
      <c r="Y71" s="27">
        <v>3.0</v>
      </c>
      <c r="Z71" s="27">
        <v>3.0</v>
      </c>
      <c r="AA71" s="27">
        <v>1.0</v>
      </c>
      <c r="AB71" s="62">
        <f t="shared" si="5"/>
        <v>57</v>
      </c>
      <c r="AC71" s="27">
        <v>3.0</v>
      </c>
      <c r="AD71" s="27">
        <v>2.0</v>
      </c>
      <c r="AE71" s="27">
        <v>2.0</v>
      </c>
      <c r="AF71" s="27">
        <v>2.0</v>
      </c>
      <c r="AG71" s="62">
        <f t="shared" si="6"/>
        <v>63</v>
      </c>
      <c r="AH71" s="27">
        <v>2.0</v>
      </c>
      <c r="AI71" s="27">
        <v>2.0</v>
      </c>
      <c r="AJ71" s="27">
        <v>3.0</v>
      </c>
      <c r="AK71" s="27">
        <v>1.0</v>
      </c>
      <c r="AL71" s="62">
        <f t="shared" si="7"/>
        <v>51</v>
      </c>
      <c r="AM71" s="27">
        <v>2.0</v>
      </c>
      <c r="AN71" s="27">
        <v>3.0</v>
      </c>
      <c r="AO71" s="27">
        <v>3.0</v>
      </c>
      <c r="AP71" s="27">
        <v>2.0</v>
      </c>
      <c r="AQ71" s="62">
        <f t="shared" si="8"/>
        <v>72</v>
      </c>
    </row>
    <row r="72">
      <c r="A72" s="7">
        <f>'INPUT DAFTAR PESERTA'!A70</f>
        <v>67</v>
      </c>
      <c r="B72" s="25">
        <f>'INPUT DAFTAR PESERTA'!B70</f>
        <v>2509056056</v>
      </c>
      <c r="C72" s="26" t="str">
        <f>'INPUT DAFTAR PESERTA'!C70</f>
        <v>Mario Wildhan Wibisono</v>
      </c>
      <c r="D72" s="63"/>
      <c r="E72" s="63"/>
      <c r="F72" s="63"/>
      <c r="G72" s="63"/>
      <c r="H72" s="62">
        <f t="shared" si="1"/>
        <v>0</v>
      </c>
      <c r="I72" s="63"/>
      <c r="J72" s="63"/>
      <c r="K72" s="63"/>
      <c r="L72" s="63"/>
      <c r="M72" s="62">
        <f t="shared" si="2"/>
        <v>0</v>
      </c>
      <c r="N72" s="63"/>
      <c r="O72" s="63"/>
      <c r="P72" s="63"/>
      <c r="Q72" s="63"/>
      <c r="R72" s="62">
        <f t="shared" si="3"/>
        <v>0</v>
      </c>
      <c r="S72" s="63"/>
      <c r="T72" s="63"/>
      <c r="U72" s="63"/>
      <c r="V72" s="63"/>
      <c r="W72" s="62">
        <f t="shared" si="4"/>
        <v>0</v>
      </c>
      <c r="X72" s="27">
        <v>1.0</v>
      </c>
      <c r="Y72" s="27">
        <v>1.0</v>
      </c>
      <c r="Z72" s="27">
        <v>1.0</v>
      </c>
      <c r="AA72" s="27">
        <v>1.0</v>
      </c>
      <c r="AB72" s="62">
        <f t="shared" si="5"/>
        <v>30</v>
      </c>
      <c r="AC72" s="63"/>
      <c r="AD72" s="63"/>
      <c r="AE72" s="63"/>
      <c r="AF72" s="63"/>
      <c r="AG72" s="62">
        <f t="shared" si="6"/>
        <v>0</v>
      </c>
      <c r="AH72" s="63"/>
      <c r="AI72" s="63"/>
      <c r="AJ72" s="63"/>
      <c r="AK72" s="63"/>
      <c r="AL72" s="62">
        <f t="shared" si="7"/>
        <v>0</v>
      </c>
      <c r="AM72" s="63"/>
      <c r="AN72" s="63"/>
      <c r="AO72" s="63"/>
      <c r="AP72" s="63"/>
      <c r="AQ72" s="62">
        <f t="shared" si="8"/>
        <v>0</v>
      </c>
    </row>
    <row r="73">
      <c r="A73" s="7">
        <f>'INPUT DAFTAR PESERTA'!A71</f>
        <v>68</v>
      </c>
      <c r="B73" s="25">
        <f>'INPUT DAFTAR PESERTA'!B71</f>
        <v>2509056057</v>
      </c>
      <c r="C73" s="26" t="str">
        <f>'INPUT DAFTAR PESERTA'!C71</f>
        <v>Immanuel Wisnu Siahaan</v>
      </c>
      <c r="D73" s="27">
        <v>3.0</v>
      </c>
      <c r="E73" s="27">
        <v>3.0</v>
      </c>
      <c r="F73" s="27">
        <v>3.0</v>
      </c>
      <c r="G73" s="27">
        <v>3.0</v>
      </c>
      <c r="H73" s="62">
        <f t="shared" si="1"/>
        <v>90</v>
      </c>
      <c r="I73" s="27">
        <v>3.0</v>
      </c>
      <c r="J73" s="27">
        <v>3.0</v>
      </c>
      <c r="K73" s="27">
        <v>3.0</v>
      </c>
      <c r="L73" s="27">
        <v>3.0</v>
      </c>
      <c r="M73" s="62">
        <f t="shared" si="2"/>
        <v>90</v>
      </c>
      <c r="N73" s="27">
        <v>3.0</v>
      </c>
      <c r="O73" s="27">
        <v>3.0</v>
      </c>
      <c r="P73" s="27">
        <v>3.0</v>
      </c>
      <c r="Q73" s="27">
        <v>3.0</v>
      </c>
      <c r="R73" s="62">
        <f t="shared" si="3"/>
        <v>90</v>
      </c>
      <c r="S73" s="27">
        <v>3.0</v>
      </c>
      <c r="T73" s="27">
        <v>3.0</v>
      </c>
      <c r="U73" s="27">
        <v>3.0</v>
      </c>
      <c r="V73" s="27">
        <v>2.0</v>
      </c>
      <c r="W73" s="62">
        <f t="shared" si="4"/>
        <v>75</v>
      </c>
      <c r="X73" s="27">
        <v>2.0</v>
      </c>
      <c r="Y73" s="27">
        <v>3.0</v>
      </c>
      <c r="Z73" s="27">
        <v>3.0</v>
      </c>
      <c r="AA73" s="27">
        <v>3.0</v>
      </c>
      <c r="AB73" s="62">
        <f t="shared" si="5"/>
        <v>87</v>
      </c>
      <c r="AC73" s="27">
        <v>3.0</v>
      </c>
      <c r="AD73" s="27">
        <v>2.0</v>
      </c>
      <c r="AE73" s="27">
        <v>2.0</v>
      </c>
      <c r="AF73" s="27">
        <v>3.0</v>
      </c>
      <c r="AG73" s="62">
        <f t="shared" si="6"/>
        <v>78</v>
      </c>
      <c r="AH73" s="27">
        <v>2.0</v>
      </c>
      <c r="AI73" s="27">
        <v>3.0</v>
      </c>
      <c r="AJ73" s="27">
        <v>3.0</v>
      </c>
      <c r="AK73" s="27">
        <v>3.0</v>
      </c>
      <c r="AL73" s="62">
        <f t="shared" si="7"/>
        <v>87</v>
      </c>
      <c r="AM73" s="27">
        <v>3.0</v>
      </c>
      <c r="AN73" s="27">
        <v>3.0</v>
      </c>
      <c r="AO73" s="27">
        <v>3.0</v>
      </c>
      <c r="AP73" s="27">
        <v>3.0</v>
      </c>
      <c r="AQ73" s="62">
        <f t="shared" si="8"/>
        <v>90</v>
      </c>
    </row>
    <row r="74">
      <c r="A74" s="7">
        <f>'INPUT DAFTAR PESERTA'!A72</f>
        <v>69</v>
      </c>
      <c r="B74" s="25">
        <f>'INPUT DAFTAR PESERTA'!B72</f>
        <v>2509056058</v>
      </c>
      <c r="C74" s="26" t="str">
        <f>'INPUT DAFTAR PESERTA'!C72</f>
        <v>Hebron Ketter Pagalla'</v>
      </c>
      <c r="D74" s="27">
        <v>3.0</v>
      </c>
      <c r="E74" s="27">
        <v>3.0</v>
      </c>
      <c r="F74" s="27">
        <v>3.0</v>
      </c>
      <c r="G74" s="27">
        <v>0.0</v>
      </c>
      <c r="H74" s="62">
        <f t="shared" si="1"/>
        <v>45</v>
      </c>
      <c r="I74" s="27">
        <v>2.0</v>
      </c>
      <c r="J74" s="27">
        <v>2.0</v>
      </c>
      <c r="K74" s="27">
        <v>3.0</v>
      </c>
      <c r="L74" s="27">
        <v>1.0</v>
      </c>
      <c r="M74" s="62">
        <f t="shared" si="2"/>
        <v>51</v>
      </c>
      <c r="N74" s="27">
        <v>2.0</v>
      </c>
      <c r="O74" s="27">
        <v>2.0</v>
      </c>
      <c r="P74" s="27">
        <v>3.0</v>
      </c>
      <c r="Q74" s="27">
        <v>1.0</v>
      </c>
      <c r="R74" s="62">
        <f t="shared" si="3"/>
        <v>51</v>
      </c>
      <c r="S74" s="27">
        <v>3.0</v>
      </c>
      <c r="T74" s="27">
        <v>3.0</v>
      </c>
      <c r="U74" s="27">
        <v>3.0</v>
      </c>
      <c r="V74" s="27">
        <v>1.0</v>
      </c>
      <c r="W74" s="62">
        <f t="shared" si="4"/>
        <v>60</v>
      </c>
      <c r="X74" s="27">
        <v>3.0</v>
      </c>
      <c r="Y74" s="27">
        <v>3.0</v>
      </c>
      <c r="Z74" s="27">
        <v>3.0</v>
      </c>
      <c r="AA74" s="27">
        <v>1.0</v>
      </c>
      <c r="AB74" s="62">
        <f t="shared" si="5"/>
        <v>60</v>
      </c>
      <c r="AC74" s="63"/>
      <c r="AD74" s="63"/>
      <c r="AE74" s="63"/>
      <c r="AF74" s="63"/>
      <c r="AG74" s="62">
        <f t="shared" si="6"/>
        <v>0</v>
      </c>
      <c r="AH74" s="27">
        <v>2.0</v>
      </c>
      <c r="AI74" s="27">
        <v>3.0</v>
      </c>
      <c r="AJ74" s="27">
        <v>3.0</v>
      </c>
      <c r="AK74" s="27">
        <v>1.0</v>
      </c>
      <c r="AL74" s="62">
        <f t="shared" si="7"/>
        <v>57</v>
      </c>
      <c r="AM74" s="27">
        <v>3.0</v>
      </c>
      <c r="AN74" s="27">
        <v>3.0</v>
      </c>
      <c r="AO74" s="27">
        <v>3.0</v>
      </c>
      <c r="AP74" s="27">
        <v>2.0</v>
      </c>
      <c r="AQ74" s="62">
        <f t="shared" si="8"/>
        <v>75</v>
      </c>
    </row>
    <row r="75">
      <c r="A75" s="7">
        <f>'INPUT DAFTAR PESERTA'!A73</f>
        <v>70</v>
      </c>
      <c r="B75" s="25">
        <f>'INPUT DAFTAR PESERTA'!B73</f>
        <v>2509056059</v>
      </c>
      <c r="C75" s="26" t="str">
        <f>'INPUT DAFTAR PESERTA'!C73</f>
        <v>Wildan Akmal Zaky</v>
      </c>
      <c r="D75" s="27">
        <v>3.0</v>
      </c>
      <c r="E75" s="27">
        <v>3.0</v>
      </c>
      <c r="F75" s="27">
        <v>3.0</v>
      </c>
      <c r="G75" s="27">
        <v>3.0</v>
      </c>
      <c r="H75" s="62">
        <f t="shared" si="1"/>
        <v>90</v>
      </c>
      <c r="I75" s="27">
        <v>3.0</v>
      </c>
      <c r="J75" s="27">
        <v>3.0</v>
      </c>
      <c r="K75" s="27">
        <v>3.0</v>
      </c>
      <c r="L75" s="27">
        <v>2.0</v>
      </c>
      <c r="M75" s="62">
        <f t="shared" si="2"/>
        <v>75</v>
      </c>
      <c r="N75" s="27">
        <v>2.0</v>
      </c>
      <c r="O75" s="27">
        <v>3.0</v>
      </c>
      <c r="P75" s="27">
        <v>3.0</v>
      </c>
      <c r="Q75" s="27">
        <v>1.0</v>
      </c>
      <c r="R75" s="62">
        <f t="shared" si="3"/>
        <v>57</v>
      </c>
      <c r="S75" s="27">
        <v>2.0</v>
      </c>
      <c r="T75" s="27">
        <v>3.0</v>
      </c>
      <c r="U75" s="27">
        <v>3.0</v>
      </c>
      <c r="V75" s="27">
        <v>2.0</v>
      </c>
      <c r="W75" s="62">
        <f t="shared" si="4"/>
        <v>72</v>
      </c>
      <c r="X75" s="27">
        <v>2.0</v>
      </c>
      <c r="Y75" s="27">
        <v>2.0</v>
      </c>
      <c r="Z75" s="27">
        <v>2.0</v>
      </c>
      <c r="AA75" s="27">
        <v>1.0</v>
      </c>
      <c r="AB75" s="62">
        <f t="shared" si="5"/>
        <v>45</v>
      </c>
      <c r="AC75" s="27">
        <v>3.0</v>
      </c>
      <c r="AD75" s="27">
        <v>3.0</v>
      </c>
      <c r="AE75" s="27">
        <v>3.0</v>
      </c>
      <c r="AF75" s="27">
        <v>2.0</v>
      </c>
      <c r="AG75" s="62">
        <f t="shared" si="6"/>
        <v>75</v>
      </c>
      <c r="AH75" s="27">
        <v>2.0</v>
      </c>
      <c r="AI75" s="27">
        <v>3.0</v>
      </c>
      <c r="AJ75" s="27">
        <v>3.0</v>
      </c>
      <c r="AK75" s="27">
        <v>1.0</v>
      </c>
      <c r="AL75" s="62">
        <f t="shared" si="7"/>
        <v>57</v>
      </c>
      <c r="AM75" s="27">
        <v>2.0</v>
      </c>
      <c r="AN75" s="27">
        <v>3.0</v>
      </c>
      <c r="AO75" s="27">
        <v>3.0</v>
      </c>
      <c r="AP75" s="27">
        <v>1.0</v>
      </c>
      <c r="AQ75" s="62">
        <f t="shared" si="8"/>
        <v>57</v>
      </c>
    </row>
    <row r="76">
      <c r="A76" s="7">
        <f>'INPUT DAFTAR PESERTA'!A74</f>
        <v>71</v>
      </c>
      <c r="B76" s="25">
        <f>'INPUT DAFTAR PESERTA'!B74</f>
        <v>2509056060</v>
      </c>
      <c r="C76" s="26" t="str">
        <f>'INPUT DAFTAR PESERTA'!C74</f>
        <v>Daglish Santos Peke Deku</v>
      </c>
      <c r="D76" s="63"/>
      <c r="E76" s="63"/>
      <c r="F76" s="63"/>
      <c r="G76" s="63"/>
      <c r="H76" s="62">
        <f t="shared" si="1"/>
        <v>0</v>
      </c>
      <c r="I76" s="63"/>
      <c r="J76" s="63"/>
      <c r="K76" s="63"/>
      <c r="L76" s="63"/>
      <c r="M76" s="62">
        <f t="shared" si="2"/>
        <v>0</v>
      </c>
      <c r="N76" s="63"/>
      <c r="O76" s="63"/>
      <c r="P76" s="63"/>
      <c r="Q76" s="63"/>
      <c r="R76" s="62">
        <f t="shared" si="3"/>
        <v>0</v>
      </c>
      <c r="S76" s="63"/>
      <c r="T76" s="63"/>
      <c r="U76" s="63"/>
      <c r="V76" s="63"/>
      <c r="W76" s="62">
        <f t="shared" si="4"/>
        <v>0</v>
      </c>
      <c r="X76" s="27">
        <v>1.0</v>
      </c>
      <c r="Y76" s="27">
        <v>1.0</v>
      </c>
      <c r="Z76" s="27">
        <v>1.0</v>
      </c>
      <c r="AA76" s="27">
        <v>1.0</v>
      </c>
      <c r="AB76" s="62">
        <f t="shared" si="5"/>
        <v>30</v>
      </c>
      <c r="AC76" s="63"/>
      <c r="AD76" s="63"/>
      <c r="AE76" s="63"/>
      <c r="AF76" s="63"/>
      <c r="AG76" s="62">
        <f t="shared" si="6"/>
        <v>0</v>
      </c>
      <c r="AH76" s="63"/>
      <c r="AI76" s="63"/>
      <c r="AJ76" s="63"/>
      <c r="AK76" s="27"/>
      <c r="AL76" s="62">
        <f t="shared" si="7"/>
        <v>0</v>
      </c>
      <c r="AM76" s="63"/>
      <c r="AN76" s="63"/>
      <c r="AO76" s="63"/>
      <c r="AP76" s="63"/>
      <c r="AQ76" s="62">
        <f t="shared" si="8"/>
        <v>0</v>
      </c>
    </row>
    <row r="77">
      <c r="A77" s="7">
        <f>'INPUT DAFTAR PESERTA'!A75</f>
        <v>72</v>
      </c>
      <c r="B77" s="25">
        <f>'INPUT DAFTAR PESERTA'!B75</f>
        <v>2509056061</v>
      </c>
      <c r="C77" s="26" t="str">
        <f>'INPUT DAFTAR PESERTA'!C75</f>
        <v>Muhammad Yazid Ilmani</v>
      </c>
      <c r="D77" s="27">
        <v>3.0</v>
      </c>
      <c r="E77" s="27">
        <v>3.0</v>
      </c>
      <c r="F77" s="27">
        <v>3.0</v>
      </c>
      <c r="G77" s="27">
        <v>1.0</v>
      </c>
      <c r="H77" s="62">
        <f t="shared" si="1"/>
        <v>60</v>
      </c>
      <c r="I77" s="27">
        <v>3.0</v>
      </c>
      <c r="J77" s="27">
        <v>3.0</v>
      </c>
      <c r="K77" s="27">
        <v>3.0</v>
      </c>
      <c r="L77" s="27">
        <v>1.0</v>
      </c>
      <c r="M77" s="62">
        <f t="shared" si="2"/>
        <v>60</v>
      </c>
      <c r="N77" s="27">
        <v>2.0</v>
      </c>
      <c r="O77" s="27">
        <v>2.0</v>
      </c>
      <c r="P77" s="27">
        <v>3.0</v>
      </c>
      <c r="Q77" s="27">
        <v>1.0</v>
      </c>
      <c r="R77" s="62">
        <f t="shared" si="3"/>
        <v>51</v>
      </c>
      <c r="S77" s="27">
        <v>2.0</v>
      </c>
      <c r="T77" s="27">
        <v>3.0</v>
      </c>
      <c r="U77" s="27">
        <v>3.0</v>
      </c>
      <c r="V77" s="27">
        <v>2.0</v>
      </c>
      <c r="W77" s="62">
        <f t="shared" si="4"/>
        <v>72</v>
      </c>
      <c r="X77" s="27">
        <v>2.0</v>
      </c>
      <c r="Y77" s="27">
        <v>3.0</v>
      </c>
      <c r="Z77" s="27">
        <v>3.0</v>
      </c>
      <c r="AA77" s="27">
        <v>1.0</v>
      </c>
      <c r="AB77" s="62">
        <f t="shared" si="5"/>
        <v>57</v>
      </c>
      <c r="AC77" s="27">
        <v>3.0</v>
      </c>
      <c r="AD77" s="27">
        <v>3.0</v>
      </c>
      <c r="AE77" s="27">
        <v>3.0</v>
      </c>
      <c r="AF77" s="27">
        <v>2.0</v>
      </c>
      <c r="AG77" s="62">
        <f t="shared" si="6"/>
        <v>75</v>
      </c>
      <c r="AH77" s="27">
        <v>2.0</v>
      </c>
      <c r="AI77" s="27">
        <v>3.0</v>
      </c>
      <c r="AJ77" s="27">
        <v>3.0</v>
      </c>
      <c r="AK77" s="27">
        <v>3.0</v>
      </c>
      <c r="AL77" s="62">
        <f t="shared" si="7"/>
        <v>87</v>
      </c>
      <c r="AM77" s="27">
        <v>2.0</v>
      </c>
      <c r="AN77" s="27">
        <v>3.0</v>
      </c>
      <c r="AO77" s="27">
        <v>3.0</v>
      </c>
      <c r="AP77" s="27">
        <v>2.0</v>
      </c>
      <c r="AQ77" s="62">
        <f t="shared" si="8"/>
        <v>72</v>
      </c>
    </row>
    <row r="78">
      <c r="A78" s="7">
        <f>'INPUT DAFTAR PESERTA'!A76</f>
        <v>73</v>
      </c>
      <c r="B78" s="25">
        <f>'INPUT DAFTAR PESERTA'!B76</f>
        <v>2509056062</v>
      </c>
      <c r="C78" s="26" t="str">
        <f>'INPUT DAFTAR PESERTA'!C76</f>
        <v>Reyhan Feryand Tandililing</v>
      </c>
      <c r="D78" s="27">
        <v>3.0</v>
      </c>
      <c r="E78" s="27">
        <v>3.0</v>
      </c>
      <c r="F78" s="27">
        <v>3.0</v>
      </c>
      <c r="G78" s="27">
        <v>2.0</v>
      </c>
      <c r="H78" s="62">
        <f t="shared" si="1"/>
        <v>75</v>
      </c>
      <c r="I78" s="27">
        <v>3.0</v>
      </c>
      <c r="J78" s="27">
        <v>3.0</v>
      </c>
      <c r="K78" s="27">
        <v>3.0</v>
      </c>
      <c r="L78" s="27">
        <v>2.0</v>
      </c>
      <c r="M78" s="62">
        <f t="shared" si="2"/>
        <v>75</v>
      </c>
      <c r="N78" s="27">
        <v>2.0</v>
      </c>
      <c r="O78" s="27">
        <v>3.0</v>
      </c>
      <c r="P78" s="27">
        <v>3.0</v>
      </c>
      <c r="Q78" s="27">
        <v>1.0</v>
      </c>
      <c r="R78" s="62">
        <f t="shared" si="3"/>
        <v>57</v>
      </c>
      <c r="S78" s="27">
        <v>2.0</v>
      </c>
      <c r="T78" s="27">
        <v>3.0</v>
      </c>
      <c r="U78" s="27">
        <v>3.0</v>
      </c>
      <c r="V78" s="27">
        <v>3.0</v>
      </c>
      <c r="W78" s="62">
        <f t="shared" si="4"/>
        <v>87</v>
      </c>
      <c r="X78" s="27">
        <v>2.0</v>
      </c>
      <c r="Y78" s="27">
        <v>2.0</v>
      </c>
      <c r="Z78" s="27">
        <v>2.0</v>
      </c>
      <c r="AA78" s="27">
        <v>1.0</v>
      </c>
      <c r="AB78" s="62">
        <f t="shared" si="5"/>
        <v>45</v>
      </c>
      <c r="AC78" s="27">
        <v>3.0</v>
      </c>
      <c r="AD78" s="27">
        <v>3.0</v>
      </c>
      <c r="AE78" s="27">
        <v>3.0</v>
      </c>
      <c r="AF78" s="27">
        <v>2.0</v>
      </c>
      <c r="AG78" s="62">
        <f t="shared" si="6"/>
        <v>75</v>
      </c>
      <c r="AH78" s="27">
        <v>2.0</v>
      </c>
      <c r="AI78" s="27">
        <v>3.0</v>
      </c>
      <c r="AJ78" s="27">
        <v>3.0</v>
      </c>
      <c r="AK78" s="27">
        <v>2.0</v>
      </c>
      <c r="AL78" s="62">
        <f t="shared" si="7"/>
        <v>72</v>
      </c>
      <c r="AM78" s="27">
        <v>2.0</v>
      </c>
      <c r="AN78" s="27">
        <v>3.0</v>
      </c>
      <c r="AO78" s="27">
        <v>3.0</v>
      </c>
      <c r="AP78" s="27">
        <v>3.0</v>
      </c>
      <c r="AQ78" s="62">
        <f t="shared" si="8"/>
        <v>87</v>
      </c>
    </row>
    <row r="79">
      <c r="A79" s="7">
        <f>'INPUT DAFTAR PESERTA'!A77</f>
        <v>74</v>
      </c>
      <c r="B79" s="25">
        <f>'INPUT DAFTAR PESERTA'!B77</f>
        <v>2509056063</v>
      </c>
      <c r="C79" s="26" t="str">
        <f>'INPUT DAFTAR PESERTA'!C77</f>
        <v>Riski Apryanto</v>
      </c>
      <c r="D79" s="63"/>
      <c r="E79" s="63"/>
      <c r="F79" s="63"/>
      <c r="G79" s="63"/>
      <c r="H79" s="62">
        <f t="shared" si="1"/>
        <v>0</v>
      </c>
      <c r="I79" s="63"/>
      <c r="J79" s="63"/>
      <c r="K79" s="63"/>
      <c r="L79" s="63"/>
      <c r="M79" s="62">
        <f t="shared" si="2"/>
        <v>0</v>
      </c>
      <c r="N79" s="63"/>
      <c r="O79" s="63"/>
      <c r="P79" s="63"/>
      <c r="Q79" s="63"/>
      <c r="R79" s="62">
        <f t="shared" si="3"/>
        <v>0</v>
      </c>
      <c r="S79" s="63"/>
      <c r="T79" s="63"/>
      <c r="U79" s="63"/>
      <c r="V79" s="63"/>
      <c r="W79" s="62">
        <f t="shared" si="4"/>
        <v>0</v>
      </c>
      <c r="X79" s="27">
        <v>1.0</v>
      </c>
      <c r="Y79" s="27">
        <v>1.0</v>
      </c>
      <c r="Z79" s="27">
        <v>1.0</v>
      </c>
      <c r="AA79" s="27">
        <v>1.0</v>
      </c>
      <c r="AB79" s="62">
        <f t="shared" si="5"/>
        <v>30</v>
      </c>
      <c r="AC79" s="27">
        <v>3.0</v>
      </c>
      <c r="AD79" s="27">
        <v>3.0</v>
      </c>
      <c r="AE79" s="27">
        <v>3.0</v>
      </c>
      <c r="AF79" s="27">
        <v>2.0</v>
      </c>
      <c r="AG79" s="62">
        <f t="shared" si="6"/>
        <v>75</v>
      </c>
      <c r="AH79" s="63"/>
      <c r="AI79" s="63"/>
      <c r="AJ79" s="63"/>
      <c r="AK79" s="63"/>
      <c r="AL79" s="62">
        <f t="shared" si="7"/>
        <v>0</v>
      </c>
      <c r="AM79" s="63"/>
      <c r="AN79" s="63"/>
      <c r="AO79" s="63"/>
      <c r="AP79" s="63"/>
      <c r="AQ79" s="62">
        <f t="shared" si="8"/>
        <v>0</v>
      </c>
    </row>
    <row r="80">
      <c r="A80" s="7">
        <f>'INPUT DAFTAR PESERTA'!A78</f>
        <v>75</v>
      </c>
      <c r="B80" s="25">
        <f>'INPUT DAFTAR PESERTA'!B78</f>
        <v>2509056064</v>
      </c>
      <c r="C80" s="26" t="str">
        <f>'INPUT DAFTAR PESERTA'!C78</f>
        <v>Dina Molitha Dwi Manggarani</v>
      </c>
      <c r="D80" s="27">
        <v>1.0</v>
      </c>
      <c r="E80" s="27">
        <v>2.0</v>
      </c>
      <c r="F80" s="27">
        <v>2.0</v>
      </c>
      <c r="G80" s="27">
        <v>2.0</v>
      </c>
      <c r="H80" s="62">
        <f t="shared" si="1"/>
        <v>57</v>
      </c>
      <c r="I80" s="27">
        <v>3.0</v>
      </c>
      <c r="J80" s="27">
        <v>3.0</v>
      </c>
      <c r="K80" s="27">
        <v>3.0</v>
      </c>
      <c r="L80" s="27">
        <v>3.0</v>
      </c>
      <c r="M80" s="62">
        <f t="shared" si="2"/>
        <v>90</v>
      </c>
      <c r="N80" s="27">
        <v>3.0</v>
      </c>
      <c r="O80" s="27">
        <v>3.0</v>
      </c>
      <c r="P80" s="27">
        <v>3.0</v>
      </c>
      <c r="Q80" s="27">
        <v>3.0</v>
      </c>
      <c r="R80" s="62">
        <f t="shared" si="3"/>
        <v>90</v>
      </c>
      <c r="S80" s="27">
        <v>2.0</v>
      </c>
      <c r="T80" s="27">
        <v>3.0</v>
      </c>
      <c r="U80" s="27">
        <v>3.0</v>
      </c>
      <c r="V80" s="27">
        <v>3.0</v>
      </c>
      <c r="W80" s="62">
        <f t="shared" si="4"/>
        <v>87</v>
      </c>
      <c r="X80" s="27">
        <v>2.0</v>
      </c>
      <c r="Y80" s="27">
        <v>2.0</v>
      </c>
      <c r="Z80" s="27">
        <v>2.0</v>
      </c>
      <c r="AA80" s="27">
        <v>3.0</v>
      </c>
      <c r="AB80" s="62">
        <f t="shared" si="5"/>
        <v>75</v>
      </c>
      <c r="AC80" s="27">
        <v>3.0</v>
      </c>
      <c r="AD80" s="27">
        <v>3.0</v>
      </c>
      <c r="AE80" s="27">
        <v>3.0</v>
      </c>
      <c r="AF80" s="27">
        <v>2.0</v>
      </c>
      <c r="AG80" s="62">
        <f t="shared" si="6"/>
        <v>75</v>
      </c>
      <c r="AH80" s="27">
        <v>2.0</v>
      </c>
      <c r="AI80" s="27">
        <v>3.0</v>
      </c>
      <c r="AJ80" s="27">
        <v>3.0</v>
      </c>
      <c r="AK80" s="27">
        <v>1.0</v>
      </c>
      <c r="AL80" s="62">
        <f t="shared" si="7"/>
        <v>57</v>
      </c>
      <c r="AM80" s="27">
        <v>2.0</v>
      </c>
      <c r="AN80" s="27">
        <v>3.0</v>
      </c>
      <c r="AO80" s="27">
        <v>3.0</v>
      </c>
      <c r="AP80" s="27">
        <v>3.0</v>
      </c>
      <c r="AQ80" s="62">
        <f t="shared" si="8"/>
        <v>87</v>
      </c>
    </row>
    <row r="81">
      <c r="A81" s="7">
        <f>'INPUT DAFTAR PESERTA'!A79</f>
        <v>76</v>
      </c>
      <c r="B81" s="25">
        <f>'INPUT DAFTAR PESERTA'!B79</f>
        <v>2509056065</v>
      </c>
      <c r="C81" s="26" t="str">
        <f>'INPUT DAFTAR PESERTA'!C79</f>
        <v>Ahmad Dival Halim</v>
      </c>
      <c r="D81" s="63"/>
      <c r="E81" s="63"/>
      <c r="F81" s="63"/>
      <c r="G81" s="27"/>
      <c r="H81" s="62">
        <f t="shared" si="1"/>
        <v>0</v>
      </c>
      <c r="I81" s="27">
        <v>3.0</v>
      </c>
      <c r="J81" s="27">
        <v>3.0</v>
      </c>
      <c r="K81" s="27">
        <v>3.0</v>
      </c>
      <c r="L81" s="27">
        <v>3.0</v>
      </c>
      <c r="M81" s="62">
        <f t="shared" si="2"/>
        <v>90</v>
      </c>
      <c r="N81" s="27">
        <v>2.0</v>
      </c>
      <c r="O81" s="27">
        <v>2.0</v>
      </c>
      <c r="P81" s="27">
        <v>3.0</v>
      </c>
      <c r="Q81" s="27">
        <v>2.0</v>
      </c>
      <c r="R81" s="62">
        <f t="shared" si="3"/>
        <v>66</v>
      </c>
      <c r="S81" s="27">
        <v>2.0</v>
      </c>
      <c r="T81" s="27">
        <v>3.0</v>
      </c>
      <c r="U81" s="27">
        <v>3.0</v>
      </c>
      <c r="V81" s="27">
        <v>1.0</v>
      </c>
      <c r="W81" s="62">
        <f t="shared" si="4"/>
        <v>57</v>
      </c>
      <c r="X81" s="27">
        <v>2.0</v>
      </c>
      <c r="Y81" s="27">
        <v>2.0</v>
      </c>
      <c r="Z81" s="27">
        <v>2.0</v>
      </c>
      <c r="AA81" s="27">
        <v>1.0</v>
      </c>
      <c r="AB81" s="62">
        <f t="shared" si="5"/>
        <v>45</v>
      </c>
      <c r="AC81" s="27">
        <v>3.0</v>
      </c>
      <c r="AD81" s="27">
        <v>3.0</v>
      </c>
      <c r="AE81" s="27">
        <v>3.0</v>
      </c>
      <c r="AF81" s="27">
        <v>2.0</v>
      </c>
      <c r="AG81" s="62">
        <f t="shared" si="6"/>
        <v>75</v>
      </c>
      <c r="AH81" s="27">
        <v>2.0</v>
      </c>
      <c r="AI81" s="27">
        <v>3.0</v>
      </c>
      <c r="AJ81" s="27">
        <v>3.0</v>
      </c>
      <c r="AK81" s="27">
        <v>1.0</v>
      </c>
      <c r="AL81" s="62">
        <f t="shared" si="7"/>
        <v>57</v>
      </c>
      <c r="AM81" s="27">
        <v>2.0</v>
      </c>
      <c r="AN81" s="27">
        <v>3.0</v>
      </c>
      <c r="AO81" s="27">
        <v>3.0</v>
      </c>
      <c r="AP81" s="27">
        <v>1.0</v>
      </c>
      <c r="AQ81" s="62">
        <f t="shared" si="8"/>
        <v>57</v>
      </c>
    </row>
    <row r="82">
      <c r="A82" s="7">
        <f>'INPUT DAFTAR PESERTA'!A80</f>
        <v>77</v>
      </c>
      <c r="B82" s="25">
        <f>'INPUT DAFTAR PESERTA'!B80</f>
        <v>2509056066</v>
      </c>
      <c r="C82" s="26" t="str">
        <f>'INPUT DAFTAR PESERTA'!C80</f>
        <v>Sultan Islamy Pasha</v>
      </c>
      <c r="D82" s="27">
        <v>3.0</v>
      </c>
      <c r="E82" s="27">
        <v>3.0</v>
      </c>
      <c r="F82" s="27">
        <v>3.0</v>
      </c>
      <c r="G82" s="27">
        <v>2.0</v>
      </c>
      <c r="H82" s="62">
        <f t="shared" si="1"/>
        <v>75</v>
      </c>
      <c r="I82" s="27">
        <v>3.0</v>
      </c>
      <c r="J82" s="27">
        <v>3.0</v>
      </c>
      <c r="K82" s="27">
        <v>3.0</v>
      </c>
      <c r="L82" s="27">
        <v>2.0</v>
      </c>
      <c r="M82" s="62">
        <f t="shared" si="2"/>
        <v>75</v>
      </c>
      <c r="N82" s="27">
        <v>2.0</v>
      </c>
      <c r="O82" s="27">
        <v>3.0</v>
      </c>
      <c r="P82" s="27">
        <v>3.0</v>
      </c>
      <c r="Q82" s="27">
        <v>1.0</v>
      </c>
      <c r="R82" s="62">
        <f t="shared" si="3"/>
        <v>57</v>
      </c>
      <c r="S82" s="27">
        <v>2.0</v>
      </c>
      <c r="T82" s="27">
        <v>3.0</v>
      </c>
      <c r="U82" s="27">
        <v>3.0</v>
      </c>
      <c r="V82" s="27">
        <v>1.0</v>
      </c>
      <c r="W82" s="62">
        <f t="shared" si="4"/>
        <v>57</v>
      </c>
      <c r="X82" s="27">
        <v>2.0</v>
      </c>
      <c r="Y82" s="27">
        <v>2.0</v>
      </c>
      <c r="Z82" s="27">
        <v>2.0</v>
      </c>
      <c r="AA82" s="27">
        <v>3.0</v>
      </c>
      <c r="AB82" s="62">
        <f t="shared" si="5"/>
        <v>75</v>
      </c>
      <c r="AC82" s="27">
        <v>3.0</v>
      </c>
      <c r="AD82" s="27">
        <v>3.0</v>
      </c>
      <c r="AE82" s="27">
        <v>3.0</v>
      </c>
      <c r="AF82" s="27">
        <v>2.0</v>
      </c>
      <c r="AG82" s="62">
        <f t="shared" si="6"/>
        <v>75</v>
      </c>
      <c r="AH82" s="63"/>
      <c r="AI82" s="63"/>
      <c r="AJ82" s="63"/>
      <c r="AK82" s="63"/>
      <c r="AL82" s="62">
        <f t="shared" si="7"/>
        <v>0</v>
      </c>
      <c r="AM82" s="27">
        <v>2.0</v>
      </c>
      <c r="AN82" s="27">
        <v>3.0</v>
      </c>
      <c r="AO82" s="27">
        <v>3.0</v>
      </c>
      <c r="AP82" s="27">
        <v>1.0</v>
      </c>
      <c r="AQ82" s="62">
        <f t="shared" si="8"/>
        <v>57</v>
      </c>
    </row>
    <row r="83">
      <c r="A83" s="7">
        <f>'INPUT DAFTAR PESERTA'!A81</f>
        <v>78</v>
      </c>
      <c r="B83" s="25">
        <f>'INPUT DAFTAR PESERTA'!B81</f>
        <v>2509056069</v>
      </c>
      <c r="C83" s="26" t="str">
        <f>'INPUT DAFTAR PESERTA'!C81</f>
        <v>Reyhan Resqy Pratama</v>
      </c>
      <c r="D83" s="63"/>
      <c r="E83" s="63"/>
      <c r="F83" s="63"/>
      <c r="G83" s="63"/>
      <c r="H83" s="62">
        <f t="shared" si="1"/>
        <v>0</v>
      </c>
      <c r="I83" s="63"/>
      <c r="J83" s="63"/>
      <c r="K83" s="63"/>
      <c r="L83" s="63"/>
      <c r="M83" s="62">
        <f t="shared" si="2"/>
        <v>0</v>
      </c>
      <c r="N83" s="63"/>
      <c r="O83" s="63"/>
      <c r="P83" s="63"/>
      <c r="Q83" s="63"/>
      <c r="R83" s="62">
        <f t="shared" si="3"/>
        <v>0</v>
      </c>
      <c r="S83" s="63"/>
      <c r="T83" s="63"/>
      <c r="U83" s="63"/>
      <c r="V83" s="63"/>
      <c r="W83" s="62">
        <f t="shared" si="4"/>
        <v>0</v>
      </c>
      <c r="X83" s="27">
        <v>1.0</v>
      </c>
      <c r="Y83" s="27">
        <v>1.0</v>
      </c>
      <c r="Z83" s="27">
        <v>1.0</v>
      </c>
      <c r="AA83" s="27">
        <v>1.0</v>
      </c>
      <c r="AB83" s="62">
        <f t="shared" si="5"/>
        <v>30</v>
      </c>
      <c r="AC83" s="27">
        <v>3.0</v>
      </c>
      <c r="AD83" s="27">
        <v>3.0</v>
      </c>
      <c r="AE83" s="27">
        <v>3.0</v>
      </c>
      <c r="AF83" s="27">
        <v>2.0</v>
      </c>
      <c r="AG83" s="62">
        <f t="shared" si="6"/>
        <v>75</v>
      </c>
      <c r="AH83" s="63"/>
      <c r="AI83" s="63"/>
      <c r="AJ83" s="63"/>
      <c r="AK83" s="63"/>
      <c r="AL83" s="62">
        <f t="shared" si="7"/>
        <v>0</v>
      </c>
      <c r="AM83" s="27">
        <v>2.0</v>
      </c>
      <c r="AN83" s="27">
        <v>3.0</v>
      </c>
      <c r="AO83" s="27">
        <v>3.0</v>
      </c>
      <c r="AP83" s="27">
        <v>3.0</v>
      </c>
      <c r="AQ83" s="62">
        <f t="shared" si="8"/>
        <v>87</v>
      </c>
    </row>
    <row r="84">
      <c r="A84" s="7">
        <f>'INPUT DAFTAR PESERTA'!A82</f>
        <v>79</v>
      </c>
      <c r="B84" s="25">
        <f>'INPUT DAFTAR PESERTA'!B82</f>
        <v>2509056070</v>
      </c>
      <c r="C84" s="26" t="str">
        <f>'INPUT DAFTAR PESERTA'!C82</f>
        <v>Riendri Novtrianto Luden</v>
      </c>
      <c r="D84" s="63"/>
      <c r="E84" s="63"/>
      <c r="F84" s="63"/>
      <c r="G84" s="63"/>
      <c r="H84" s="62">
        <f t="shared" si="1"/>
        <v>0</v>
      </c>
      <c r="I84" s="63"/>
      <c r="J84" s="63"/>
      <c r="K84" s="63"/>
      <c r="L84" s="63"/>
      <c r="M84" s="62">
        <f t="shared" si="2"/>
        <v>0</v>
      </c>
      <c r="N84" s="63"/>
      <c r="O84" s="63"/>
      <c r="P84" s="63"/>
      <c r="Q84" s="63"/>
      <c r="R84" s="62">
        <f t="shared" si="3"/>
        <v>0</v>
      </c>
      <c r="S84" s="63"/>
      <c r="T84" s="63"/>
      <c r="U84" s="63"/>
      <c r="V84" s="63"/>
      <c r="W84" s="62">
        <f t="shared" si="4"/>
        <v>0</v>
      </c>
      <c r="X84" s="27">
        <v>1.0</v>
      </c>
      <c r="Y84" s="27">
        <v>1.0</v>
      </c>
      <c r="Z84" s="27">
        <v>1.0</v>
      </c>
      <c r="AA84" s="27">
        <v>1.0</v>
      </c>
      <c r="AB84" s="62">
        <f t="shared" si="5"/>
        <v>30</v>
      </c>
      <c r="AC84" s="63"/>
      <c r="AD84" s="63"/>
      <c r="AE84" s="63"/>
      <c r="AF84" s="63"/>
      <c r="AG84" s="62">
        <f t="shared" si="6"/>
        <v>0</v>
      </c>
      <c r="AH84" s="63"/>
      <c r="AI84" s="63"/>
      <c r="AJ84" s="63"/>
      <c r="AK84" s="63"/>
      <c r="AL84" s="62">
        <f t="shared" si="7"/>
        <v>0</v>
      </c>
      <c r="AM84" s="63"/>
      <c r="AN84" s="63"/>
      <c r="AO84" s="63"/>
      <c r="AP84" s="63"/>
      <c r="AQ84" s="62">
        <f t="shared" si="8"/>
        <v>0</v>
      </c>
    </row>
    <row r="85">
      <c r="A85" s="7">
        <f>'INPUT DAFTAR PESERTA'!A83</f>
        <v>80</v>
      </c>
      <c r="B85" s="25">
        <f>'INPUT DAFTAR PESERTA'!B83</f>
        <v>2509056071</v>
      </c>
      <c r="C85" s="26" t="str">
        <f>'INPUT DAFTAR PESERTA'!C83</f>
        <v>Ergie Yehezkiel Simanjuntak</v>
      </c>
      <c r="D85" s="63"/>
      <c r="E85" s="63"/>
      <c r="F85" s="63"/>
      <c r="G85" s="63"/>
      <c r="H85" s="62">
        <f t="shared" si="1"/>
        <v>0</v>
      </c>
      <c r="I85" s="63"/>
      <c r="J85" s="63"/>
      <c r="K85" s="63"/>
      <c r="L85" s="63"/>
      <c r="M85" s="62">
        <f t="shared" si="2"/>
        <v>0</v>
      </c>
      <c r="N85" s="63"/>
      <c r="O85" s="63"/>
      <c r="P85" s="63"/>
      <c r="Q85" s="63"/>
      <c r="R85" s="62">
        <f t="shared" si="3"/>
        <v>0</v>
      </c>
      <c r="S85" s="63"/>
      <c r="T85" s="63"/>
      <c r="U85" s="63"/>
      <c r="V85" s="63"/>
      <c r="W85" s="62">
        <f t="shared" si="4"/>
        <v>0</v>
      </c>
      <c r="X85" s="27">
        <v>1.0</v>
      </c>
      <c r="Y85" s="27">
        <v>1.0</v>
      </c>
      <c r="Z85" s="27">
        <v>1.0</v>
      </c>
      <c r="AA85" s="27">
        <v>1.0</v>
      </c>
      <c r="AB85" s="62">
        <f t="shared" si="5"/>
        <v>30</v>
      </c>
      <c r="AC85" s="63"/>
      <c r="AD85" s="63"/>
      <c r="AE85" s="63"/>
      <c r="AF85" s="63"/>
      <c r="AG85" s="62">
        <f t="shared" si="6"/>
        <v>0</v>
      </c>
      <c r="AH85" s="63"/>
      <c r="AI85" s="63"/>
      <c r="AJ85" s="63"/>
      <c r="AK85" s="63"/>
      <c r="AL85" s="62">
        <f t="shared" si="7"/>
        <v>0</v>
      </c>
      <c r="AM85" s="63"/>
      <c r="AN85" s="63"/>
      <c r="AO85" s="63"/>
      <c r="AP85" s="63"/>
      <c r="AQ85" s="62">
        <f t="shared" si="8"/>
        <v>0</v>
      </c>
    </row>
    <row r="86">
      <c r="A86" s="7">
        <f>'INPUT DAFTAR PESERTA'!A84</f>
        <v>81</v>
      </c>
      <c r="B86" s="25">
        <f>'INPUT DAFTAR PESERTA'!B84</f>
        <v>2509056072</v>
      </c>
      <c r="C86" s="26" t="str">
        <f>'INPUT DAFTAR PESERTA'!C84</f>
        <v>Nobergotardo .A</v>
      </c>
      <c r="D86" s="63"/>
      <c r="E86" s="63"/>
      <c r="F86" s="63"/>
      <c r="G86" s="63"/>
      <c r="H86" s="62">
        <f t="shared" si="1"/>
        <v>0</v>
      </c>
      <c r="I86" s="63"/>
      <c r="J86" s="63"/>
      <c r="K86" s="63"/>
      <c r="L86" s="63"/>
      <c r="M86" s="62">
        <f t="shared" si="2"/>
        <v>0</v>
      </c>
      <c r="N86" s="63"/>
      <c r="O86" s="63"/>
      <c r="P86" s="63"/>
      <c r="Q86" s="63"/>
      <c r="R86" s="62">
        <f t="shared" si="3"/>
        <v>0</v>
      </c>
      <c r="S86" s="63"/>
      <c r="T86" s="63"/>
      <c r="U86" s="63"/>
      <c r="V86" s="63"/>
      <c r="W86" s="62">
        <f t="shared" si="4"/>
        <v>0</v>
      </c>
      <c r="X86" s="27">
        <v>1.0</v>
      </c>
      <c r="Y86" s="27">
        <v>1.0</v>
      </c>
      <c r="Z86" s="27">
        <v>1.0</v>
      </c>
      <c r="AA86" s="27">
        <v>1.0</v>
      </c>
      <c r="AB86" s="62">
        <f t="shared" si="5"/>
        <v>30</v>
      </c>
      <c r="AC86" s="63"/>
      <c r="AD86" s="63"/>
      <c r="AE86" s="63"/>
      <c r="AF86" s="63"/>
      <c r="AG86" s="62">
        <f t="shared" si="6"/>
        <v>0</v>
      </c>
      <c r="AH86" s="63"/>
      <c r="AI86" s="63"/>
      <c r="AJ86" s="63"/>
      <c r="AK86" s="63"/>
      <c r="AL86" s="62">
        <f t="shared" si="7"/>
        <v>0</v>
      </c>
      <c r="AM86" s="63"/>
      <c r="AN86" s="63"/>
      <c r="AO86" s="63"/>
      <c r="AP86" s="63"/>
      <c r="AQ86" s="62">
        <f t="shared" si="8"/>
        <v>0</v>
      </c>
    </row>
    <row r="87">
      <c r="A87" s="7">
        <f>'INPUT DAFTAR PESERTA'!A85</f>
        <v>82</v>
      </c>
      <c r="B87" s="25">
        <f>'INPUT DAFTAR PESERTA'!B85</f>
        <v>2509056073</v>
      </c>
      <c r="C87" s="26" t="str">
        <f>'INPUT DAFTAR PESERTA'!C85</f>
        <v>Rasikhah Fitri</v>
      </c>
      <c r="D87" s="63"/>
      <c r="E87" s="63"/>
      <c r="F87" s="63"/>
      <c r="G87" s="63"/>
      <c r="H87" s="62">
        <f t="shared" si="1"/>
        <v>0</v>
      </c>
      <c r="I87" s="63"/>
      <c r="J87" s="63"/>
      <c r="K87" s="63"/>
      <c r="L87" s="63"/>
      <c r="M87" s="62">
        <f t="shared" si="2"/>
        <v>0</v>
      </c>
      <c r="N87" s="63"/>
      <c r="O87" s="63"/>
      <c r="P87" s="63"/>
      <c r="Q87" s="63"/>
      <c r="R87" s="62">
        <f t="shared" si="3"/>
        <v>0</v>
      </c>
      <c r="S87" s="63"/>
      <c r="T87" s="63"/>
      <c r="U87" s="63"/>
      <c r="V87" s="63"/>
      <c r="W87" s="62">
        <f t="shared" si="4"/>
        <v>0</v>
      </c>
      <c r="X87" s="27">
        <v>1.0</v>
      </c>
      <c r="Y87" s="27">
        <v>1.0</v>
      </c>
      <c r="Z87" s="27">
        <v>1.0</v>
      </c>
      <c r="AA87" s="27">
        <v>1.0</v>
      </c>
      <c r="AB87" s="62">
        <f t="shared" si="5"/>
        <v>30</v>
      </c>
      <c r="AC87" s="63"/>
      <c r="AD87" s="63"/>
      <c r="AE87" s="63"/>
      <c r="AF87" s="63"/>
      <c r="AG87" s="62">
        <f t="shared" si="6"/>
        <v>0</v>
      </c>
      <c r="AH87" s="63"/>
      <c r="AI87" s="63"/>
      <c r="AJ87" s="63"/>
      <c r="AK87" s="63"/>
      <c r="AL87" s="62">
        <f t="shared" si="7"/>
        <v>0</v>
      </c>
      <c r="AM87" s="63"/>
      <c r="AN87" s="63"/>
      <c r="AO87" s="63"/>
      <c r="AP87" s="63"/>
      <c r="AQ87" s="62">
        <f t="shared" si="8"/>
        <v>0</v>
      </c>
    </row>
    <row r="88">
      <c r="A88" s="7">
        <f>'INPUT DAFTAR PESERTA'!A86</f>
        <v>83</v>
      </c>
      <c r="B88" s="25">
        <f>'INPUT DAFTAR PESERTA'!B86</f>
        <v>2509056075</v>
      </c>
      <c r="C88" s="26" t="str">
        <f>'INPUT DAFTAR PESERTA'!C86</f>
        <v>Cantika Salwa Hanifa</v>
      </c>
      <c r="D88" s="63"/>
      <c r="E88" s="63"/>
      <c r="F88" s="63"/>
      <c r="G88" s="63"/>
      <c r="H88" s="62">
        <f t="shared" si="1"/>
        <v>0</v>
      </c>
      <c r="I88" s="63"/>
      <c r="J88" s="63"/>
      <c r="K88" s="63"/>
      <c r="L88" s="63"/>
      <c r="M88" s="62">
        <f t="shared" si="2"/>
        <v>0</v>
      </c>
      <c r="N88" s="27"/>
      <c r="O88" s="27"/>
      <c r="P88" s="27"/>
      <c r="Q88" s="27"/>
      <c r="R88" s="62">
        <f t="shared" si="3"/>
        <v>0</v>
      </c>
      <c r="S88" s="7">
        <v>3.0</v>
      </c>
      <c r="T88" s="7">
        <v>3.0</v>
      </c>
      <c r="U88" s="7">
        <v>3.0</v>
      </c>
      <c r="V88" s="7">
        <v>1.0</v>
      </c>
      <c r="W88" s="62">
        <f t="shared" si="4"/>
        <v>60</v>
      </c>
      <c r="X88" s="27">
        <v>2.0</v>
      </c>
      <c r="Y88" s="27">
        <v>3.0</v>
      </c>
      <c r="Z88" s="27">
        <v>3.0</v>
      </c>
      <c r="AA88" s="27">
        <v>3.0</v>
      </c>
      <c r="AB88" s="62">
        <f t="shared" si="5"/>
        <v>87</v>
      </c>
      <c r="AC88" s="27">
        <v>3.0</v>
      </c>
      <c r="AD88" s="27">
        <v>3.0</v>
      </c>
      <c r="AE88" s="27">
        <v>3.0</v>
      </c>
      <c r="AF88" s="27">
        <v>2.0</v>
      </c>
      <c r="AG88" s="62">
        <f t="shared" si="6"/>
        <v>75</v>
      </c>
      <c r="AH88" s="27">
        <v>2.0</v>
      </c>
      <c r="AI88" s="27">
        <v>3.0</v>
      </c>
      <c r="AJ88" s="27">
        <v>3.0</v>
      </c>
      <c r="AK88" s="27">
        <v>1.0</v>
      </c>
      <c r="AL88" s="62">
        <f t="shared" si="7"/>
        <v>57</v>
      </c>
      <c r="AM88" s="63"/>
      <c r="AN88" s="63"/>
      <c r="AO88" s="63"/>
      <c r="AP88" s="63"/>
      <c r="AQ88" s="62">
        <f t="shared" si="8"/>
        <v>0</v>
      </c>
    </row>
    <row r="89">
      <c r="A89" s="7">
        <f>'INPUT DAFTAR PESERTA'!A87</f>
        <v>84</v>
      </c>
      <c r="B89" s="25">
        <f>'INPUT DAFTAR PESERTA'!B87</f>
        <v>2509056076</v>
      </c>
      <c r="C89" s="26" t="str">
        <f>'INPUT DAFTAR PESERTA'!C87</f>
        <v>Andi Arief Bintang</v>
      </c>
      <c r="D89" s="27">
        <v>3.0</v>
      </c>
      <c r="E89" s="27">
        <v>3.0</v>
      </c>
      <c r="F89" s="27">
        <v>3.0</v>
      </c>
      <c r="G89" s="27">
        <v>1.0</v>
      </c>
      <c r="H89" s="62">
        <f t="shared" si="1"/>
        <v>60</v>
      </c>
      <c r="I89" s="27">
        <v>3.0</v>
      </c>
      <c r="J89" s="27">
        <v>3.0</v>
      </c>
      <c r="K89" s="27">
        <v>3.0</v>
      </c>
      <c r="L89" s="27">
        <v>1.0</v>
      </c>
      <c r="M89" s="62">
        <f t="shared" si="2"/>
        <v>60</v>
      </c>
      <c r="N89" s="27">
        <v>3.0</v>
      </c>
      <c r="O89" s="27">
        <v>3.0</v>
      </c>
      <c r="P89" s="27">
        <v>3.0</v>
      </c>
      <c r="Q89" s="27">
        <v>1.0</v>
      </c>
      <c r="R89" s="62">
        <f t="shared" si="3"/>
        <v>60</v>
      </c>
      <c r="S89" s="7">
        <v>3.0</v>
      </c>
      <c r="T89" s="7">
        <v>3.0</v>
      </c>
      <c r="U89" s="7">
        <v>3.0</v>
      </c>
      <c r="V89" s="7">
        <v>1.0</v>
      </c>
      <c r="W89" s="62">
        <f t="shared" si="4"/>
        <v>60</v>
      </c>
      <c r="X89" s="27">
        <v>2.0</v>
      </c>
      <c r="Y89" s="27">
        <v>3.0</v>
      </c>
      <c r="Z89" s="27">
        <v>3.0</v>
      </c>
      <c r="AA89" s="27">
        <v>3.0</v>
      </c>
      <c r="AB89" s="62">
        <f t="shared" si="5"/>
        <v>87</v>
      </c>
      <c r="AC89" s="27">
        <v>3.0</v>
      </c>
      <c r="AD89" s="27">
        <v>3.0</v>
      </c>
      <c r="AE89" s="27">
        <v>3.0</v>
      </c>
      <c r="AF89" s="27">
        <v>2.0</v>
      </c>
      <c r="AG89" s="62">
        <f t="shared" si="6"/>
        <v>75</v>
      </c>
      <c r="AH89" s="27">
        <v>2.0</v>
      </c>
      <c r="AI89" s="27">
        <v>3.0</v>
      </c>
      <c r="AJ89" s="27">
        <v>3.0</v>
      </c>
      <c r="AK89" s="27">
        <v>1.0</v>
      </c>
      <c r="AL89" s="62">
        <f t="shared" si="7"/>
        <v>57</v>
      </c>
      <c r="AM89" s="27">
        <v>3.0</v>
      </c>
      <c r="AN89" s="27">
        <v>3.0</v>
      </c>
      <c r="AO89" s="27">
        <v>3.0</v>
      </c>
      <c r="AP89" s="27">
        <v>3.0</v>
      </c>
      <c r="AQ89" s="62">
        <f t="shared" si="8"/>
        <v>90</v>
      </c>
    </row>
    <row r="90">
      <c r="A90" s="7">
        <f>'INPUT DAFTAR PESERTA'!A88</f>
        <v>85</v>
      </c>
      <c r="B90" s="25">
        <f>'INPUT DAFTAR PESERTA'!B88</f>
        <v>2509056077</v>
      </c>
      <c r="C90" s="26" t="str">
        <f>'INPUT DAFTAR PESERTA'!C88</f>
        <v>Al Hamdan</v>
      </c>
      <c r="D90" s="63"/>
      <c r="E90" s="63"/>
      <c r="F90" s="63"/>
      <c r="G90" s="63"/>
      <c r="H90" s="62">
        <f t="shared" si="1"/>
        <v>0</v>
      </c>
      <c r="I90" s="63"/>
      <c r="J90" s="63"/>
      <c r="K90" s="63"/>
      <c r="L90" s="63"/>
      <c r="M90" s="62">
        <f t="shared" si="2"/>
        <v>0</v>
      </c>
      <c r="N90" s="63"/>
      <c r="O90" s="63"/>
      <c r="P90" s="63"/>
      <c r="Q90" s="63"/>
      <c r="R90" s="62">
        <f t="shared" si="3"/>
        <v>0</v>
      </c>
      <c r="S90" s="63"/>
      <c r="T90" s="63"/>
      <c r="U90" s="63"/>
      <c r="V90" s="63"/>
      <c r="W90" s="62">
        <f t="shared" si="4"/>
        <v>0</v>
      </c>
      <c r="X90" s="27">
        <v>1.0</v>
      </c>
      <c r="Y90" s="27">
        <v>1.0</v>
      </c>
      <c r="Z90" s="27">
        <v>1.0</v>
      </c>
      <c r="AA90" s="27">
        <v>1.0</v>
      </c>
      <c r="AB90" s="62">
        <f t="shared" si="5"/>
        <v>30</v>
      </c>
      <c r="AC90" s="27">
        <v>3.0</v>
      </c>
      <c r="AD90" s="27">
        <v>3.0</v>
      </c>
      <c r="AE90" s="27">
        <v>3.0</v>
      </c>
      <c r="AF90" s="27">
        <v>2.0</v>
      </c>
      <c r="AG90" s="62">
        <f t="shared" si="6"/>
        <v>75</v>
      </c>
      <c r="AH90" s="63"/>
      <c r="AI90" s="63"/>
      <c r="AJ90" s="63"/>
      <c r="AK90" s="63"/>
      <c r="AL90" s="62">
        <f t="shared" si="7"/>
        <v>0</v>
      </c>
      <c r="AM90" s="63"/>
      <c r="AN90" s="63"/>
      <c r="AO90" s="63"/>
      <c r="AP90" s="63"/>
      <c r="AQ90" s="62">
        <f t="shared" si="8"/>
        <v>0</v>
      </c>
    </row>
    <row r="91">
      <c r="A91" s="7">
        <f>'INPUT DAFTAR PESERTA'!A89</f>
        <v>86</v>
      </c>
      <c r="B91" s="7">
        <f>'INPUT DAFTAR PESERTA'!B89</f>
        <v>2509056074</v>
      </c>
      <c r="C91" s="26" t="str">
        <f>'INPUT DAFTAR PESERTA'!C89</f>
        <v>Andi Muhammad Caeril Irfan</v>
      </c>
      <c r="D91" s="63"/>
      <c r="E91" s="63"/>
      <c r="F91" s="63"/>
      <c r="G91" s="63"/>
      <c r="H91" s="62">
        <f t="shared" si="1"/>
        <v>0</v>
      </c>
      <c r="I91" s="63"/>
      <c r="J91" s="63"/>
      <c r="K91" s="63"/>
      <c r="L91" s="63"/>
      <c r="M91" s="62">
        <f t="shared" si="2"/>
        <v>0</v>
      </c>
      <c r="N91" s="63"/>
      <c r="O91" s="63"/>
      <c r="P91" s="63"/>
      <c r="Q91" s="63"/>
      <c r="R91" s="62">
        <f t="shared" si="3"/>
        <v>0</v>
      </c>
      <c r="S91" s="63"/>
      <c r="T91" s="63"/>
      <c r="U91" s="63"/>
      <c r="V91" s="63"/>
      <c r="W91" s="62">
        <f t="shared" si="4"/>
        <v>0</v>
      </c>
      <c r="X91" s="27">
        <v>1.0</v>
      </c>
      <c r="Y91" s="27">
        <v>1.0</v>
      </c>
      <c r="Z91" s="27">
        <v>1.0</v>
      </c>
      <c r="AA91" s="27">
        <v>1.0</v>
      </c>
      <c r="AB91" s="62">
        <f t="shared" si="5"/>
        <v>30</v>
      </c>
      <c r="AC91" s="63"/>
      <c r="AD91" s="63"/>
      <c r="AE91" s="63"/>
      <c r="AF91" s="63"/>
      <c r="AG91" s="62">
        <f t="shared" si="6"/>
        <v>0</v>
      </c>
      <c r="AH91" s="27">
        <v>2.0</v>
      </c>
      <c r="AI91" s="27">
        <v>3.0</v>
      </c>
      <c r="AJ91" s="27">
        <v>3.0</v>
      </c>
      <c r="AK91" s="27">
        <v>1.0</v>
      </c>
      <c r="AL91" s="62">
        <f t="shared" si="7"/>
        <v>57</v>
      </c>
      <c r="AM91" s="63"/>
      <c r="AN91" s="63"/>
      <c r="AO91" s="63"/>
      <c r="AP91" s="63"/>
      <c r="AQ91" s="62">
        <f t="shared" si="8"/>
        <v>0</v>
      </c>
    </row>
    <row r="100">
      <c r="B100" s="48" t="str">
        <f>'INPUT DAFTAR PESERTA'!A98</f>
        <v/>
      </c>
      <c r="C100" s="49" t="str">
        <f>'INPUT DAFTAR PESERTA'!C98</f>
        <v/>
      </c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</row>
    <row r="101">
      <c r="A101" s="48" t="str">
        <f>'INPUT DAFTAR PESERTA'!A99</f>
        <v/>
      </c>
      <c r="B101" s="48" t="str">
        <f>'INPUT DAFTAR PESERTA'!B99</f>
        <v/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</row>
    <row r="102">
      <c r="A102" s="48" t="str">
        <f>'INPUT DAFTAR PESERTA'!A100</f>
        <v/>
      </c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</row>
    <row r="103">
      <c r="A103" s="48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</row>
    <row r="104">
      <c r="A104" s="48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</row>
    <row r="105">
      <c r="A105" s="48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</row>
    <row r="106">
      <c r="A106" s="48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</row>
    <row r="107">
      <c r="A107" s="48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</row>
    <row r="108">
      <c r="A108" s="48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</row>
    <row r="109">
      <c r="A109" s="48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</row>
    <row r="110">
      <c r="A110" s="48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</row>
    <row r="111">
      <c r="A111" s="48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</row>
    <row r="112">
      <c r="A112" s="48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</row>
    <row r="113">
      <c r="A113" s="48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</row>
    <row r="114">
      <c r="A114" s="48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</row>
    <row r="115">
      <c r="A115" s="48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</row>
    <row r="116">
      <c r="A116" s="48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</row>
    <row r="117">
      <c r="A117" s="48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</row>
    <row r="118">
      <c r="A118" s="48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</row>
    <row r="119">
      <c r="A119" s="48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</row>
    <row r="120">
      <c r="A120" s="48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</row>
    <row r="121">
      <c r="A121" s="48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</row>
    <row r="122">
      <c r="A122" s="48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</row>
    <row r="123">
      <c r="A123" s="48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</row>
    <row r="124">
      <c r="A124" s="48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</row>
    <row r="125">
      <c r="A125" s="48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</row>
    <row r="126">
      <c r="A126" s="48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</row>
    <row r="127">
      <c r="A127" s="48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</row>
    <row r="128">
      <c r="A128" s="48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</row>
    <row r="129">
      <c r="A129" s="48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</row>
    <row r="130">
      <c r="A130" s="48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</row>
    <row r="131">
      <c r="A131" s="48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</row>
    <row r="132">
      <c r="A132" s="48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</row>
    <row r="133">
      <c r="A133" s="48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</row>
    <row r="134">
      <c r="A134" s="48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</row>
    <row r="135">
      <c r="A135" s="48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</row>
    <row r="136">
      <c r="A136" s="48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</row>
    <row r="137">
      <c r="A137" s="48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</row>
    <row r="138">
      <c r="A138" s="48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</row>
    <row r="139">
      <c r="A139" s="48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</row>
    <row r="140">
      <c r="A140" s="48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</row>
    <row r="141">
      <c r="A141" s="48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</row>
    <row r="142">
      <c r="A142" s="48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</row>
    <row r="143">
      <c r="A143" s="48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</row>
    <row r="144">
      <c r="A144" s="48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</row>
    <row r="145">
      <c r="A145" s="48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  <row r="146">
      <c r="A146" s="48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</row>
    <row r="147">
      <c r="A147" s="48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</row>
    <row r="148">
      <c r="A148" s="48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</row>
    <row r="149">
      <c r="A149" s="48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  <row r="150">
      <c r="A150" s="48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</row>
    <row r="151">
      <c r="A151" s="48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</row>
    <row r="152">
      <c r="A152" s="48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</row>
    <row r="153">
      <c r="A153" s="48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</row>
    <row r="154">
      <c r="A154" s="48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</row>
    <row r="155">
      <c r="A155" s="48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</row>
    <row r="156">
      <c r="A156" s="48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</row>
    <row r="157">
      <c r="A157" s="48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</row>
    <row r="158">
      <c r="A158" s="48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</row>
    <row r="159">
      <c r="A159" s="48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</row>
    <row r="160">
      <c r="A160" s="48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</row>
    <row r="161">
      <c r="A161" s="48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</row>
    <row r="162">
      <c r="A162" s="48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</row>
    <row r="163">
      <c r="A163" s="48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</row>
    <row r="164">
      <c r="A164" s="48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</row>
    <row r="165">
      <c r="A165" s="48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</row>
    <row r="166">
      <c r="A166" s="48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</row>
    <row r="167">
      <c r="A167" s="48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</row>
    <row r="168">
      <c r="A168" s="48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</row>
    <row r="169">
      <c r="A169" s="48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</row>
    <row r="170">
      <c r="A170" s="48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</row>
    <row r="171">
      <c r="A171" s="48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</row>
    <row r="172">
      <c r="A172" s="48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</row>
    <row r="173">
      <c r="A173" s="48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</row>
    <row r="174">
      <c r="A174" s="48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</row>
    <row r="175">
      <c r="A175" s="48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</row>
    <row r="176">
      <c r="A176" s="48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</row>
    <row r="177">
      <c r="A177" s="48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</row>
    <row r="178">
      <c r="A178" s="48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</row>
    <row r="179">
      <c r="A179" s="48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</row>
    <row r="180">
      <c r="A180" s="48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</row>
    <row r="181">
      <c r="A181" s="48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</row>
    <row r="182">
      <c r="A182" s="48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</row>
    <row r="183">
      <c r="A183" s="48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</row>
    <row r="184">
      <c r="A184" s="48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</row>
    <row r="185">
      <c r="A185" s="48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</row>
    <row r="186">
      <c r="A186" s="48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</row>
    <row r="187">
      <c r="A187" s="48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</row>
    <row r="188">
      <c r="A188" s="48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</row>
    <row r="189">
      <c r="A189" s="48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</row>
    <row r="190">
      <c r="A190" s="48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</row>
    <row r="191">
      <c r="A191" s="48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</row>
    <row r="192">
      <c r="A192" s="48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</row>
    <row r="193">
      <c r="A193" s="48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</row>
    <row r="194">
      <c r="A194" s="48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</row>
    <row r="195">
      <c r="A195" s="48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</row>
    <row r="196">
      <c r="A196" s="48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</row>
    <row r="197">
      <c r="A197" s="48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</row>
    <row r="198">
      <c r="A198" s="48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</row>
    <row r="199">
      <c r="A199" s="48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</row>
    <row r="200">
      <c r="A200" s="48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</row>
    <row r="201">
      <c r="A201" s="48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</row>
    <row r="202">
      <c r="A202" s="48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</row>
    <row r="203">
      <c r="A203" s="48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</row>
    <row r="204">
      <c r="A204" s="48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</row>
    <row r="205">
      <c r="A205" s="48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</row>
    <row r="206">
      <c r="A206" s="48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</row>
    <row r="207">
      <c r="A207" s="48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</row>
    <row r="208">
      <c r="A208" s="48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</row>
    <row r="209">
      <c r="A209" s="48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</row>
    <row r="210">
      <c r="A210" s="48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</row>
    <row r="211">
      <c r="A211" s="48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</row>
    <row r="212">
      <c r="A212" s="48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</row>
    <row r="213">
      <c r="A213" s="48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</row>
    <row r="214">
      <c r="A214" s="48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</row>
    <row r="215">
      <c r="A215" s="48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</row>
    <row r="216">
      <c r="A216" s="48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</row>
    <row r="217">
      <c r="A217" s="48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</row>
    <row r="218">
      <c r="A218" s="48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</row>
    <row r="219">
      <c r="A219" s="48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</row>
    <row r="220">
      <c r="A220" s="48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</row>
    <row r="221">
      <c r="A221" s="48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</row>
    <row r="222">
      <c r="A222" s="48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</row>
    <row r="223">
      <c r="A223" s="48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</row>
    <row r="224">
      <c r="A224" s="48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</row>
    <row r="225">
      <c r="A225" s="48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</row>
    <row r="226">
      <c r="A226" s="48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</row>
    <row r="227">
      <c r="A227" s="48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</row>
    <row r="228">
      <c r="A228" s="48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</row>
    <row r="229">
      <c r="A229" s="48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</row>
    <row r="230">
      <c r="A230" s="48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</row>
    <row r="231">
      <c r="A231" s="48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</row>
    <row r="232">
      <c r="A232" s="48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</row>
    <row r="233">
      <c r="A233" s="48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</row>
    <row r="234">
      <c r="A234" s="48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</row>
    <row r="235">
      <c r="A235" s="48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</row>
    <row r="236">
      <c r="A236" s="48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</row>
    <row r="237">
      <c r="A237" s="48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</row>
    <row r="238">
      <c r="A238" s="48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</row>
    <row r="239">
      <c r="A239" s="48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</row>
    <row r="240">
      <c r="A240" s="48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</row>
    <row r="241">
      <c r="A241" s="48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</row>
    <row r="242">
      <c r="A242" s="48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</row>
    <row r="243">
      <c r="A243" s="48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</row>
    <row r="244">
      <c r="A244" s="48"/>
      <c r="B244" s="48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</row>
    <row r="245">
      <c r="A245" s="48"/>
      <c r="B245" s="48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</row>
    <row r="246">
      <c r="A246" s="48"/>
      <c r="B246" s="48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</row>
    <row r="247">
      <c r="A247" s="48"/>
      <c r="B247" s="48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</row>
    <row r="248">
      <c r="A248" s="48"/>
      <c r="B248" s="48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</row>
    <row r="249">
      <c r="A249" s="48"/>
      <c r="B249" s="48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</row>
    <row r="250">
      <c r="A250" s="48"/>
      <c r="B250" s="48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</row>
    <row r="251">
      <c r="A251" s="48"/>
      <c r="B251" s="48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</row>
    <row r="252">
      <c r="A252" s="48"/>
      <c r="B252" s="48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</row>
    <row r="253">
      <c r="A253" s="48"/>
      <c r="B253" s="48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</row>
    <row r="254">
      <c r="A254" s="48"/>
      <c r="B254" s="48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</row>
    <row r="255">
      <c r="A255" s="48"/>
      <c r="B255" s="48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</row>
    <row r="256">
      <c r="A256" s="48"/>
      <c r="B256" s="48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</row>
    <row r="257">
      <c r="A257" s="48"/>
      <c r="B257" s="48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</row>
    <row r="258">
      <c r="A258" s="48"/>
      <c r="B258" s="48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</row>
    <row r="259">
      <c r="A259" s="48"/>
      <c r="B259" s="48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</row>
    <row r="260">
      <c r="A260" s="48"/>
      <c r="B260" s="48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</row>
    <row r="261">
      <c r="A261" s="48"/>
      <c r="B261" s="48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</row>
    <row r="262">
      <c r="A262" s="48"/>
      <c r="B262" s="48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</row>
    <row r="263">
      <c r="A263" s="48"/>
      <c r="B263" s="48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</row>
    <row r="264">
      <c r="A264" s="48"/>
      <c r="B264" s="48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</row>
    <row r="265">
      <c r="A265" s="48"/>
      <c r="B265" s="48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</row>
    <row r="266">
      <c r="A266" s="48"/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</row>
    <row r="267">
      <c r="A267" s="48"/>
      <c r="B267" s="48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</row>
    <row r="268">
      <c r="A268" s="48"/>
      <c r="B268" s="48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</row>
    <row r="269">
      <c r="A269" s="48"/>
      <c r="B269" s="48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</row>
    <row r="270">
      <c r="A270" s="48"/>
      <c r="B270" s="48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</row>
    <row r="271">
      <c r="A271" s="48"/>
      <c r="B271" s="48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</row>
    <row r="272">
      <c r="A272" s="48"/>
      <c r="B272" s="48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</row>
    <row r="273">
      <c r="A273" s="48"/>
      <c r="B273" s="48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</row>
    <row r="274">
      <c r="A274" s="48"/>
      <c r="B274" s="48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</row>
    <row r="275">
      <c r="A275" s="48"/>
      <c r="B275" s="48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</row>
    <row r="276">
      <c r="A276" s="48"/>
      <c r="B276" s="48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</row>
    <row r="277">
      <c r="A277" s="48"/>
      <c r="B277" s="48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</row>
    <row r="278">
      <c r="A278" s="48"/>
      <c r="B278" s="48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</row>
    <row r="279">
      <c r="A279" s="48"/>
      <c r="B279" s="48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</row>
    <row r="280">
      <c r="A280" s="48"/>
      <c r="B280" s="48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</row>
    <row r="281">
      <c r="A281" s="48"/>
      <c r="B281" s="48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</row>
    <row r="282">
      <c r="A282" s="48"/>
      <c r="B282" s="48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</row>
    <row r="283">
      <c r="A283" s="48"/>
      <c r="B283" s="48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</row>
    <row r="284">
      <c r="A284" s="48"/>
      <c r="B284" s="48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</row>
    <row r="285">
      <c r="A285" s="48"/>
      <c r="B285" s="48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</row>
    <row r="286">
      <c r="A286" s="48"/>
      <c r="B286" s="48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</row>
    <row r="287">
      <c r="A287" s="48"/>
      <c r="B287" s="48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</row>
    <row r="288">
      <c r="A288" s="48"/>
      <c r="B288" s="48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</row>
    <row r="289">
      <c r="A289" s="48"/>
      <c r="B289" s="48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</row>
    <row r="290">
      <c r="A290" s="48"/>
      <c r="B290" s="48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</row>
    <row r="291">
      <c r="A291" s="48"/>
      <c r="B291" s="48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</row>
    <row r="292">
      <c r="A292" s="48"/>
      <c r="B292" s="48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</row>
    <row r="293">
      <c r="A293" s="48"/>
      <c r="B293" s="48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</row>
    <row r="294">
      <c r="A294" s="48"/>
      <c r="B294" s="48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</row>
    <row r="295">
      <c r="A295" s="48"/>
      <c r="B295" s="48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</row>
    <row r="296">
      <c r="A296" s="48"/>
      <c r="B296" s="48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</row>
    <row r="297">
      <c r="A297" s="48"/>
      <c r="B297" s="48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</row>
    <row r="298">
      <c r="A298" s="48"/>
      <c r="B298" s="48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</row>
    <row r="299">
      <c r="A299" s="48"/>
      <c r="B299" s="48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</row>
    <row r="300">
      <c r="A300" s="48"/>
      <c r="B300" s="48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</row>
    <row r="301">
      <c r="A301" s="48"/>
      <c r="B301" s="48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</row>
    <row r="302">
      <c r="A302" s="48"/>
      <c r="B302" s="48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</row>
    <row r="303">
      <c r="A303" s="48"/>
      <c r="B303" s="48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</row>
    <row r="304">
      <c r="A304" s="48"/>
      <c r="B304" s="48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</row>
    <row r="305">
      <c r="A305" s="48"/>
      <c r="B305" s="48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</row>
    <row r="306">
      <c r="A306" s="48"/>
      <c r="B306" s="48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</row>
    <row r="307">
      <c r="A307" s="48"/>
      <c r="B307" s="48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</row>
    <row r="308">
      <c r="A308" s="48"/>
      <c r="B308" s="48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</row>
    <row r="309">
      <c r="A309" s="48"/>
      <c r="B309" s="48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</row>
    <row r="310">
      <c r="A310" s="48"/>
      <c r="B310" s="48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</row>
    <row r="311">
      <c r="A311" s="48"/>
      <c r="B311" s="48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</row>
    <row r="312">
      <c r="A312" s="48"/>
      <c r="B312" s="48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</row>
    <row r="313">
      <c r="A313" s="48"/>
      <c r="B313" s="48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</row>
    <row r="314">
      <c r="A314" s="48"/>
      <c r="B314" s="48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</row>
    <row r="315">
      <c r="A315" s="48"/>
      <c r="B315" s="48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</row>
    <row r="316">
      <c r="A316" s="48"/>
      <c r="B316" s="48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</row>
    <row r="317">
      <c r="A317" s="48"/>
      <c r="B317" s="48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</row>
    <row r="318">
      <c r="A318" s="48"/>
      <c r="B318" s="48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</row>
    <row r="319">
      <c r="A319" s="48"/>
      <c r="B319" s="48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</row>
    <row r="320">
      <c r="A320" s="48"/>
      <c r="B320" s="48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</row>
    <row r="321">
      <c r="A321" s="48"/>
      <c r="B321" s="48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</row>
    <row r="322">
      <c r="A322" s="48"/>
      <c r="B322" s="48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</row>
    <row r="323">
      <c r="A323" s="48"/>
      <c r="B323" s="48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</row>
    <row r="324">
      <c r="A324" s="48"/>
      <c r="B324" s="48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</row>
    <row r="325">
      <c r="A325" s="48"/>
      <c r="B325" s="48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</row>
    <row r="326">
      <c r="A326" s="48"/>
      <c r="B326" s="48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</row>
    <row r="327">
      <c r="A327" s="48"/>
      <c r="B327" s="48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</row>
    <row r="328">
      <c r="A328" s="48"/>
      <c r="B328" s="48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</row>
    <row r="329">
      <c r="A329" s="48"/>
      <c r="B329" s="48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</row>
    <row r="330">
      <c r="A330" s="48"/>
      <c r="B330" s="48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</row>
    <row r="331">
      <c r="A331" s="48"/>
      <c r="B331" s="48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</row>
    <row r="332">
      <c r="A332" s="48"/>
      <c r="B332" s="48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</row>
    <row r="333">
      <c r="A333" s="48"/>
      <c r="B333" s="48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</row>
    <row r="334">
      <c r="A334" s="48"/>
      <c r="B334" s="48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</row>
    <row r="335">
      <c r="A335" s="48"/>
      <c r="B335" s="48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</row>
    <row r="336">
      <c r="A336" s="48"/>
      <c r="B336" s="48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</row>
    <row r="337">
      <c r="A337" s="48"/>
      <c r="B337" s="48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</row>
    <row r="338">
      <c r="A338" s="48"/>
      <c r="B338" s="48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</row>
    <row r="339">
      <c r="A339" s="48"/>
      <c r="B339" s="48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</row>
    <row r="340">
      <c r="A340" s="48"/>
      <c r="B340" s="48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</row>
    <row r="341">
      <c r="A341" s="48"/>
      <c r="B341" s="48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</row>
    <row r="342">
      <c r="A342" s="48"/>
      <c r="B342" s="48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</row>
    <row r="343">
      <c r="A343" s="48"/>
      <c r="B343" s="48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</row>
    <row r="344">
      <c r="A344" s="48"/>
      <c r="B344" s="48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</row>
    <row r="345">
      <c r="A345" s="48"/>
      <c r="B345" s="48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</row>
    <row r="346">
      <c r="A346" s="48"/>
      <c r="B346" s="48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</row>
    <row r="347">
      <c r="A347" s="48"/>
      <c r="B347" s="48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</row>
    <row r="348">
      <c r="A348" s="48"/>
      <c r="B348" s="48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</row>
    <row r="349">
      <c r="A349" s="48"/>
      <c r="B349" s="48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</row>
    <row r="350">
      <c r="A350" s="48"/>
      <c r="B350" s="48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</row>
    <row r="351">
      <c r="A351" s="48"/>
      <c r="B351" s="48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</row>
    <row r="352">
      <c r="A352" s="48"/>
      <c r="B352" s="48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</row>
    <row r="353">
      <c r="A353" s="48"/>
      <c r="B353" s="48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</row>
    <row r="354">
      <c r="A354" s="48"/>
      <c r="B354" s="48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</row>
    <row r="355">
      <c r="A355" s="48"/>
      <c r="B355" s="48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</row>
    <row r="356">
      <c r="A356" s="48"/>
      <c r="B356" s="48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</row>
    <row r="357">
      <c r="A357" s="48"/>
      <c r="B357" s="48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</row>
    <row r="358">
      <c r="A358" s="48"/>
      <c r="B358" s="48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</row>
    <row r="359">
      <c r="A359" s="48"/>
      <c r="B359" s="48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</row>
    <row r="360">
      <c r="A360" s="48"/>
      <c r="B360" s="48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</row>
    <row r="361">
      <c r="A361" s="48"/>
      <c r="B361" s="48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</row>
    <row r="362">
      <c r="A362" s="48"/>
      <c r="B362" s="48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</row>
    <row r="363">
      <c r="A363" s="48"/>
      <c r="B363" s="48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</row>
    <row r="364">
      <c r="A364" s="48"/>
      <c r="B364" s="48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</row>
    <row r="365">
      <c r="A365" s="48"/>
      <c r="B365" s="48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</row>
    <row r="366">
      <c r="A366" s="48"/>
      <c r="B366" s="48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</row>
    <row r="367">
      <c r="A367" s="48"/>
      <c r="B367" s="48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</row>
    <row r="368">
      <c r="A368" s="48"/>
      <c r="B368" s="48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</row>
    <row r="369">
      <c r="A369" s="48"/>
      <c r="B369" s="48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</row>
    <row r="370">
      <c r="A370" s="48"/>
      <c r="B370" s="48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</row>
    <row r="371">
      <c r="A371" s="48"/>
      <c r="B371" s="48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</row>
    <row r="372">
      <c r="A372" s="48"/>
      <c r="B372" s="48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</row>
    <row r="373">
      <c r="A373" s="48"/>
      <c r="B373" s="48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</row>
    <row r="374">
      <c r="A374" s="48"/>
      <c r="B374" s="48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</row>
    <row r="375">
      <c r="A375" s="48"/>
      <c r="B375" s="48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</row>
    <row r="376">
      <c r="A376" s="48"/>
      <c r="B376" s="48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</row>
    <row r="377">
      <c r="A377" s="48"/>
      <c r="B377" s="48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</row>
    <row r="378">
      <c r="A378" s="48"/>
      <c r="B378" s="48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</row>
    <row r="379">
      <c r="A379" s="48"/>
      <c r="B379" s="48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</row>
    <row r="380">
      <c r="A380" s="48"/>
      <c r="B380" s="48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</row>
    <row r="381">
      <c r="A381" s="48"/>
      <c r="B381" s="48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</row>
    <row r="382">
      <c r="A382" s="48"/>
      <c r="B382" s="48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</row>
    <row r="383">
      <c r="A383" s="48"/>
      <c r="B383" s="48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</row>
    <row r="384">
      <c r="A384" s="48"/>
      <c r="B384" s="48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</row>
    <row r="385">
      <c r="A385" s="48"/>
      <c r="B385" s="48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</row>
    <row r="386">
      <c r="A386" s="48"/>
      <c r="B386" s="48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</row>
    <row r="387">
      <c r="A387" s="48"/>
      <c r="B387" s="48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</row>
    <row r="388">
      <c r="A388" s="48"/>
      <c r="B388" s="48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</row>
    <row r="389">
      <c r="A389" s="48"/>
      <c r="B389" s="48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</row>
    <row r="390">
      <c r="A390" s="48"/>
      <c r="B390" s="48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</row>
    <row r="391">
      <c r="A391" s="48"/>
      <c r="B391" s="48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</row>
    <row r="392">
      <c r="A392" s="48"/>
      <c r="B392" s="48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</row>
    <row r="393">
      <c r="A393" s="48"/>
      <c r="B393" s="48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</row>
    <row r="394">
      <c r="A394" s="48"/>
      <c r="B394" s="48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</row>
    <row r="395">
      <c r="A395" s="48"/>
      <c r="B395" s="48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</row>
    <row r="396">
      <c r="A396" s="48"/>
      <c r="B396" s="48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</row>
    <row r="397">
      <c r="A397" s="48"/>
      <c r="B397" s="48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</row>
    <row r="398">
      <c r="A398" s="48"/>
      <c r="B398" s="48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</row>
    <row r="399">
      <c r="A399" s="48"/>
      <c r="B399" s="48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</row>
    <row r="400">
      <c r="A400" s="48"/>
      <c r="B400" s="48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</row>
    <row r="401">
      <c r="A401" s="48"/>
      <c r="B401" s="48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</row>
    <row r="402">
      <c r="A402" s="48"/>
      <c r="B402" s="48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</row>
    <row r="403">
      <c r="A403" s="48"/>
      <c r="B403" s="48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</row>
    <row r="404">
      <c r="A404" s="48"/>
      <c r="B404" s="48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</row>
    <row r="405">
      <c r="A405" s="48"/>
      <c r="B405" s="48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</row>
    <row r="406">
      <c r="A406" s="48"/>
      <c r="B406" s="48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</row>
    <row r="407">
      <c r="A407" s="48"/>
      <c r="B407" s="48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</row>
    <row r="408">
      <c r="A408" s="48"/>
      <c r="B408" s="48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</row>
    <row r="409">
      <c r="A409" s="48"/>
      <c r="B409" s="48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</row>
    <row r="410">
      <c r="A410" s="48"/>
      <c r="B410" s="48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</row>
    <row r="411">
      <c r="A411" s="48"/>
      <c r="B411" s="48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</row>
    <row r="412">
      <c r="A412" s="48"/>
      <c r="B412" s="48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</row>
    <row r="413">
      <c r="A413" s="48"/>
      <c r="B413" s="48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</row>
    <row r="414">
      <c r="A414" s="48"/>
      <c r="B414" s="48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</row>
    <row r="415">
      <c r="A415" s="48"/>
      <c r="B415" s="48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</row>
    <row r="416">
      <c r="A416" s="48"/>
      <c r="B416" s="48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</row>
    <row r="417">
      <c r="A417" s="48"/>
      <c r="B417" s="48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</row>
    <row r="418">
      <c r="A418" s="48"/>
      <c r="B418" s="48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</row>
    <row r="419">
      <c r="A419" s="48"/>
      <c r="B419" s="48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</row>
    <row r="420">
      <c r="A420" s="48"/>
      <c r="B420" s="48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</row>
    <row r="421">
      <c r="A421" s="48"/>
      <c r="B421" s="48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</row>
    <row r="422">
      <c r="A422" s="48"/>
      <c r="B422" s="48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</row>
    <row r="423">
      <c r="A423" s="48"/>
      <c r="B423" s="48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</row>
    <row r="424">
      <c r="A424" s="48"/>
      <c r="B424" s="48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</row>
    <row r="425">
      <c r="A425" s="48"/>
      <c r="B425" s="48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</row>
    <row r="426">
      <c r="A426" s="48"/>
      <c r="B426" s="48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</row>
    <row r="427">
      <c r="A427" s="48"/>
      <c r="B427" s="48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</row>
    <row r="428">
      <c r="A428" s="48"/>
      <c r="B428" s="48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</row>
    <row r="429">
      <c r="A429" s="48"/>
      <c r="B429" s="48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</row>
    <row r="430">
      <c r="A430" s="48"/>
      <c r="B430" s="48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</row>
    <row r="431">
      <c r="A431" s="48"/>
      <c r="B431" s="48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</row>
    <row r="432">
      <c r="A432" s="48"/>
      <c r="B432" s="48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</row>
    <row r="433">
      <c r="A433" s="48"/>
      <c r="B433" s="48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</row>
    <row r="434">
      <c r="A434" s="48"/>
      <c r="B434" s="48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</row>
    <row r="435">
      <c r="A435" s="48"/>
      <c r="B435" s="48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</row>
    <row r="436">
      <c r="A436" s="48"/>
      <c r="B436" s="48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</row>
    <row r="437">
      <c r="A437" s="48"/>
      <c r="B437" s="48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</row>
    <row r="438">
      <c r="A438" s="48"/>
      <c r="B438" s="48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</row>
    <row r="439">
      <c r="A439" s="48"/>
      <c r="B439" s="48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</row>
    <row r="440">
      <c r="A440" s="48"/>
      <c r="B440" s="48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</row>
    <row r="441">
      <c r="A441" s="48"/>
      <c r="B441" s="48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</row>
    <row r="442">
      <c r="A442" s="48"/>
      <c r="B442" s="48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</row>
    <row r="443">
      <c r="A443" s="48"/>
      <c r="B443" s="48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</row>
    <row r="444">
      <c r="A444" s="48"/>
      <c r="B444" s="48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</row>
    <row r="445">
      <c r="A445" s="48"/>
      <c r="B445" s="48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</row>
    <row r="446">
      <c r="A446" s="48"/>
      <c r="B446" s="48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</row>
    <row r="447">
      <c r="A447" s="48"/>
      <c r="B447" s="48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</row>
    <row r="448">
      <c r="A448" s="48"/>
      <c r="B448" s="48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</row>
    <row r="449">
      <c r="A449" s="48"/>
      <c r="B449" s="48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</row>
    <row r="450">
      <c r="A450" s="48"/>
      <c r="B450" s="48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</row>
    <row r="451">
      <c r="A451" s="48"/>
      <c r="B451" s="48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</row>
    <row r="452">
      <c r="A452" s="48"/>
      <c r="B452" s="48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</row>
    <row r="453">
      <c r="A453" s="48"/>
      <c r="B453" s="48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</row>
    <row r="454">
      <c r="A454" s="48"/>
      <c r="B454" s="48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</row>
    <row r="455">
      <c r="A455" s="48"/>
      <c r="B455" s="48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</row>
    <row r="456">
      <c r="A456" s="48"/>
      <c r="B456" s="48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</row>
    <row r="457">
      <c r="A457" s="48"/>
      <c r="B457" s="48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</row>
    <row r="458">
      <c r="A458" s="48"/>
      <c r="B458" s="48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</row>
    <row r="459">
      <c r="A459" s="48"/>
      <c r="B459" s="48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</row>
    <row r="460">
      <c r="A460" s="48"/>
      <c r="B460" s="48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</row>
    <row r="461">
      <c r="A461" s="48"/>
      <c r="B461" s="48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</row>
    <row r="462">
      <c r="A462" s="48"/>
      <c r="B462" s="48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</row>
    <row r="463">
      <c r="A463" s="48"/>
      <c r="B463" s="48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</row>
    <row r="464">
      <c r="A464" s="48"/>
      <c r="B464" s="48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</row>
    <row r="465">
      <c r="A465" s="48"/>
      <c r="B465" s="48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</row>
    <row r="466">
      <c r="A466" s="48"/>
      <c r="B466" s="48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</row>
    <row r="467">
      <c r="A467" s="48"/>
      <c r="B467" s="48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</row>
    <row r="468">
      <c r="A468" s="48"/>
      <c r="B468" s="48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</row>
    <row r="469">
      <c r="A469" s="48"/>
      <c r="B469" s="48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</row>
    <row r="470">
      <c r="A470" s="48"/>
      <c r="B470" s="48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</row>
    <row r="471">
      <c r="A471" s="48"/>
      <c r="B471" s="48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</row>
    <row r="472">
      <c r="A472" s="48"/>
      <c r="B472" s="48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</row>
    <row r="473">
      <c r="A473" s="48"/>
      <c r="B473" s="48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</row>
    <row r="474">
      <c r="A474" s="48"/>
      <c r="B474" s="48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</row>
    <row r="475">
      <c r="A475" s="48"/>
      <c r="B475" s="48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</row>
    <row r="476">
      <c r="A476" s="48"/>
      <c r="B476" s="48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</row>
    <row r="477">
      <c r="A477" s="48"/>
      <c r="B477" s="48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</row>
    <row r="478">
      <c r="A478" s="48"/>
      <c r="B478" s="48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</row>
    <row r="479">
      <c r="A479" s="48"/>
      <c r="B479" s="48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</row>
    <row r="480">
      <c r="A480" s="48"/>
      <c r="B480" s="48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</row>
    <row r="481">
      <c r="A481" s="48"/>
      <c r="B481" s="48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</row>
    <row r="482">
      <c r="A482" s="48"/>
      <c r="B482" s="48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</row>
    <row r="483">
      <c r="A483" s="48"/>
      <c r="B483" s="48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</row>
    <row r="484">
      <c r="A484" s="48"/>
      <c r="B484" s="48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</row>
    <row r="485">
      <c r="A485" s="48"/>
      <c r="B485" s="48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</row>
    <row r="486">
      <c r="A486" s="48"/>
      <c r="B486" s="48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</row>
    <row r="487">
      <c r="A487" s="48"/>
      <c r="B487" s="48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</row>
    <row r="488">
      <c r="A488" s="48"/>
      <c r="B488" s="48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</row>
    <row r="489">
      <c r="A489" s="48"/>
      <c r="B489" s="48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</row>
    <row r="490">
      <c r="A490" s="48"/>
      <c r="B490" s="48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</row>
    <row r="491">
      <c r="A491" s="48"/>
      <c r="B491" s="48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</row>
    <row r="492">
      <c r="A492" s="48"/>
      <c r="B492" s="48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</row>
    <row r="493">
      <c r="A493" s="48"/>
      <c r="B493" s="48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</row>
    <row r="494">
      <c r="A494" s="48"/>
      <c r="B494" s="48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</row>
    <row r="495">
      <c r="A495" s="48"/>
      <c r="B495" s="48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</row>
    <row r="496">
      <c r="A496" s="48"/>
      <c r="B496" s="48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</row>
    <row r="497">
      <c r="A497" s="48"/>
      <c r="B497" s="48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</row>
    <row r="498">
      <c r="A498" s="48"/>
      <c r="B498" s="48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</row>
    <row r="499">
      <c r="A499" s="48"/>
      <c r="B499" s="48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</row>
    <row r="500">
      <c r="A500" s="48"/>
      <c r="B500" s="48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</row>
    <row r="501">
      <c r="A501" s="48"/>
      <c r="B501" s="48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</row>
    <row r="502">
      <c r="A502" s="48"/>
      <c r="B502" s="48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</row>
    <row r="503">
      <c r="A503" s="48"/>
      <c r="B503" s="48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</row>
    <row r="504">
      <c r="A504" s="48"/>
      <c r="B504" s="48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</row>
    <row r="505">
      <c r="A505" s="48"/>
      <c r="B505" s="48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</row>
    <row r="506">
      <c r="A506" s="48"/>
      <c r="B506" s="48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</row>
    <row r="507">
      <c r="A507" s="48"/>
      <c r="B507" s="48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</row>
    <row r="508">
      <c r="A508" s="48"/>
      <c r="B508" s="48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</row>
    <row r="509">
      <c r="A509" s="48"/>
      <c r="B509" s="48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</row>
    <row r="510">
      <c r="A510" s="48"/>
      <c r="B510" s="48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</row>
    <row r="511">
      <c r="A511" s="48"/>
      <c r="B511" s="48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</row>
    <row r="512">
      <c r="A512" s="48"/>
      <c r="B512" s="48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</row>
    <row r="513">
      <c r="A513" s="48"/>
      <c r="B513" s="48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</row>
    <row r="514">
      <c r="A514" s="48"/>
      <c r="B514" s="48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</row>
    <row r="515">
      <c r="A515" s="48"/>
      <c r="B515" s="48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</row>
    <row r="516">
      <c r="A516" s="48"/>
      <c r="B516" s="48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</row>
    <row r="517">
      <c r="A517" s="48"/>
      <c r="B517" s="48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</row>
    <row r="518">
      <c r="A518" s="48"/>
      <c r="B518" s="48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</row>
    <row r="519">
      <c r="A519" s="48"/>
      <c r="B519" s="48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</row>
    <row r="520">
      <c r="A520" s="48"/>
      <c r="B520" s="48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</row>
    <row r="521">
      <c r="A521" s="48"/>
      <c r="B521" s="48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</row>
    <row r="522">
      <c r="A522" s="48"/>
      <c r="B522" s="48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</row>
    <row r="523">
      <c r="A523" s="48"/>
      <c r="B523" s="48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</row>
    <row r="524">
      <c r="A524" s="48"/>
      <c r="B524" s="48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</row>
    <row r="525">
      <c r="A525" s="48"/>
      <c r="B525" s="48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</row>
    <row r="526">
      <c r="A526" s="48"/>
      <c r="B526" s="48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</row>
    <row r="527">
      <c r="A527" s="48"/>
      <c r="B527" s="48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</row>
    <row r="528">
      <c r="A528" s="48"/>
      <c r="B528" s="48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</row>
    <row r="529">
      <c r="A529" s="48"/>
      <c r="B529" s="48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</row>
    <row r="530">
      <c r="A530" s="48"/>
      <c r="B530" s="48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</row>
    <row r="531">
      <c r="A531" s="48"/>
      <c r="B531" s="48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</row>
    <row r="532">
      <c r="A532" s="48"/>
      <c r="B532" s="48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</row>
    <row r="533">
      <c r="A533" s="48"/>
      <c r="B533" s="48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</row>
    <row r="534">
      <c r="A534" s="48"/>
      <c r="B534" s="48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</row>
    <row r="535">
      <c r="A535" s="48"/>
      <c r="B535" s="48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</row>
    <row r="536">
      <c r="A536" s="48"/>
      <c r="B536" s="48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</row>
    <row r="537">
      <c r="A537" s="48"/>
      <c r="B537" s="48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</row>
    <row r="538">
      <c r="A538" s="48"/>
      <c r="B538" s="48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</row>
    <row r="539">
      <c r="A539" s="48"/>
      <c r="B539" s="48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</row>
    <row r="540">
      <c r="A540" s="48"/>
      <c r="B540" s="48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</row>
    <row r="541">
      <c r="A541" s="48"/>
      <c r="B541" s="48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</row>
    <row r="542">
      <c r="A542" s="48"/>
      <c r="B542" s="48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</row>
    <row r="543">
      <c r="A543" s="48"/>
      <c r="B543" s="48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</row>
    <row r="544">
      <c r="A544" s="48"/>
      <c r="B544" s="48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</row>
    <row r="545">
      <c r="A545" s="48"/>
      <c r="B545" s="48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</row>
    <row r="546">
      <c r="A546" s="48"/>
      <c r="B546" s="48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</row>
    <row r="547">
      <c r="A547" s="48"/>
      <c r="B547" s="48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</row>
    <row r="548">
      <c r="A548" s="48"/>
      <c r="B548" s="48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</row>
    <row r="549">
      <c r="A549" s="48"/>
      <c r="B549" s="48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</row>
    <row r="550">
      <c r="A550" s="48"/>
      <c r="B550" s="48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</row>
    <row r="551">
      <c r="A551" s="48"/>
      <c r="B551" s="48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</row>
    <row r="552">
      <c r="A552" s="48"/>
      <c r="B552" s="48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</row>
    <row r="553">
      <c r="A553" s="48"/>
      <c r="B553" s="48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</row>
    <row r="554">
      <c r="A554" s="48"/>
      <c r="B554" s="48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</row>
    <row r="555">
      <c r="A555" s="48"/>
      <c r="B555" s="48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</row>
    <row r="556">
      <c r="A556" s="48"/>
      <c r="B556" s="48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</row>
    <row r="557">
      <c r="A557" s="48"/>
      <c r="B557" s="48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</row>
    <row r="558">
      <c r="A558" s="48"/>
      <c r="B558" s="48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</row>
    <row r="559">
      <c r="A559" s="48"/>
      <c r="B559" s="48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</row>
    <row r="560">
      <c r="A560" s="48"/>
      <c r="B560" s="48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</row>
    <row r="561">
      <c r="A561" s="48"/>
      <c r="B561" s="48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</row>
    <row r="562">
      <c r="A562" s="48"/>
      <c r="B562" s="48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</row>
    <row r="563">
      <c r="A563" s="48"/>
      <c r="B563" s="48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</row>
    <row r="564">
      <c r="A564" s="48"/>
      <c r="B564" s="48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</row>
    <row r="565">
      <c r="A565" s="48"/>
      <c r="B565" s="48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</row>
    <row r="566">
      <c r="A566" s="48"/>
      <c r="B566" s="48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</row>
    <row r="567">
      <c r="A567" s="48"/>
      <c r="B567" s="48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</row>
    <row r="568">
      <c r="A568" s="48"/>
      <c r="B568" s="48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</row>
    <row r="569">
      <c r="A569" s="48"/>
      <c r="B569" s="48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</row>
    <row r="570">
      <c r="A570" s="48"/>
      <c r="B570" s="48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</row>
    <row r="571">
      <c r="A571" s="48"/>
      <c r="B571" s="48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</row>
    <row r="572">
      <c r="A572" s="48"/>
      <c r="B572" s="48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</row>
    <row r="573">
      <c r="A573" s="48"/>
      <c r="B573" s="48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</row>
    <row r="574">
      <c r="A574" s="48"/>
      <c r="B574" s="48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</row>
    <row r="575">
      <c r="A575" s="48"/>
      <c r="B575" s="48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</row>
    <row r="576">
      <c r="A576" s="48"/>
      <c r="B576" s="48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</row>
    <row r="577">
      <c r="A577" s="48"/>
      <c r="B577" s="48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</row>
    <row r="578">
      <c r="A578" s="48"/>
      <c r="B578" s="48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</row>
    <row r="579">
      <c r="A579" s="48"/>
      <c r="B579" s="48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</row>
    <row r="580">
      <c r="A580" s="48"/>
      <c r="B580" s="48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</row>
    <row r="581">
      <c r="A581" s="48"/>
      <c r="B581" s="48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</row>
    <row r="582">
      <c r="A582" s="48"/>
      <c r="B582" s="48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</row>
    <row r="583">
      <c r="A583" s="48"/>
      <c r="B583" s="48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</row>
    <row r="584">
      <c r="A584" s="48"/>
      <c r="B584" s="48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</row>
    <row r="585">
      <c r="A585" s="48"/>
      <c r="B585" s="48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</row>
    <row r="586">
      <c r="A586" s="48"/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</row>
    <row r="587">
      <c r="A587" s="48"/>
      <c r="B587" s="48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</row>
    <row r="588">
      <c r="A588" s="48"/>
      <c r="B588" s="48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</row>
    <row r="589">
      <c r="A589" s="48"/>
      <c r="B589" s="48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</row>
    <row r="590">
      <c r="A590" s="48"/>
      <c r="B590" s="48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</row>
    <row r="591">
      <c r="A591" s="48"/>
      <c r="B591" s="48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</row>
    <row r="592">
      <c r="A592" s="48"/>
      <c r="B592" s="48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</row>
    <row r="593">
      <c r="A593" s="48"/>
      <c r="B593" s="48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</row>
    <row r="594">
      <c r="A594" s="48"/>
      <c r="B594" s="48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</row>
    <row r="595">
      <c r="A595" s="48"/>
      <c r="B595" s="48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</row>
    <row r="596">
      <c r="A596" s="48"/>
      <c r="B596" s="48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</row>
    <row r="597">
      <c r="A597" s="48"/>
      <c r="B597" s="48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</row>
    <row r="598">
      <c r="A598" s="48"/>
      <c r="B598" s="48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</row>
    <row r="599">
      <c r="A599" s="48"/>
      <c r="B599" s="48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</row>
    <row r="600">
      <c r="A600" s="48"/>
      <c r="B600" s="48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</row>
    <row r="601">
      <c r="A601" s="48"/>
      <c r="B601" s="48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</row>
    <row r="602">
      <c r="A602" s="48"/>
      <c r="B602" s="48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</row>
    <row r="603">
      <c r="A603" s="48"/>
      <c r="B603" s="48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</row>
    <row r="604">
      <c r="A604" s="48"/>
      <c r="B604" s="48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</row>
    <row r="605">
      <c r="A605" s="48"/>
      <c r="B605" s="48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</row>
    <row r="606">
      <c r="A606" s="48"/>
      <c r="B606" s="48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</row>
    <row r="607">
      <c r="A607" s="48"/>
      <c r="B607" s="48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</row>
    <row r="608">
      <c r="A608" s="48"/>
      <c r="B608" s="48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</row>
    <row r="609">
      <c r="A609" s="48"/>
      <c r="B609" s="48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</row>
    <row r="610">
      <c r="A610" s="48"/>
      <c r="B610" s="48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</row>
    <row r="611">
      <c r="A611" s="48"/>
      <c r="B611" s="48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</row>
    <row r="612">
      <c r="A612" s="48"/>
      <c r="B612" s="48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</row>
    <row r="613">
      <c r="A613" s="48"/>
      <c r="B613" s="48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</row>
    <row r="614">
      <c r="A614" s="48"/>
      <c r="B614" s="48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</row>
    <row r="615">
      <c r="A615" s="48"/>
      <c r="B615" s="48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</row>
    <row r="616">
      <c r="A616" s="48"/>
      <c r="B616" s="48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</row>
    <row r="617">
      <c r="A617" s="48"/>
      <c r="B617" s="48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</row>
    <row r="618">
      <c r="A618" s="48"/>
      <c r="B618" s="48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</row>
    <row r="619">
      <c r="A619" s="48"/>
      <c r="B619" s="48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</row>
    <row r="620">
      <c r="A620" s="48"/>
      <c r="B620" s="48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</row>
    <row r="621">
      <c r="A621" s="48"/>
      <c r="B621" s="48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</row>
    <row r="622">
      <c r="A622" s="48"/>
      <c r="B622" s="48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</row>
    <row r="623">
      <c r="A623" s="48"/>
      <c r="B623" s="48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</row>
    <row r="624">
      <c r="A624" s="48"/>
      <c r="B624" s="48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</row>
    <row r="625">
      <c r="A625" s="48"/>
      <c r="B625" s="48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</row>
    <row r="626">
      <c r="A626" s="48"/>
      <c r="B626" s="48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</row>
    <row r="627">
      <c r="A627" s="48"/>
      <c r="B627" s="48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</row>
    <row r="628">
      <c r="A628" s="48"/>
      <c r="B628" s="48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</row>
    <row r="629">
      <c r="A629" s="48"/>
      <c r="B629" s="48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</row>
    <row r="630">
      <c r="A630" s="48"/>
      <c r="B630" s="48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</row>
    <row r="631">
      <c r="A631" s="48"/>
      <c r="B631" s="48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</row>
    <row r="632">
      <c r="A632" s="48"/>
      <c r="B632" s="48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</row>
    <row r="633">
      <c r="A633" s="48"/>
      <c r="B633" s="48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</row>
    <row r="634">
      <c r="A634" s="48"/>
      <c r="B634" s="48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</row>
    <row r="635">
      <c r="A635" s="48"/>
      <c r="B635" s="48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</row>
    <row r="636">
      <c r="A636" s="48"/>
      <c r="B636" s="48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</row>
    <row r="637">
      <c r="A637" s="48"/>
      <c r="B637" s="48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</row>
    <row r="638">
      <c r="A638" s="48"/>
      <c r="B638" s="48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</row>
    <row r="639">
      <c r="A639" s="48"/>
      <c r="B639" s="48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</row>
    <row r="640">
      <c r="A640" s="48"/>
      <c r="B640" s="48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</row>
    <row r="641">
      <c r="A641" s="48"/>
      <c r="B641" s="48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</row>
    <row r="642">
      <c r="A642" s="48"/>
      <c r="B642" s="48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</row>
    <row r="643">
      <c r="A643" s="48"/>
      <c r="B643" s="48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</row>
    <row r="644">
      <c r="A644" s="48"/>
      <c r="B644" s="48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</row>
    <row r="645">
      <c r="A645" s="48"/>
      <c r="B645" s="48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</row>
    <row r="646">
      <c r="A646" s="48"/>
      <c r="B646" s="48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</row>
    <row r="647">
      <c r="A647" s="48"/>
      <c r="B647" s="48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</row>
    <row r="648">
      <c r="A648" s="48"/>
      <c r="B648" s="48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</row>
    <row r="649">
      <c r="A649" s="48"/>
      <c r="B649" s="48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</row>
    <row r="650">
      <c r="A650" s="48"/>
      <c r="B650" s="48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</row>
    <row r="651">
      <c r="A651" s="48"/>
      <c r="B651" s="48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</row>
    <row r="652">
      <c r="A652" s="48"/>
      <c r="B652" s="48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</row>
    <row r="653">
      <c r="A653" s="48"/>
      <c r="B653" s="48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</row>
    <row r="654">
      <c r="A654" s="48"/>
      <c r="B654" s="48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</row>
    <row r="655">
      <c r="A655" s="48"/>
      <c r="B655" s="48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</row>
    <row r="656">
      <c r="A656" s="48"/>
      <c r="B656" s="48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</row>
    <row r="657">
      <c r="A657" s="48"/>
      <c r="B657" s="48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</row>
    <row r="658">
      <c r="A658" s="48"/>
      <c r="B658" s="48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</row>
    <row r="659">
      <c r="A659" s="48"/>
      <c r="B659" s="48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</row>
    <row r="660">
      <c r="A660" s="48"/>
      <c r="B660" s="48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</row>
    <row r="661">
      <c r="A661" s="48"/>
      <c r="B661" s="48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</row>
    <row r="662">
      <c r="A662" s="48"/>
      <c r="B662" s="48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</row>
    <row r="663">
      <c r="A663" s="48"/>
      <c r="B663" s="48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</row>
    <row r="664">
      <c r="A664" s="48"/>
      <c r="B664" s="48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</row>
    <row r="665">
      <c r="A665" s="48"/>
      <c r="B665" s="48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</row>
    <row r="666">
      <c r="A666" s="48"/>
      <c r="B666" s="48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</row>
    <row r="667">
      <c r="A667" s="48"/>
      <c r="B667" s="48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</row>
    <row r="668">
      <c r="A668" s="48"/>
      <c r="B668" s="48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</row>
    <row r="669">
      <c r="A669" s="48"/>
      <c r="B669" s="48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</row>
    <row r="670">
      <c r="A670" s="48"/>
      <c r="B670" s="48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</row>
    <row r="671">
      <c r="A671" s="48"/>
      <c r="B671" s="48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</row>
    <row r="672">
      <c r="A672" s="48"/>
      <c r="B672" s="48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</row>
    <row r="673">
      <c r="A673" s="48"/>
      <c r="B673" s="48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</row>
    <row r="674">
      <c r="A674" s="48"/>
      <c r="B674" s="48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</row>
    <row r="675">
      <c r="A675" s="48"/>
      <c r="B675" s="48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</row>
    <row r="676">
      <c r="A676" s="48"/>
      <c r="B676" s="48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</row>
    <row r="677">
      <c r="A677" s="48"/>
      <c r="B677" s="48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</row>
    <row r="678">
      <c r="A678" s="48"/>
      <c r="B678" s="48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</row>
    <row r="679">
      <c r="A679" s="48"/>
      <c r="B679" s="48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</row>
    <row r="680">
      <c r="A680" s="48"/>
      <c r="B680" s="48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</row>
    <row r="681">
      <c r="A681" s="48"/>
      <c r="B681" s="48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</row>
    <row r="682">
      <c r="A682" s="48"/>
      <c r="B682" s="48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</row>
    <row r="683">
      <c r="A683" s="48"/>
      <c r="B683" s="48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</row>
    <row r="684">
      <c r="A684" s="48"/>
      <c r="B684" s="48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</row>
    <row r="685">
      <c r="A685" s="48"/>
      <c r="B685" s="48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</row>
    <row r="686">
      <c r="A686" s="48"/>
      <c r="B686" s="48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</row>
    <row r="687">
      <c r="A687" s="48"/>
      <c r="B687" s="48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</row>
    <row r="688">
      <c r="A688" s="48"/>
      <c r="B688" s="48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</row>
    <row r="689">
      <c r="A689" s="48"/>
      <c r="B689" s="48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</row>
    <row r="690">
      <c r="A690" s="48"/>
      <c r="B690" s="48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</row>
    <row r="691">
      <c r="A691" s="48"/>
      <c r="B691" s="48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</row>
    <row r="692">
      <c r="A692" s="48"/>
      <c r="B692" s="48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</row>
    <row r="693">
      <c r="A693" s="48"/>
      <c r="B693" s="48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</row>
    <row r="694">
      <c r="A694" s="48"/>
      <c r="B694" s="48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</row>
    <row r="695">
      <c r="A695" s="48"/>
      <c r="B695" s="48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</row>
    <row r="696">
      <c r="A696" s="48"/>
      <c r="B696" s="48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</row>
    <row r="697">
      <c r="A697" s="48"/>
      <c r="B697" s="48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</row>
    <row r="698">
      <c r="A698" s="48"/>
      <c r="B698" s="48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</row>
    <row r="699">
      <c r="A699" s="48"/>
      <c r="B699" s="48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</row>
    <row r="700">
      <c r="A700" s="48"/>
      <c r="B700" s="48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</row>
    <row r="701">
      <c r="A701" s="48"/>
      <c r="B701" s="48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</row>
    <row r="702">
      <c r="A702" s="48"/>
      <c r="B702" s="48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</row>
    <row r="703">
      <c r="A703" s="48"/>
      <c r="B703" s="48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</row>
    <row r="704">
      <c r="A704" s="48"/>
      <c r="B704" s="48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</row>
    <row r="705">
      <c r="A705" s="48"/>
      <c r="B705" s="48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</row>
    <row r="706">
      <c r="A706" s="48"/>
      <c r="B706" s="48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</row>
    <row r="707">
      <c r="A707" s="48"/>
      <c r="B707" s="48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</row>
    <row r="708">
      <c r="A708" s="48"/>
      <c r="B708" s="48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</row>
    <row r="709">
      <c r="A709" s="48"/>
      <c r="B709" s="48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</row>
    <row r="710">
      <c r="A710" s="48"/>
      <c r="B710" s="48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</row>
    <row r="711">
      <c r="A711" s="48"/>
      <c r="B711" s="48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</row>
    <row r="712">
      <c r="A712" s="48"/>
      <c r="B712" s="48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</row>
    <row r="713">
      <c r="A713" s="48"/>
      <c r="B713" s="48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</row>
    <row r="714">
      <c r="A714" s="48"/>
      <c r="B714" s="48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</row>
    <row r="715">
      <c r="A715" s="48"/>
      <c r="B715" s="48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</row>
    <row r="716">
      <c r="A716" s="48"/>
      <c r="B716" s="48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</row>
    <row r="717">
      <c r="A717" s="48"/>
      <c r="B717" s="48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</row>
    <row r="718">
      <c r="A718" s="48"/>
      <c r="B718" s="48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</row>
    <row r="719">
      <c r="A719" s="48"/>
      <c r="B719" s="48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</row>
    <row r="720">
      <c r="A720" s="48"/>
      <c r="B720" s="48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</row>
    <row r="721">
      <c r="A721" s="48"/>
      <c r="B721" s="48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</row>
    <row r="722">
      <c r="A722" s="48"/>
      <c r="B722" s="48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</row>
    <row r="723">
      <c r="A723" s="48"/>
      <c r="B723" s="48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</row>
    <row r="724">
      <c r="A724" s="48"/>
      <c r="B724" s="48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</row>
    <row r="725">
      <c r="A725" s="48"/>
      <c r="B725" s="48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</row>
    <row r="726">
      <c r="A726" s="48"/>
      <c r="B726" s="48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</row>
    <row r="727">
      <c r="A727" s="48"/>
      <c r="B727" s="48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</row>
    <row r="728">
      <c r="A728" s="48"/>
      <c r="B728" s="48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</row>
    <row r="729">
      <c r="A729" s="48"/>
      <c r="B729" s="48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</row>
    <row r="730">
      <c r="A730" s="48"/>
      <c r="B730" s="48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</row>
    <row r="731">
      <c r="A731" s="48"/>
      <c r="B731" s="48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</row>
    <row r="732">
      <c r="A732" s="48"/>
      <c r="B732" s="48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</row>
    <row r="733">
      <c r="A733" s="48"/>
      <c r="B733" s="48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</row>
    <row r="734">
      <c r="A734" s="48"/>
      <c r="B734" s="48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</row>
    <row r="735">
      <c r="A735" s="48"/>
      <c r="B735" s="48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</row>
    <row r="736">
      <c r="A736" s="48"/>
      <c r="B736" s="48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</row>
    <row r="737">
      <c r="A737" s="48"/>
      <c r="B737" s="48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</row>
    <row r="738">
      <c r="A738" s="48"/>
      <c r="B738" s="48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</row>
    <row r="739">
      <c r="A739" s="48"/>
      <c r="B739" s="48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</row>
    <row r="740">
      <c r="A740" s="48"/>
      <c r="B740" s="48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</row>
    <row r="741">
      <c r="A741" s="48"/>
      <c r="B741" s="48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</row>
    <row r="742">
      <c r="A742" s="48"/>
      <c r="B742" s="48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</row>
    <row r="743">
      <c r="A743" s="48"/>
      <c r="B743" s="48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</row>
    <row r="744">
      <c r="A744" s="48"/>
      <c r="B744" s="48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</row>
    <row r="745">
      <c r="A745" s="48"/>
      <c r="B745" s="48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</row>
    <row r="746">
      <c r="A746" s="48"/>
      <c r="B746" s="48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</row>
    <row r="747">
      <c r="A747" s="48"/>
      <c r="B747" s="48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</row>
    <row r="748">
      <c r="A748" s="48"/>
      <c r="B748" s="48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</row>
    <row r="749">
      <c r="A749" s="48"/>
      <c r="B749" s="48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</row>
    <row r="750">
      <c r="A750" s="48"/>
      <c r="B750" s="48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</row>
    <row r="751">
      <c r="A751" s="48"/>
      <c r="B751" s="48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</row>
    <row r="752">
      <c r="A752" s="48"/>
      <c r="B752" s="48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</row>
    <row r="753">
      <c r="A753" s="48"/>
      <c r="B753" s="48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</row>
    <row r="754">
      <c r="A754" s="48"/>
      <c r="B754" s="48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</row>
    <row r="755">
      <c r="A755" s="48"/>
      <c r="B755" s="48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</row>
    <row r="756">
      <c r="A756" s="48"/>
      <c r="B756" s="48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</row>
    <row r="757">
      <c r="A757" s="48"/>
      <c r="B757" s="48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</row>
    <row r="758">
      <c r="A758" s="48"/>
      <c r="B758" s="48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</row>
    <row r="759">
      <c r="A759" s="48"/>
      <c r="B759" s="48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</row>
    <row r="760">
      <c r="A760" s="48"/>
      <c r="B760" s="48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</row>
    <row r="761">
      <c r="A761" s="48"/>
      <c r="B761" s="48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</row>
    <row r="762">
      <c r="A762" s="48"/>
      <c r="B762" s="48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</row>
    <row r="763">
      <c r="A763" s="48"/>
      <c r="B763" s="48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</row>
    <row r="764">
      <c r="A764" s="48"/>
      <c r="B764" s="48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</row>
    <row r="765">
      <c r="A765" s="48"/>
      <c r="B765" s="48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</row>
    <row r="766">
      <c r="A766" s="48"/>
      <c r="B766" s="48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</row>
    <row r="767">
      <c r="A767" s="48"/>
      <c r="B767" s="48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</row>
    <row r="768">
      <c r="A768" s="48"/>
      <c r="B768" s="48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</row>
    <row r="769">
      <c r="A769" s="48"/>
      <c r="B769" s="48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</row>
    <row r="770">
      <c r="A770" s="48"/>
      <c r="B770" s="48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</row>
    <row r="771">
      <c r="A771" s="48"/>
      <c r="B771" s="48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</row>
    <row r="772">
      <c r="A772" s="48"/>
      <c r="B772" s="48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</row>
    <row r="773">
      <c r="A773" s="48"/>
      <c r="B773" s="48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</row>
    <row r="774">
      <c r="A774" s="48"/>
      <c r="B774" s="48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</row>
    <row r="775">
      <c r="A775" s="48"/>
      <c r="B775" s="48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</row>
    <row r="776">
      <c r="A776" s="48"/>
      <c r="B776" s="48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</row>
    <row r="777">
      <c r="A777" s="48"/>
      <c r="B777" s="48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</row>
    <row r="778">
      <c r="A778" s="48"/>
      <c r="B778" s="48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</row>
    <row r="779">
      <c r="A779" s="48"/>
      <c r="B779" s="48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</row>
    <row r="780">
      <c r="A780" s="48"/>
      <c r="B780" s="48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</row>
    <row r="781">
      <c r="A781" s="48"/>
      <c r="B781" s="48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</row>
    <row r="782">
      <c r="A782" s="48"/>
      <c r="B782" s="48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</row>
    <row r="783">
      <c r="A783" s="48"/>
      <c r="B783" s="48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</row>
    <row r="784">
      <c r="A784" s="48"/>
      <c r="B784" s="48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</row>
    <row r="785">
      <c r="A785" s="48"/>
      <c r="B785" s="48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</row>
    <row r="786">
      <c r="A786" s="48"/>
      <c r="B786" s="48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</row>
    <row r="787">
      <c r="A787" s="48"/>
      <c r="B787" s="48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</row>
    <row r="788">
      <c r="A788" s="48"/>
      <c r="B788" s="48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</row>
    <row r="789">
      <c r="A789" s="48"/>
      <c r="B789" s="48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</row>
    <row r="790">
      <c r="A790" s="48"/>
      <c r="B790" s="48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</row>
    <row r="791">
      <c r="A791" s="48"/>
      <c r="B791" s="48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</row>
    <row r="792">
      <c r="A792" s="48"/>
      <c r="B792" s="48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</row>
    <row r="793">
      <c r="A793" s="48"/>
      <c r="B793" s="48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</row>
    <row r="794">
      <c r="A794" s="48"/>
      <c r="B794" s="48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</row>
    <row r="795">
      <c r="A795" s="48"/>
      <c r="B795" s="48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</row>
    <row r="796">
      <c r="A796" s="48"/>
      <c r="B796" s="48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</row>
    <row r="797">
      <c r="A797" s="48"/>
      <c r="B797" s="48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</row>
    <row r="798">
      <c r="A798" s="48"/>
      <c r="B798" s="48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</row>
    <row r="799">
      <c r="A799" s="48"/>
      <c r="B799" s="48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</row>
    <row r="800">
      <c r="A800" s="48"/>
      <c r="B800" s="48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</row>
    <row r="801">
      <c r="A801" s="48"/>
      <c r="B801" s="48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</row>
    <row r="802">
      <c r="A802" s="48"/>
      <c r="B802" s="48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</row>
    <row r="803">
      <c r="A803" s="48"/>
      <c r="B803" s="48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</row>
    <row r="804">
      <c r="A804" s="48"/>
      <c r="B804" s="48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</row>
    <row r="805">
      <c r="A805" s="48"/>
      <c r="B805" s="48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</row>
    <row r="806">
      <c r="A806" s="48"/>
      <c r="B806" s="48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</row>
    <row r="807">
      <c r="A807" s="48"/>
      <c r="B807" s="48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</row>
    <row r="808">
      <c r="A808" s="48"/>
      <c r="B808" s="48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</row>
    <row r="809">
      <c r="A809" s="48"/>
      <c r="B809" s="48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</row>
    <row r="810">
      <c r="A810" s="48"/>
      <c r="B810" s="48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</row>
    <row r="811">
      <c r="A811" s="48"/>
      <c r="B811" s="48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</row>
    <row r="812">
      <c r="A812" s="48"/>
      <c r="B812" s="48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</row>
    <row r="813">
      <c r="A813" s="48"/>
      <c r="B813" s="48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</row>
    <row r="814">
      <c r="A814" s="48"/>
      <c r="B814" s="48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</row>
    <row r="815">
      <c r="A815" s="48"/>
      <c r="B815" s="48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</row>
    <row r="816">
      <c r="A816" s="48"/>
      <c r="B816" s="48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</row>
    <row r="817">
      <c r="A817" s="48"/>
      <c r="B817" s="48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</row>
    <row r="818">
      <c r="A818" s="48"/>
      <c r="B818" s="48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</row>
    <row r="819">
      <c r="A819" s="48"/>
      <c r="B819" s="48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</row>
    <row r="820">
      <c r="A820" s="48"/>
      <c r="B820" s="48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</row>
    <row r="821">
      <c r="A821" s="48"/>
      <c r="B821" s="48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</row>
    <row r="822">
      <c r="A822" s="48"/>
      <c r="B822" s="48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</row>
    <row r="823">
      <c r="A823" s="48"/>
      <c r="B823" s="48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</row>
    <row r="824">
      <c r="A824" s="48"/>
      <c r="B824" s="48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</row>
    <row r="825">
      <c r="A825" s="48"/>
      <c r="B825" s="48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</row>
    <row r="826">
      <c r="A826" s="48"/>
      <c r="B826" s="48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</row>
    <row r="827">
      <c r="A827" s="48"/>
      <c r="B827" s="48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</row>
    <row r="828">
      <c r="A828" s="48"/>
      <c r="B828" s="48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</row>
    <row r="829">
      <c r="A829" s="48"/>
      <c r="B829" s="48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</row>
    <row r="830">
      <c r="A830" s="48"/>
      <c r="B830" s="48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</row>
    <row r="831">
      <c r="A831" s="48"/>
      <c r="B831" s="48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</row>
    <row r="832">
      <c r="A832" s="48"/>
      <c r="B832" s="48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</row>
    <row r="833">
      <c r="A833" s="48"/>
      <c r="B833" s="48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</row>
    <row r="834">
      <c r="A834" s="48"/>
      <c r="B834" s="48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</row>
    <row r="835">
      <c r="A835" s="48"/>
      <c r="B835" s="48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</row>
    <row r="836">
      <c r="A836" s="48"/>
      <c r="B836" s="48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</row>
    <row r="837">
      <c r="A837" s="48"/>
      <c r="B837" s="48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</row>
    <row r="838">
      <c r="A838" s="48"/>
      <c r="B838" s="48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</row>
    <row r="839">
      <c r="A839" s="48"/>
      <c r="B839" s="48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</row>
    <row r="840">
      <c r="A840" s="48"/>
      <c r="B840" s="48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</row>
    <row r="841">
      <c r="A841" s="48"/>
      <c r="B841" s="48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</row>
    <row r="842">
      <c r="A842" s="48"/>
      <c r="B842" s="48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</row>
    <row r="843">
      <c r="A843" s="48"/>
      <c r="B843" s="48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</row>
    <row r="844">
      <c r="A844" s="48"/>
      <c r="B844" s="48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</row>
    <row r="845">
      <c r="A845" s="48"/>
      <c r="B845" s="48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</row>
    <row r="846">
      <c r="A846" s="48"/>
      <c r="B846" s="48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</row>
    <row r="847">
      <c r="A847" s="48"/>
      <c r="B847" s="48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</row>
    <row r="848">
      <c r="A848" s="48"/>
      <c r="B848" s="48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</row>
    <row r="849">
      <c r="A849" s="48"/>
      <c r="B849" s="48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</row>
    <row r="850">
      <c r="A850" s="48"/>
      <c r="B850" s="48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</row>
    <row r="851">
      <c r="A851" s="48"/>
      <c r="B851" s="48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</row>
    <row r="852">
      <c r="A852" s="48"/>
      <c r="B852" s="48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</row>
    <row r="853">
      <c r="A853" s="48"/>
      <c r="B853" s="48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</row>
    <row r="854">
      <c r="A854" s="48"/>
      <c r="B854" s="48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</row>
    <row r="855">
      <c r="A855" s="48"/>
      <c r="B855" s="48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</row>
    <row r="856">
      <c r="A856" s="48"/>
      <c r="B856" s="48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</row>
    <row r="857">
      <c r="A857" s="48"/>
      <c r="B857" s="48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</row>
    <row r="858">
      <c r="A858" s="48"/>
      <c r="B858" s="48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</row>
    <row r="859">
      <c r="A859" s="48"/>
      <c r="B859" s="48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</row>
    <row r="860">
      <c r="A860" s="48"/>
      <c r="B860" s="48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</row>
    <row r="861">
      <c r="A861" s="48"/>
      <c r="B861" s="48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</row>
    <row r="862">
      <c r="A862" s="48"/>
      <c r="B862" s="48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</row>
    <row r="863">
      <c r="A863" s="48"/>
      <c r="B863" s="48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</row>
    <row r="864">
      <c r="A864" s="48"/>
      <c r="B864" s="48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</row>
    <row r="865">
      <c r="A865" s="48"/>
      <c r="B865" s="48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</row>
    <row r="866">
      <c r="A866" s="48"/>
      <c r="B866" s="48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</row>
    <row r="867">
      <c r="A867" s="48"/>
      <c r="B867" s="48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</row>
    <row r="868">
      <c r="A868" s="48"/>
      <c r="B868" s="48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</row>
    <row r="869">
      <c r="A869" s="48"/>
      <c r="B869" s="48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</row>
    <row r="870">
      <c r="A870" s="48"/>
      <c r="B870" s="48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</row>
    <row r="871">
      <c r="A871" s="48"/>
      <c r="B871" s="48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</row>
    <row r="872">
      <c r="A872" s="48"/>
      <c r="B872" s="48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</row>
    <row r="873">
      <c r="A873" s="48"/>
      <c r="B873" s="48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</row>
    <row r="874">
      <c r="A874" s="48"/>
      <c r="B874" s="48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</row>
    <row r="875">
      <c r="A875" s="48"/>
      <c r="B875" s="48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</row>
    <row r="876">
      <c r="A876" s="48"/>
      <c r="B876" s="48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</row>
    <row r="877">
      <c r="A877" s="48"/>
      <c r="B877" s="48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</row>
    <row r="878">
      <c r="A878" s="48"/>
      <c r="B878" s="48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</row>
    <row r="879">
      <c r="A879" s="48"/>
      <c r="B879" s="48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</row>
    <row r="880">
      <c r="A880" s="48"/>
      <c r="B880" s="48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</row>
    <row r="881">
      <c r="A881" s="48"/>
      <c r="B881" s="48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</row>
    <row r="882">
      <c r="A882" s="48"/>
      <c r="B882" s="48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</row>
    <row r="883">
      <c r="A883" s="48"/>
      <c r="B883" s="48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</row>
    <row r="884">
      <c r="A884" s="48"/>
      <c r="B884" s="48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</row>
    <row r="885">
      <c r="A885" s="48"/>
      <c r="B885" s="48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</row>
    <row r="886">
      <c r="A886" s="48"/>
      <c r="B886" s="48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</row>
    <row r="887">
      <c r="A887" s="48"/>
      <c r="B887" s="48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</row>
    <row r="888">
      <c r="A888" s="48"/>
      <c r="B888" s="48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</row>
    <row r="889">
      <c r="A889" s="48"/>
      <c r="B889" s="48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</row>
    <row r="890">
      <c r="A890" s="48"/>
      <c r="B890" s="48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</row>
    <row r="891">
      <c r="A891" s="48"/>
      <c r="B891" s="48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</row>
    <row r="892">
      <c r="A892" s="48"/>
      <c r="B892" s="48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</row>
    <row r="893">
      <c r="A893" s="48"/>
      <c r="B893" s="48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</row>
    <row r="894">
      <c r="A894" s="48"/>
      <c r="B894" s="48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</row>
    <row r="895">
      <c r="A895" s="48"/>
      <c r="B895" s="48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</row>
    <row r="896">
      <c r="A896" s="48"/>
      <c r="B896" s="48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</row>
    <row r="897">
      <c r="A897" s="48"/>
      <c r="B897" s="48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</row>
    <row r="898">
      <c r="A898" s="48"/>
      <c r="B898" s="48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</row>
    <row r="899">
      <c r="A899" s="48"/>
      <c r="B899" s="48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</row>
    <row r="900">
      <c r="A900" s="48"/>
      <c r="B900" s="48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</row>
    <row r="901">
      <c r="A901" s="48"/>
      <c r="B901" s="48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</row>
    <row r="902">
      <c r="A902" s="48"/>
      <c r="B902" s="48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</row>
    <row r="903">
      <c r="A903" s="48"/>
      <c r="B903" s="48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</row>
    <row r="904">
      <c r="A904" s="48"/>
      <c r="B904" s="48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</row>
    <row r="905">
      <c r="A905" s="48"/>
      <c r="B905" s="48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</row>
    <row r="906">
      <c r="A906" s="48"/>
      <c r="B906" s="48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</row>
    <row r="907">
      <c r="A907" s="48"/>
      <c r="B907" s="48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</row>
    <row r="908">
      <c r="A908" s="48"/>
      <c r="B908" s="48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</row>
    <row r="909">
      <c r="A909" s="48"/>
      <c r="B909" s="48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</row>
    <row r="910">
      <c r="A910" s="48"/>
      <c r="B910" s="48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</row>
    <row r="911">
      <c r="A911" s="48"/>
      <c r="B911" s="48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</row>
    <row r="912">
      <c r="A912" s="48"/>
      <c r="B912" s="48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</row>
    <row r="913">
      <c r="A913" s="48"/>
      <c r="B913" s="48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</row>
    <row r="914">
      <c r="A914" s="48"/>
      <c r="B914" s="48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</row>
    <row r="915">
      <c r="A915" s="48"/>
      <c r="B915" s="48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</row>
    <row r="916">
      <c r="A916" s="48"/>
      <c r="B916" s="48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</row>
    <row r="917">
      <c r="A917" s="48"/>
      <c r="B917" s="48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</row>
    <row r="918">
      <c r="A918" s="48"/>
      <c r="B918" s="48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</row>
    <row r="919">
      <c r="A919" s="48"/>
      <c r="B919" s="48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</row>
    <row r="920">
      <c r="A920" s="48"/>
      <c r="B920" s="48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</row>
    <row r="921">
      <c r="A921" s="48"/>
      <c r="B921" s="48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</row>
    <row r="922">
      <c r="A922" s="48"/>
      <c r="B922" s="48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</row>
    <row r="923">
      <c r="A923" s="48"/>
      <c r="B923" s="48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</row>
    <row r="924">
      <c r="A924" s="48"/>
      <c r="B924" s="48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</row>
    <row r="925">
      <c r="A925" s="48"/>
      <c r="B925" s="48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</row>
    <row r="926">
      <c r="A926" s="48"/>
      <c r="B926" s="48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</row>
    <row r="927">
      <c r="A927" s="48"/>
      <c r="B927" s="48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</row>
    <row r="928">
      <c r="A928" s="48"/>
      <c r="B928" s="48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</row>
    <row r="929">
      <c r="A929" s="48"/>
      <c r="B929" s="48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</row>
    <row r="930">
      <c r="A930" s="48"/>
      <c r="B930" s="48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</row>
    <row r="931">
      <c r="A931" s="48"/>
      <c r="B931" s="48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</row>
    <row r="932">
      <c r="A932" s="48"/>
      <c r="B932" s="48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</row>
    <row r="933">
      <c r="A933" s="48"/>
      <c r="B933" s="48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</row>
    <row r="934">
      <c r="A934" s="48"/>
      <c r="B934" s="48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</row>
    <row r="935">
      <c r="A935" s="48"/>
      <c r="B935" s="48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</row>
    <row r="936">
      <c r="A936" s="48"/>
      <c r="B936" s="48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</row>
    <row r="937">
      <c r="A937" s="48"/>
      <c r="B937" s="48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</row>
    <row r="938">
      <c r="A938" s="48"/>
      <c r="B938" s="48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</row>
    <row r="939">
      <c r="A939" s="48"/>
      <c r="B939" s="48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</row>
    <row r="940">
      <c r="A940" s="48"/>
      <c r="B940" s="48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</row>
    <row r="941">
      <c r="A941" s="48"/>
      <c r="B941" s="48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</row>
    <row r="942">
      <c r="A942" s="48"/>
      <c r="B942" s="48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</row>
    <row r="943">
      <c r="A943" s="48"/>
      <c r="B943" s="48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</row>
    <row r="944">
      <c r="A944" s="48"/>
      <c r="B944" s="48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</row>
    <row r="945">
      <c r="A945" s="48"/>
      <c r="B945" s="48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</row>
    <row r="946">
      <c r="A946" s="48"/>
      <c r="B946" s="48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</row>
    <row r="947">
      <c r="A947" s="48"/>
      <c r="B947" s="48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</row>
    <row r="948">
      <c r="A948" s="48"/>
      <c r="B948" s="48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</row>
    <row r="949">
      <c r="A949" s="48"/>
      <c r="B949" s="48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</row>
    <row r="950">
      <c r="A950" s="48"/>
      <c r="B950" s="48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</row>
    <row r="951">
      <c r="A951" s="48"/>
      <c r="B951" s="48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</row>
    <row r="952">
      <c r="A952" s="48"/>
      <c r="B952" s="48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</row>
    <row r="953">
      <c r="A953" s="48"/>
      <c r="B953" s="48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</row>
    <row r="954">
      <c r="A954" s="48"/>
      <c r="B954" s="48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</row>
    <row r="955">
      <c r="A955" s="48"/>
      <c r="B955" s="48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</row>
    <row r="956">
      <c r="A956" s="48"/>
      <c r="B956" s="48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</row>
    <row r="957">
      <c r="A957" s="48"/>
      <c r="B957" s="48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</row>
    <row r="958">
      <c r="A958" s="48"/>
      <c r="B958" s="48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</row>
    <row r="959">
      <c r="A959" s="48"/>
      <c r="B959" s="48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</row>
    <row r="960">
      <c r="A960" s="48"/>
      <c r="B960" s="48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</row>
    <row r="961">
      <c r="A961" s="48"/>
      <c r="B961" s="48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</row>
    <row r="962">
      <c r="A962" s="48"/>
      <c r="B962" s="48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</row>
    <row r="963">
      <c r="A963" s="48"/>
      <c r="B963" s="48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</row>
    <row r="964">
      <c r="A964" s="48"/>
      <c r="B964" s="48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</row>
    <row r="965">
      <c r="A965" s="48"/>
      <c r="B965" s="48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</row>
    <row r="966">
      <c r="A966" s="48"/>
      <c r="B966" s="48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</row>
    <row r="967">
      <c r="A967" s="48"/>
      <c r="B967" s="48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</row>
    <row r="968">
      <c r="A968" s="48"/>
      <c r="B968" s="48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</row>
    <row r="969">
      <c r="A969" s="48"/>
      <c r="B969" s="48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</row>
    <row r="970">
      <c r="A970" s="48"/>
      <c r="B970" s="48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</row>
    <row r="971">
      <c r="A971" s="48"/>
      <c r="B971" s="48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</row>
    <row r="972">
      <c r="A972" s="48"/>
      <c r="B972" s="48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</row>
    <row r="973">
      <c r="A973" s="48"/>
      <c r="B973" s="48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</row>
    <row r="974">
      <c r="A974" s="48"/>
      <c r="B974" s="48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</row>
    <row r="975">
      <c r="A975" s="48"/>
      <c r="B975" s="48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</row>
    <row r="976">
      <c r="A976" s="48"/>
      <c r="B976" s="48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</row>
    <row r="977">
      <c r="A977" s="48"/>
      <c r="B977" s="48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</row>
    <row r="978">
      <c r="A978" s="48"/>
      <c r="B978" s="48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</row>
    <row r="979">
      <c r="A979" s="48"/>
      <c r="B979" s="48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</row>
    <row r="980">
      <c r="A980" s="48"/>
      <c r="B980" s="48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</row>
    <row r="981">
      <c r="A981" s="48"/>
      <c r="B981" s="48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</row>
    <row r="982">
      <c r="A982" s="48"/>
      <c r="B982" s="48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</row>
    <row r="983">
      <c r="A983" s="48"/>
      <c r="B983" s="48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</row>
    <row r="984">
      <c r="A984" s="48"/>
      <c r="B984" s="48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</row>
    <row r="985">
      <c r="A985" s="48"/>
      <c r="B985" s="48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</row>
    <row r="986">
      <c r="A986" s="48"/>
      <c r="B986" s="48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</row>
    <row r="987">
      <c r="A987" s="48"/>
      <c r="B987" s="48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</row>
    <row r="988">
      <c r="A988" s="48"/>
      <c r="B988" s="48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</row>
    <row r="989">
      <c r="A989" s="48"/>
      <c r="B989" s="48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</row>
    <row r="990">
      <c r="A990" s="48"/>
      <c r="B990" s="48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</row>
    <row r="991">
      <c r="A991" s="48"/>
      <c r="B991" s="48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</row>
    <row r="992">
      <c r="A992" s="48"/>
      <c r="B992" s="48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</row>
    <row r="993">
      <c r="A993" s="48"/>
      <c r="B993" s="48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</row>
    <row r="994">
      <c r="A994" s="48"/>
      <c r="B994" s="48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</row>
    <row r="995">
      <c r="A995" s="48"/>
      <c r="B995" s="48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</row>
    <row r="996">
      <c r="A996" s="48"/>
      <c r="B996" s="48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</row>
    <row r="997">
      <c r="A997" s="48"/>
      <c r="B997" s="48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</row>
    <row r="998">
      <c r="A998" s="48"/>
      <c r="B998" s="48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</row>
    <row r="999">
      <c r="A999" s="48"/>
      <c r="B999" s="48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</row>
    <row r="1000">
      <c r="A1000" s="48"/>
      <c r="B1000" s="48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</row>
  </sheetData>
  <mergeCells count="11">
    <mergeCell ref="X3:AB3"/>
    <mergeCell ref="AC3:AG3"/>
    <mergeCell ref="AH3:AL3"/>
    <mergeCell ref="AM3:AQ3"/>
    <mergeCell ref="A3:A5"/>
    <mergeCell ref="B3:B5"/>
    <mergeCell ref="C3:C5"/>
    <mergeCell ref="D3:H3"/>
    <mergeCell ref="I3:M3"/>
    <mergeCell ref="N3:R3"/>
    <mergeCell ref="S3:W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5"/>
    <col customWidth="1" min="3" max="3" width="36.75"/>
    <col customWidth="1" min="4" max="40" width="7.63"/>
  </cols>
  <sheetData>
    <row r="1">
      <c r="A1" s="48"/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64"/>
    </row>
    <row r="2">
      <c r="A2" s="48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64"/>
    </row>
    <row r="3">
      <c r="A3" s="19" t="s">
        <v>129</v>
      </c>
      <c r="B3" s="19" t="s">
        <v>2</v>
      </c>
      <c r="C3" s="19" t="s">
        <v>3</v>
      </c>
      <c r="D3" s="65" t="s">
        <v>130</v>
      </c>
      <c r="E3" s="21"/>
      <c r="F3" s="21"/>
      <c r="G3" s="21"/>
      <c r="H3" s="21"/>
      <c r="I3" s="21"/>
      <c r="J3" s="21"/>
      <c r="K3" s="21"/>
      <c r="L3" s="21"/>
      <c r="M3" s="22"/>
      <c r="N3" s="65" t="s">
        <v>131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/>
      <c r="AF3" s="65" t="s">
        <v>132</v>
      </c>
      <c r="AG3" s="21"/>
      <c r="AH3" s="21"/>
      <c r="AI3" s="21"/>
      <c r="AJ3" s="21"/>
      <c r="AK3" s="21"/>
      <c r="AL3" s="21"/>
      <c r="AM3" s="21"/>
      <c r="AN3" s="22"/>
    </row>
    <row r="4">
      <c r="A4" s="58"/>
      <c r="B4" s="58"/>
      <c r="C4" s="58"/>
      <c r="D4" s="65" t="s">
        <v>133</v>
      </c>
      <c r="E4" s="21"/>
      <c r="F4" s="21"/>
      <c r="G4" s="21"/>
      <c r="H4" s="21"/>
      <c r="I4" s="21"/>
      <c r="J4" s="21"/>
      <c r="K4" s="21"/>
      <c r="L4" s="22"/>
      <c r="M4" s="66" t="s">
        <v>134</v>
      </c>
      <c r="N4" s="65" t="s">
        <v>135</v>
      </c>
      <c r="O4" s="21"/>
      <c r="P4" s="21"/>
      <c r="Q4" s="21"/>
      <c r="R4" s="21"/>
      <c r="S4" s="21"/>
      <c r="T4" s="21"/>
      <c r="U4" s="21"/>
      <c r="V4" s="22"/>
      <c r="W4" s="65" t="s">
        <v>136</v>
      </c>
      <c r="X4" s="21"/>
      <c r="Y4" s="21"/>
      <c r="Z4" s="21"/>
      <c r="AA4" s="21"/>
      <c r="AB4" s="21"/>
      <c r="AC4" s="21"/>
      <c r="AD4" s="21"/>
      <c r="AE4" s="22"/>
      <c r="AF4" s="65" t="s">
        <v>137</v>
      </c>
      <c r="AG4" s="21"/>
      <c r="AH4" s="21"/>
      <c r="AI4" s="21"/>
      <c r="AJ4" s="21"/>
      <c r="AK4" s="21"/>
      <c r="AL4" s="21"/>
      <c r="AM4" s="21"/>
      <c r="AN4" s="22"/>
    </row>
    <row r="5">
      <c r="A5" s="23"/>
      <c r="B5" s="23"/>
      <c r="C5" s="23"/>
      <c r="D5" s="67">
        <v>1.0</v>
      </c>
      <c r="E5" s="67">
        <v>2.0</v>
      </c>
      <c r="F5" s="67">
        <v>3.0</v>
      </c>
      <c r="G5" s="67">
        <v>4.0</v>
      </c>
      <c r="H5" s="67">
        <v>5.0</v>
      </c>
      <c r="I5" s="68">
        <v>6.0</v>
      </c>
      <c r="J5" s="68">
        <v>7.0</v>
      </c>
      <c r="K5" s="68">
        <v>8.0</v>
      </c>
      <c r="L5" s="67" t="s">
        <v>110</v>
      </c>
      <c r="M5" s="67" t="s">
        <v>110</v>
      </c>
      <c r="N5" s="67">
        <v>1.0</v>
      </c>
      <c r="O5" s="67">
        <v>2.0</v>
      </c>
      <c r="P5" s="67">
        <v>3.0</v>
      </c>
      <c r="Q5" s="67">
        <v>4.0</v>
      </c>
      <c r="R5" s="67">
        <v>5.0</v>
      </c>
      <c r="S5" s="68">
        <v>6.0</v>
      </c>
      <c r="T5" s="68">
        <v>7.0</v>
      </c>
      <c r="U5" s="68">
        <v>8.0</v>
      </c>
      <c r="V5" s="67" t="s">
        <v>110</v>
      </c>
      <c r="W5" s="67">
        <v>1.0</v>
      </c>
      <c r="X5" s="67">
        <v>2.0</v>
      </c>
      <c r="Y5" s="67">
        <v>3.0</v>
      </c>
      <c r="Z5" s="67">
        <v>4.0</v>
      </c>
      <c r="AA5" s="67">
        <v>5.0</v>
      </c>
      <c r="AB5" s="68">
        <v>6.0</v>
      </c>
      <c r="AC5" s="68">
        <v>7.0</v>
      </c>
      <c r="AD5" s="68">
        <v>8.0</v>
      </c>
      <c r="AE5" s="67" t="s">
        <v>110</v>
      </c>
      <c r="AF5" s="67">
        <v>1.0</v>
      </c>
      <c r="AG5" s="67">
        <v>2.0</v>
      </c>
      <c r="AH5" s="67">
        <v>3.0</v>
      </c>
      <c r="AI5" s="67">
        <v>4.0</v>
      </c>
      <c r="AJ5" s="68">
        <v>5.0</v>
      </c>
      <c r="AK5" s="68">
        <v>6.0</v>
      </c>
      <c r="AL5" s="68">
        <v>7.0</v>
      </c>
      <c r="AM5" s="68">
        <v>8.0</v>
      </c>
      <c r="AN5" s="69" t="s">
        <v>110</v>
      </c>
    </row>
    <row r="6">
      <c r="A6" s="7">
        <f>'INPUT DAFTAR PESERTA'!A4</f>
        <v>1</v>
      </c>
      <c r="B6" s="25">
        <f>'INPUT DAFTAR PESERTA'!B4</f>
        <v>2309056046</v>
      </c>
      <c r="C6" s="26" t="str">
        <f>'INPUT DAFTAR PESERTA'!C4</f>
        <v>Erwin</v>
      </c>
      <c r="D6" s="27">
        <v>100.0</v>
      </c>
      <c r="E6" s="27">
        <v>100.0</v>
      </c>
      <c r="F6" s="27">
        <v>100.0</v>
      </c>
      <c r="G6" s="27">
        <v>100.0</v>
      </c>
      <c r="H6" s="27">
        <v>100.0</v>
      </c>
      <c r="I6" s="27">
        <v>100.0</v>
      </c>
      <c r="J6" s="27">
        <v>100.0</v>
      </c>
      <c r="K6" s="27">
        <v>100.0</v>
      </c>
      <c r="L6" s="70">
        <f t="shared" ref="L6:L91" si="1">(D6+E6+F6+G6+H6+I6+J6+K6)/8</f>
        <v>100</v>
      </c>
      <c r="M6" s="28">
        <f>'PENULISAN LAPORAN'!N5</f>
        <v>27.1875</v>
      </c>
      <c r="N6" s="27">
        <v>0.0</v>
      </c>
      <c r="O6" s="27">
        <v>0.0</v>
      </c>
      <c r="P6" s="27">
        <v>0.0</v>
      </c>
      <c r="Q6" s="27">
        <v>0.0</v>
      </c>
      <c r="R6" s="27">
        <v>0.0</v>
      </c>
      <c r="S6" s="27">
        <v>0.0</v>
      </c>
      <c r="T6" s="27">
        <v>0.0</v>
      </c>
      <c r="U6" s="27">
        <v>0.0</v>
      </c>
      <c r="V6" s="28">
        <f t="shared" ref="V6:V91" si="2">(N6+O6+P6+Q6+R6+S6+T6+U6)/8</f>
        <v>0</v>
      </c>
      <c r="W6" s="27">
        <v>30.0</v>
      </c>
      <c r="X6" s="27">
        <v>30.0</v>
      </c>
      <c r="Y6" s="27">
        <v>30.0</v>
      </c>
      <c r="Z6" s="27">
        <v>30.0</v>
      </c>
      <c r="AA6" s="27">
        <v>30.0</v>
      </c>
      <c r="AB6" s="27">
        <v>30.0</v>
      </c>
      <c r="AC6" s="27">
        <v>30.0</v>
      </c>
      <c r="AD6" s="27">
        <v>30.0</v>
      </c>
      <c r="AE6" s="28">
        <f t="shared" ref="AE6:AE91" si="3">(W6+X6+Y6+Z6+AA6+AB6+AC6+AD6)/8</f>
        <v>30</v>
      </c>
      <c r="AF6" s="62">
        <f>'KEMAMPUAN PRAKTIKUM'!H6</f>
        <v>57</v>
      </c>
      <c r="AG6" s="62">
        <f>'KEMAMPUAN PRAKTIKUM'!M6</f>
        <v>60</v>
      </c>
      <c r="AH6" s="62">
        <f>'KEMAMPUAN PRAKTIKUM'!R6</f>
        <v>57</v>
      </c>
      <c r="AI6" s="62">
        <f>'KEMAMPUAN PRAKTIKUM'!W6</f>
        <v>57</v>
      </c>
      <c r="AJ6" s="62">
        <f>'KEMAMPUAN PRAKTIKUM'!AB6</f>
        <v>72</v>
      </c>
      <c r="AK6" s="62">
        <f>'KEMAMPUAN PRAKTIKUM'!AG6</f>
        <v>63</v>
      </c>
      <c r="AL6" s="62">
        <f>'KEMAMPUAN PRAKTIKUM'!AL6</f>
        <v>57</v>
      </c>
      <c r="AM6" s="62">
        <f>'KEMAMPUAN PRAKTIKUM'!AQ6</f>
        <v>57</v>
      </c>
      <c r="AN6" s="28">
        <f t="shared" ref="AN6:AN91" si="4">AVERAGE(AF6:AM6)</f>
        <v>60</v>
      </c>
    </row>
    <row r="7">
      <c r="A7" s="7">
        <f>'INPUT DAFTAR PESERTA'!A5</f>
        <v>2</v>
      </c>
      <c r="B7" s="25">
        <f>'INPUT DAFTAR PESERTA'!B5</f>
        <v>2409056015</v>
      </c>
      <c r="C7" s="26" t="str">
        <f>'INPUT DAFTAR PESERTA'!C5</f>
        <v>Denny Setiawan</v>
      </c>
      <c r="D7" s="27"/>
      <c r="E7" s="27">
        <v>0.0</v>
      </c>
      <c r="F7" s="27"/>
      <c r="G7" s="27"/>
      <c r="H7" s="27">
        <v>100.0</v>
      </c>
      <c r="I7" s="27">
        <v>100.0</v>
      </c>
      <c r="J7" s="27"/>
      <c r="K7" s="27"/>
      <c r="L7" s="70">
        <f t="shared" si="1"/>
        <v>25</v>
      </c>
      <c r="M7" s="28">
        <f>'PENULISAN LAPORAN'!N6</f>
        <v>0</v>
      </c>
      <c r="N7" s="27">
        <v>0.0</v>
      </c>
      <c r="O7" s="27">
        <v>0.0</v>
      </c>
      <c r="P7" s="27">
        <v>0.0</v>
      </c>
      <c r="Q7" s="27">
        <v>0.0</v>
      </c>
      <c r="R7" s="27">
        <v>0.0</v>
      </c>
      <c r="S7" s="27">
        <v>0.0</v>
      </c>
      <c r="T7" s="27">
        <v>0.0</v>
      </c>
      <c r="U7" s="27">
        <v>0.0</v>
      </c>
      <c r="V7" s="28">
        <f t="shared" si="2"/>
        <v>0</v>
      </c>
      <c r="W7" s="27"/>
      <c r="X7" s="27">
        <v>0.0</v>
      </c>
      <c r="Y7" s="27"/>
      <c r="Z7" s="27"/>
      <c r="AA7" s="27">
        <v>0.0</v>
      </c>
      <c r="AB7" s="27">
        <v>0.0</v>
      </c>
      <c r="AC7" s="27"/>
      <c r="AD7" s="63"/>
      <c r="AE7" s="63">
        <f t="shared" si="3"/>
        <v>0</v>
      </c>
      <c r="AF7" s="62">
        <f>'KEMAMPUAN PRAKTIKUM'!H7</f>
        <v>0</v>
      </c>
      <c r="AG7" s="62">
        <f>'KEMAMPUAN PRAKTIKUM'!M7</f>
        <v>30</v>
      </c>
      <c r="AH7" s="62">
        <f>'KEMAMPUAN PRAKTIKUM'!R7</f>
        <v>0</v>
      </c>
      <c r="AI7" s="62">
        <f>'KEMAMPUAN PRAKTIKUM'!W7</f>
        <v>0</v>
      </c>
      <c r="AJ7" s="62">
        <f>'KEMAMPUAN PRAKTIKUM'!AB7</f>
        <v>30</v>
      </c>
      <c r="AK7" s="62">
        <f>'KEMAMPUAN PRAKTIKUM'!AG7</f>
        <v>63</v>
      </c>
      <c r="AL7" s="62">
        <f>'KEMAMPUAN PRAKTIKUM'!AL7</f>
        <v>0</v>
      </c>
      <c r="AM7" s="62">
        <f>'KEMAMPUAN PRAKTIKUM'!AQ7</f>
        <v>0</v>
      </c>
      <c r="AN7" s="28">
        <f t="shared" si="4"/>
        <v>15.375</v>
      </c>
    </row>
    <row r="8">
      <c r="A8" s="7">
        <f>'INPUT DAFTAR PESERTA'!A6</f>
        <v>3</v>
      </c>
      <c r="B8" s="25">
        <f>'INPUT DAFTAR PESERTA'!B6</f>
        <v>2409056031</v>
      </c>
      <c r="C8" s="26" t="str">
        <f>'INPUT DAFTAR PESERTA'!C6</f>
        <v>Rahmad Oka Aufa Ramadan</v>
      </c>
      <c r="D8" s="63"/>
      <c r="E8" s="27">
        <v>0.0</v>
      </c>
      <c r="F8" s="63"/>
      <c r="G8" s="63"/>
      <c r="H8" s="27">
        <v>100.0</v>
      </c>
      <c r="I8" s="27">
        <v>100.0</v>
      </c>
      <c r="J8" s="63"/>
      <c r="K8" s="63"/>
      <c r="L8" s="70">
        <f t="shared" si="1"/>
        <v>25</v>
      </c>
      <c r="M8" s="28">
        <f>'PENULISAN LAPORAN'!N7</f>
        <v>0</v>
      </c>
      <c r="N8" s="27">
        <v>0.0</v>
      </c>
      <c r="O8" s="27">
        <v>0.0</v>
      </c>
      <c r="P8" s="27">
        <v>0.0</v>
      </c>
      <c r="Q8" s="27">
        <v>0.0</v>
      </c>
      <c r="R8" s="27">
        <v>0.0</v>
      </c>
      <c r="S8" s="27">
        <v>0.0</v>
      </c>
      <c r="T8" s="27">
        <v>0.0</v>
      </c>
      <c r="U8" s="27">
        <v>0.0</v>
      </c>
      <c r="V8" s="28">
        <f t="shared" si="2"/>
        <v>0</v>
      </c>
      <c r="W8" s="63"/>
      <c r="X8" s="27">
        <v>0.0</v>
      </c>
      <c r="Y8" s="63"/>
      <c r="Z8" s="63"/>
      <c r="AA8" s="27">
        <v>0.0</v>
      </c>
      <c r="AB8" s="63"/>
      <c r="AC8" s="63"/>
      <c r="AD8" s="63"/>
      <c r="AE8" s="63">
        <f t="shared" si="3"/>
        <v>0</v>
      </c>
      <c r="AF8" s="62">
        <f>'KEMAMPUAN PRAKTIKUM'!H8</f>
        <v>0</v>
      </c>
      <c r="AG8" s="62">
        <f>'KEMAMPUAN PRAKTIKUM'!M8</f>
        <v>30</v>
      </c>
      <c r="AH8" s="62">
        <f>'KEMAMPUAN PRAKTIKUM'!R8</f>
        <v>0</v>
      </c>
      <c r="AI8" s="62">
        <f>'KEMAMPUAN PRAKTIKUM'!W8</f>
        <v>0</v>
      </c>
      <c r="AJ8" s="62">
        <f>'KEMAMPUAN PRAKTIKUM'!AB8</f>
        <v>30</v>
      </c>
      <c r="AK8" s="62">
        <f>'KEMAMPUAN PRAKTIKUM'!AG8</f>
        <v>63</v>
      </c>
      <c r="AL8" s="62">
        <f>'KEMAMPUAN PRAKTIKUM'!AL8</f>
        <v>0</v>
      </c>
      <c r="AM8" s="62">
        <f>'KEMAMPUAN PRAKTIKUM'!AQ8</f>
        <v>0</v>
      </c>
      <c r="AN8" s="28">
        <f t="shared" si="4"/>
        <v>15.375</v>
      </c>
    </row>
    <row r="9">
      <c r="A9" s="7">
        <f>'INPUT DAFTAR PESERTA'!A7</f>
        <v>4</v>
      </c>
      <c r="B9" s="25">
        <f>'INPUT DAFTAR PESERTA'!B7</f>
        <v>2409056032</v>
      </c>
      <c r="C9" s="26" t="str">
        <f>'INPUT DAFTAR PESERTA'!C7</f>
        <v>Stewa Syaifa Bakhid</v>
      </c>
      <c r="D9" s="63"/>
      <c r="E9" s="27">
        <v>0.0</v>
      </c>
      <c r="F9" s="63"/>
      <c r="G9" s="63"/>
      <c r="H9" s="27">
        <v>100.0</v>
      </c>
      <c r="I9" s="27">
        <v>100.0</v>
      </c>
      <c r="J9" s="63"/>
      <c r="K9" s="63"/>
      <c r="L9" s="70">
        <f t="shared" si="1"/>
        <v>25</v>
      </c>
      <c r="M9" s="28">
        <f>'PENULISAN LAPORAN'!N8</f>
        <v>0</v>
      </c>
      <c r="N9" s="27">
        <v>0.0</v>
      </c>
      <c r="O9" s="27">
        <v>0.0</v>
      </c>
      <c r="P9" s="27">
        <v>0.0</v>
      </c>
      <c r="Q9" s="27">
        <v>0.0</v>
      </c>
      <c r="R9" s="27">
        <v>0.0</v>
      </c>
      <c r="S9" s="27">
        <v>0.0</v>
      </c>
      <c r="T9" s="27">
        <v>0.0</v>
      </c>
      <c r="U9" s="27">
        <v>0.0</v>
      </c>
      <c r="V9" s="28">
        <f t="shared" si="2"/>
        <v>0</v>
      </c>
      <c r="W9" s="63"/>
      <c r="X9" s="27">
        <v>0.0</v>
      </c>
      <c r="Y9" s="63"/>
      <c r="Z9" s="63"/>
      <c r="AA9" s="27">
        <v>0.0</v>
      </c>
      <c r="AB9" s="63"/>
      <c r="AC9" s="63"/>
      <c r="AD9" s="63"/>
      <c r="AE9" s="63">
        <f t="shared" si="3"/>
        <v>0</v>
      </c>
      <c r="AF9" s="62">
        <f>'KEMAMPUAN PRAKTIKUM'!H9</f>
        <v>0</v>
      </c>
      <c r="AG9" s="62">
        <f>'KEMAMPUAN PRAKTIKUM'!M9</f>
        <v>30</v>
      </c>
      <c r="AH9" s="62">
        <f>'KEMAMPUAN PRAKTIKUM'!R9</f>
        <v>0</v>
      </c>
      <c r="AI9" s="62">
        <f>'KEMAMPUAN PRAKTIKUM'!W9</f>
        <v>0</v>
      </c>
      <c r="AJ9" s="62">
        <f>'KEMAMPUAN PRAKTIKUM'!AB9</f>
        <v>30</v>
      </c>
      <c r="AK9" s="62">
        <f>'KEMAMPUAN PRAKTIKUM'!AG9</f>
        <v>63</v>
      </c>
      <c r="AL9" s="62">
        <f>'KEMAMPUAN PRAKTIKUM'!AL9</f>
        <v>0</v>
      </c>
      <c r="AM9" s="62">
        <f>'KEMAMPUAN PRAKTIKUM'!AQ9</f>
        <v>0</v>
      </c>
      <c r="AN9" s="28">
        <f t="shared" si="4"/>
        <v>15.375</v>
      </c>
    </row>
    <row r="10">
      <c r="A10" s="7">
        <f>'INPUT DAFTAR PESERTA'!A8</f>
        <v>5</v>
      </c>
      <c r="B10" s="25">
        <f>'INPUT DAFTAR PESERTA'!B8</f>
        <v>2409056033</v>
      </c>
      <c r="C10" s="26" t="str">
        <f>'INPUT DAFTAR PESERTA'!C8</f>
        <v>Adnan Fadil Annur</v>
      </c>
      <c r="D10" s="27">
        <v>100.0</v>
      </c>
      <c r="E10" s="27">
        <v>0.0</v>
      </c>
      <c r="F10" s="63"/>
      <c r="G10" s="63"/>
      <c r="H10" s="27">
        <v>100.0</v>
      </c>
      <c r="I10" s="27">
        <v>100.0</v>
      </c>
      <c r="J10" s="63"/>
      <c r="K10" s="63"/>
      <c r="L10" s="70">
        <f t="shared" si="1"/>
        <v>37.5</v>
      </c>
      <c r="M10" s="28">
        <f>'PENULISAN LAPORAN'!N9</f>
        <v>5.3125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8">
        <f t="shared" si="2"/>
        <v>0</v>
      </c>
      <c r="W10" s="63"/>
      <c r="X10" s="27">
        <v>0.0</v>
      </c>
      <c r="Y10" s="63"/>
      <c r="Z10" s="63"/>
      <c r="AA10" s="27">
        <v>0.0</v>
      </c>
      <c r="AB10" s="63"/>
      <c r="AC10" s="63"/>
      <c r="AD10" s="63"/>
      <c r="AE10" s="63">
        <f t="shared" si="3"/>
        <v>0</v>
      </c>
      <c r="AF10" s="62">
        <f>'KEMAMPUAN PRAKTIKUM'!H10</f>
        <v>90</v>
      </c>
      <c r="AG10" s="62">
        <f>'KEMAMPUAN PRAKTIKUM'!M10</f>
        <v>30</v>
      </c>
      <c r="AH10" s="62">
        <f>'KEMAMPUAN PRAKTIKUM'!R10</f>
        <v>0</v>
      </c>
      <c r="AI10" s="62">
        <f>'KEMAMPUAN PRAKTIKUM'!W10</f>
        <v>0</v>
      </c>
      <c r="AJ10" s="62">
        <f>'KEMAMPUAN PRAKTIKUM'!AB10</f>
        <v>30</v>
      </c>
      <c r="AK10" s="62">
        <f>'KEMAMPUAN PRAKTIKUM'!AG10</f>
        <v>63</v>
      </c>
      <c r="AL10" s="62">
        <f>'KEMAMPUAN PRAKTIKUM'!AL10</f>
        <v>0</v>
      </c>
      <c r="AM10" s="62">
        <f>'KEMAMPUAN PRAKTIKUM'!AQ10</f>
        <v>0</v>
      </c>
      <c r="AN10" s="28">
        <f t="shared" si="4"/>
        <v>26.625</v>
      </c>
    </row>
    <row r="11">
      <c r="A11" s="7">
        <f>'INPUT DAFTAR PESERTA'!A9</f>
        <v>6</v>
      </c>
      <c r="B11" s="25">
        <f>'INPUT DAFTAR PESERTA'!B9</f>
        <v>2409056039</v>
      </c>
      <c r="C11" s="26" t="str">
        <f>'INPUT DAFTAR PESERTA'!C9</f>
        <v>Muhammad Hasbi Ash Shiddieqy</v>
      </c>
      <c r="D11" s="63"/>
      <c r="E11" s="27">
        <v>0.0</v>
      </c>
      <c r="F11" s="63"/>
      <c r="G11" s="63"/>
      <c r="H11" s="27">
        <v>100.0</v>
      </c>
      <c r="I11" s="27">
        <v>100.0</v>
      </c>
      <c r="J11" s="63"/>
      <c r="K11" s="63"/>
      <c r="L11" s="70">
        <f t="shared" si="1"/>
        <v>25</v>
      </c>
      <c r="M11" s="28">
        <f>'PENULISAN LAPORAN'!N10</f>
        <v>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8">
        <f t="shared" si="2"/>
        <v>0</v>
      </c>
      <c r="W11" s="63"/>
      <c r="X11" s="27">
        <v>0.0</v>
      </c>
      <c r="Y11" s="63"/>
      <c r="Z11" s="63"/>
      <c r="AA11" s="27">
        <v>0.0</v>
      </c>
      <c r="AB11" s="63"/>
      <c r="AC11" s="63"/>
      <c r="AD11" s="63"/>
      <c r="AE11" s="63">
        <f t="shared" si="3"/>
        <v>0</v>
      </c>
      <c r="AF11" s="62">
        <f>'KEMAMPUAN PRAKTIKUM'!H11</f>
        <v>0</v>
      </c>
      <c r="AG11" s="62">
        <f>'KEMAMPUAN PRAKTIKUM'!M11</f>
        <v>30</v>
      </c>
      <c r="AH11" s="62">
        <f>'KEMAMPUAN PRAKTIKUM'!R11</f>
        <v>0</v>
      </c>
      <c r="AI11" s="62">
        <f>'KEMAMPUAN PRAKTIKUM'!W11</f>
        <v>0</v>
      </c>
      <c r="AJ11" s="62">
        <f>'KEMAMPUAN PRAKTIKUM'!AB11</f>
        <v>30</v>
      </c>
      <c r="AK11" s="62">
        <f>'KEMAMPUAN PRAKTIKUM'!AG11</f>
        <v>63</v>
      </c>
      <c r="AL11" s="62">
        <f>'KEMAMPUAN PRAKTIKUM'!AL11</f>
        <v>0</v>
      </c>
      <c r="AM11" s="62">
        <f>'KEMAMPUAN PRAKTIKUM'!AQ11</f>
        <v>0</v>
      </c>
      <c r="AN11" s="28">
        <f t="shared" si="4"/>
        <v>15.375</v>
      </c>
    </row>
    <row r="12">
      <c r="A12" s="7">
        <f>'INPUT DAFTAR PESERTA'!A10</f>
        <v>7</v>
      </c>
      <c r="B12" s="25">
        <f>'INPUT DAFTAR PESERTA'!B10</f>
        <v>2409056044</v>
      </c>
      <c r="C12" s="26" t="str">
        <f>'INPUT DAFTAR PESERTA'!C10</f>
        <v>Siti Aisyah Hasanah</v>
      </c>
      <c r="D12" s="63"/>
      <c r="E12" s="27">
        <v>0.0</v>
      </c>
      <c r="F12" s="63"/>
      <c r="G12" s="63"/>
      <c r="H12" s="27">
        <v>100.0</v>
      </c>
      <c r="I12" s="27">
        <v>100.0</v>
      </c>
      <c r="J12" s="63"/>
      <c r="K12" s="63"/>
      <c r="L12" s="70">
        <f t="shared" si="1"/>
        <v>25</v>
      </c>
      <c r="M12" s="28">
        <f>'PENULISAN LAPORAN'!N11</f>
        <v>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8">
        <f t="shared" si="2"/>
        <v>0</v>
      </c>
      <c r="W12" s="63"/>
      <c r="X12" s="27">
        <v>0.0</v>
      </c>
      <c r="Y12" s="63"/>
      <c r="Z12" s="63"/>
      <c r="AA12" s="27">
        <v>0.0</v>
      </c>
      <c r="AB12" s="63"/>
      <c r="AC12" s="63"/>
      <c r="AD12" s="63"/>
      <c r="AE12" s="63">
        <f t="shared" si="3"/>
        <v>0</v>
      </c>
      <c r="AF12" s="62">
        <f>'KEMAMPUAN PRAKTIKUM'!H12</f>
        <v>0</v>
      </c>
      <c r="AG12" s="62">
        <f>'KEMAMPUAN PRAKTIKUM'!M12</f>
        <v>30</v>
      </c>
      <c r="AH12" s="62">
        <f>'KEMAMPUAN PRAKTIKUM'!R12</f>
        <v>0</v>
      </c>
      <c r="AI12" s="62">
        <f>'KEMAMPUAN PRAKTIKUM'!W12</f>
        <v>0</v>
      </c>
      <c r="AJ12" s="62">
        <f>'KEMAMPUAN PRAKTIKUM'!AB12</f>
        <v>30</v>
      </c>
      <c r="AK12" s="62">
        <f>'KEMAMPUAN PRAKTIKUM'!AG12</f>
        <v>63</v>
      </c>
      <c r="AL12" s="62">
        <f>'KEMAMPUAN PRAKTIKUM'!AL12</f>
        <v>0</v>
      </c>
      <c r="AM12" s="62">
        <f>'KEMAMPUAN PRAKTIKUM'!AQ12</f>
        <v>0</v>
      </c>
      <c r="AN12" s="28">
        <f t="shared" si="4"/>
        <v>15.375</v>
      </c>
    </row>
    <row r="13">
      <c r="A13" s="7">
        <f>'INPUT DAFTAR PESERTA'!A11</f>
        <v>8</v>
      </c>
      <c r="B13" s="25">
        <f>'INPUT DAFTAR PESERTA'!B11</f>
        <v>2409056047</v>
      </c>
      <c r="C13" s="26" t="str">
        <f>'INPUT DAFTAR PESERTA'!C11</f>
        <v>D’arch Hweng Junior</v>
      </c>
      <c r="D13" s="63"/>
      <c r="E13" s="27">
        <v>0.0</v>
      </c>
      <c r="F13" s="63"/>
      <c r="G13" s="63"/>
      <c r="H13" s="27">
        <v>100.0</v>
      </c>
      <c r="I13" s="27">
        <v>100.0</v>
      </c>
      <c r="J13" s="63"/>
      <c r="K13" s="63"/>
      <c r="L13" s="70">
        <f t="shared" si="1"/>
        <v>25</v>
      </c>
      <c r="M13" s="28">
        <f>'PENULISAN LAPORAN'!N12</f>
        <v>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8">
        <f t="shared" si="2"/>
        <v>0</v>
      </c>
      <c r="W13" s="63"/>
      <c r="X13" s="27">
        <v>0.0</v>
      </c>
      <c r="Y13" s="63"/>
      <c r="Z13" s="63"/>
      <c r="AA13" s="27">
        <v>0.0</v>
      </c>
      <c r="AB13" s="63"/>
      <c r="AC13" s="63"/>
      <c r="AD13" s="63"/>
      <c r="AE13" s="63">
        <f t="shared" si="3"/>
        <v>0</v>
      </c>
      <c r="AF13" s="62">
        <f>'KEMAMPUAN PRAKTIKUM'!H13</f>
        <v>0</v>
      </c>
      <c r="AG13" s="62">
        <f>'KEMAMPUAN PRAKTIKUM'!M13</f>
        <v>30</v>
      </c>
      <c r="AH13" s="62">
        <f>'KEMAMPUAN PRAKTIKUM'!R13</f>
        <v>0</v>
      </c>
      <c r="AI13" s="62">
        <f>'KEMAMPUAN PRAKTIKUM'!W13</f>
        <v>0</v>
      </c>
      <c r="AJ13" s="62">
        <f>'KEMAMPUAN PRAKTIKUM'!AB13</f>
        <v>30</v>
      </c>
      <c r="AK13" s="62">
        <f>'KEMAMPUAN PRAKTIKUM'!AG13</f>
        <v>63</v>
      </c>
      <c r="AL13" s="62">
        <f>'KEMAMPUAN PRAKTIKUM'!AL13</f>
        <v>0</v>
      </c>
      <c r="AM13" s="62">
        <f>'KEMAMPUAN PRAKTIKUM'!AQ13</f>
        <v>0</v>
      </c>
      <c r="AN13" s="28">
        <f t="shared" si="4"/>
        <v>15.375</v>
      </c>
    </row>
    <row r="14">
      <c r="A14" s="7">
        <f>'INPUT DAFTAR PESERTA'!A12</f>
        <v>9</v>
      </c>
      <c r="B14" s="25">
        <f>'INPUT DAFTAR PESERTA'!B12</f>
        <v>2409056052</v>
      </c>
      <c r="C14" s="26" t="str">
        <f>'INPUT DAFTAR PESERTA'!C12</f>
        <v>Andi Syaifullah Al Maslulil Agri</v>
      </c>
      <c r="D14" s="63"/>
      <c r="E14" s="27">
        <v>0.0</v>
      </c>
      <c r="F14" s="63"/>
      <c r="G14" s="63"/>
      <c r="H14" s="27">
        <v>100.0</v>
      </c>
      <c r="I14" s="27">
        <v>100.0</v>
      </c>
      <c r="J14" s="63"/>
      <c r="K14" s="63"/>
      <c r="L14" s="70">
        <f t="shared" si="1"/>
        <v>25</v>
      </c>
      <c r="M14" s="28">
        <f>'PENULISAN LAPORAN'!N13</f>
        <v>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8">
        <f t="shared" si="2"/>
        <v>0</v>
      </c>
      <c r="W14" s="63"/>
      <c r="X14" s="27">
        <v>0.0</v>
      </c>
      <c r="Y14" s="63"/>
      <c r="Z14" s="63"/>
      <c r="AA14" s="27">
        <v>0.0</v>
      </c>
      <c r="AB14" s="63"/>
      <c r="AC14" s="63"/>
      <c r="AD14" s="63"/>
      <c r="AE14" s="63">
        <f t="shared" si="3"/>
        <v>0</v>
      </c>
      <c r="AF14" s="62">
        <f>'KEMAMPUAN PRAKTIKUM'!H14</f>
        <v>0</v>
      </c>
      <c r="AG14" s="62">
        <f>'KEMAMPUAN PRAKTIKUM'!M14</f>
        <v>30</v>
      </c>
      <c r="AH14" s="62">
        <f>'KEMAMPUAN PRAKTIKUM'!R14</f>
        <v>0</v>
      </c>
      <c r="AI14" s="62">
        <f>'KEMAMPUAN PRAKTIKUM'!W14</f>
        <v>0</v>
      </c>
      <c r="AJ14" s="62">
        <f>'KEMAMPUAN PRAKTIKUM'!AB14</f>
        <v>30</v>
      </c>
      <c r="AK14" s="62">
        <f>'KEMAMPUAN PRAKTIKUM'!AG14</f>
        <v>63</v>
      </c>
      <c r="AL14" s="62">
        <f>'KEMAMPUAN PRAKTIKUM'!AL14</f>
        <v>0</v>
      </c>
      <c r="AM14" s="62">
        <f>'KEMAMPUAN PRAKTIKUM'!AQ14</f>
        <v>0</v>
      </c>
      <c r="AN14" s="28">
        <f t="shared" si="4"/>
        <v>15.375</v>
      </c>
    </row>
    <row r="15">
      <c r="A15" s="7">
        <f>'INPUT DAFTAR PESERTA'!A13</f>
        <v>10</v>
      </c>
      <c r="B15" s="25">
        <f>'INPUT DAFTAR PESERTA'!B13</f>
        <v>2409056058</v>
      </c>
      <c r="C15" s="26" t="str">
        <f>'INPUT DAFTAR PESERTA'!C13</f>
        <v>Andre Pratama</v>
      </c>
      <c r="D15" s="63"/>
      <c r="E15" s="27">
        <v>0.0</v>
      </c>
      <c r="F15" s="63"/>
      <c r="G15" s="63"/>
      <c r="H15" s="27">
        <v>100.0</v>
      </c>
      <c r="I15" s="27">
        <v>100.0</v>
      </c>
      <c r="J15" s="63"/>
      <c r="K15" s="63"/>
      <c r="L15" s="70">
        <f t="shared" si="1"/>
        <v>25</v>
      </c>
      <c r="M15" s="28">
        <f>'PENULISAN LAPORAN'!N14</f>
        <v>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8">
        <f t="shared" si="2"/>
        <v>0</v>
      </c>
      <c r="W15" s="63"/>
      <c r="X15" s="27">
        <v>0.0</v>
      </c>
      <c r="Y15" s="63"/>
      <c r="Z15" s="63"/>
      <c r="AA15" s="27">
        <v>0.0</v>
      </c>
      <c r="AB15" s="63"/>
      <c r="AC15" s="63"/>
      <c r="AD15" s="63"/>
      <c r="AE15" s="63">
        <f t="shared" si="3"/>
        <v>0</v>
      </c>
      <c r="AF15" s="62">
        <f>'KEMAMPUAN PRAKTIKUM'!H15</f>
        <v>0</v>
      </c>
      <c r="AG15" s="62">
        <f>'KEMAMPUAN PRAKTIKUM'!M15</f>
        <v>30</v>
      </c>
      <c r="AH15" s="62">
        <f>'KEMAMPUAN PRAKTIKUM'!R15</f>
        <v>0</v>
      </c>
      <c r="AI15" s="62">
        <f>'KEMAMPUAN PRAKTIKUM'!W15</f>
        <v>0</v>
      </c>
      <c r="AJ15" s="62">
        <f>'KEMAMPUAN PRAKTIKUM'!AB15</f>
        <v>30</v>
      </c>
      <c r="AK15" s="62">
        <f>'KEMAMPUAN PRAKTIKUM'!AG15</f>
        <v>63</v>
      </c>
      <c r="AL15" s="62">
        <f>'KEMAMPUAN PRAKTIKUM'!AL15</f>
        <v>0</v>
      </c>
      <c r="AM15" s="62">
        <f>'KEMAMPUAN PRAKTIKUM'!AQ15</f>
        <v>0</v>
      </c>
      <c r="AN15" s="28">
        <f t="shared" si="4"/>
        <v>15.375</v>
      </c>
    </row>
    <row r="16">
      <c r="A16" s="7">
        <f>'INPUT DAFTAR PESERTA'!A14</f>
        <v>11</v>
      </c>
      <c r="B16" s="25">
        <f>'INPUT DAFTAR PESERTA'!B14</f>
        <v>2409056067</v>
      </c>
      <c r="C16" s="26" t="str">
        <f>'INPUT DAFTAR PESERTA'!C14</f>
        <v>Andi Afif Najib Abdillah</v>
      </c>
      <c r="D16" s="63"/>
      <c r="E16" s="27">
        <v>0.0</v>
      </c>
      <c r="F16" s="63"/>
      <c r="G16" s="63"/>
      <c r="H16" s="27">
        <v>100.0</v>
      </c>
      <c r="I16" s="27">
        <v>100.0</v>
      </c>
      <c r="J16" s="63"/>
      <c r="K16" s="63"/>
      <c r="L16" s="70">
        <f t="shared" si="1"/>
        <v>25</v>
      </c>
      <c r="M16" s="28">
        <f>'PENULISAN LAPORAN'!N15</f>
        <v>0</v>
      </c>
      <c r="N16" s="27">
        <v>0.0</v>
      </c>
      <c r="O16" s="27">
        <v>0.0</v>
      </c>
      <c r="P16" s="27">
        <v>0.0</v>
      </c>
      <c r="Q16" s="27">
        <v>0.0</v>
      </c>
      <c r="R16" s="27">
        <v>0.0</v>
      </c>
      <c r="S16" s="27">
        <v>0.0</v>
      </c>
      <c r="T16" s="27">
        <v>0.0</v>
      </c>
      <c r="U16" s="27">
        <v>0.0</v>
      </c>
      <c r="V16" s="28">
        <f t="shared" si="2"/>
        <v>0</v>
      </c>
      <c r="W16" s="63"/>
      <c r="X16" s="27">
        <v>0.0</v>
      </c>
      <c r="Y16" s="63"/>
      <c r="Z16" s="63"/>
      <c r="AA16" s="27">
        <v>0.0</v>
      </c>
      <c r="AB16" s="63"/>
      <c r="AC16" s="63"/>
      <c r="AD16" s="63"/>
      <c r="AE16" s="63">
        <f t="shared" si="3"/>
        <v>0</v>
      </c>
      <c r="AF16" s="62">
        <f>'KEMAMPUAN PRAKTIKUM'!H16</f>
        <v>0</v>
      </c>
      <c r="AG16" s="62">
        <f>'KEMAMPUAN PRAKTIKUM'!M16</f>
        <v>30</v>
      </c>
      <c r="AH16" s="62">
        <f>'KEMAMPUAN PRAKTIKUM'!R16</f>
        <v>0</v>
      </c>
      <c r="AI16" s="62">
        <f>'KEMAMPUAN PRAKTIKUM'!W16</f>
        <v>0</v>
      </c>
      <c r="AJ16" s="62">
        <f>'KEMAMPUAN PRAKTIKUM'!AB16</f>
        <v>30</v>
      </c>
      <c r="AK16" s="62">
        <f>'KEMAMPUAN PRAKTIKUM'!AG16</f>
        <v>63</v>
      </c>
      <c r="AL16" s="62">
        <f>'KEMAMPUAN PRAKTIKUM'!AL16</f>
        <v>0</v>
      </c>
      <c r="AM16" s="62">
        <f>'KEMAMPUAN PRAKTIKUM'!AQ16</f>
        <v>0</v>
      </c>
      <c r="AN16" s="28">
        <f t="shared" si="4"/>
        <v>15.375</v>
      </c>
    </row>
    <row r="17">
      <c r="A17" s="7">
        <f>'INPUT DAFTAR PESERTA'!A15</f>
        <v>12</v>
      </c>
      <c r="B17" s="25">
        <f>'INPUT DAFTAR PESERTA'!B15</f>
        <v>2409056068</v>
      </c>
      <c r="C17" s="26" t="str">
        <f>'INPUT DAFTAR PESERTA'!C15</f>
        <v>Christianus Gonzaga</v>
      </c>
      <c r="D17" s="63"/>
      <c r="E17" s="27">
        <v>0.0</v>
      </c>
      <c r="F17" s="63"/>
      <c r="G17" s="63"/>
      <c r="H17" s="27">
        <v>100.0</v>
      </c>
      <c r="I17" s="27">
        <v>100.0</v>
      </c>
      <c r="J17" s="63"/>
      <c r="K17" s="63"/>
      <c r="L17" s="70">
        <f t="shared" si="1"/>
        <v>25</v>
      </c>
      <c r="M17" s="28">
        <f>'PENULISAN LAPORAN'!N16</f>
        <v>0</v>
      </c>
      <c r="N17" s="27">
        <v>0.0</v>
      </c>
      <c r="O17" s="27">
        <v>0.0</v>
      </c>
      <c r="P17" s="27">
        <v>0.0</v>
      </c>
      <c r="Q17" s="27">
        <v>0.0</v>
      </c>
      <c r="R17" s="27">
        <v>0.0</v>
      </c>
      <c r="S17" s="27">
        <v>0.0</v>
      </c>
      <c r="T17" s="27">
        <v>0.0</v>
      </c>
      <c r="U17" s="27">
        <v>0.0</v>
      </c>
      <c r="V17" s="28">
        <f t="shared" si="2"/>
        <v>0</v>
      </c>
      <c r="W17" s="63"/>
      <c r="X17" s="27">
        <v>0.0</v>
      </c>
      <c r="Y17" s="63"/>
      <c r="Z17" s="63"/>
      <c r="AA17" s="27">
        <v>0.0</v>
      </c>
      <c r="AB17" s="63"/>
      <c r="AC17" s="63"/>
      <c r="AD17" s="63"/>
      <c r="AE17" s="63">
        <f t="shared" si="3"/>
        <v>0</v>
      </c>
      <c r="AF17" s="62">
        <f>'KEMAMPUAN PRAKTIKUM'!H17</f>
        <v>0</v>
      </c>
      <c r="AG17" s="62">
        <f>'KEMAMPUAN PRAKTIKUM'!M17</f>
        <v>30</v>
      </c>
      <c r="AH17" s="62">
        <f>'KEMAMPUAN PRAKTIKUM'!R17</f>
        <v>0</v>
      </c>
      <c r="AI17" s="62">
        <f>'KEMAMPUAN PRAKTIKUM'!W17</f>
        <v>0</v>
      </c>
      <c r="AJ17" s="62">
        <f>'KEMAMPUAN PRAKTIKUM'!AB17</f>
        <v>30</v>
      </c>
      <c r="AK17" s="62">
        <f>'KEMAMPUAN PRAKTIKUM'!AG17</f>
        <v>63</v>
      </c>
      <c r="AL17" s="62">
        <f>'KEMAMPUAN PRAKTIKUM'!AL17</f>
        <v>0</v>
      </c>
      <c r="AM17" s="62">
        <f>'KEMAMPUAN PRAKTIKUM'!AQ17</f>
        <v>0</v>
      </c>
      <c r="AN17" s="28">
        <f t="shared" si="4"/>
        <v>15.375</v>
      </c>
    </row>
    <row r="18">
      <c r="A18" s="7">
        <f>'INPUT DAFTAR PESERTA'!A16</f>
        <v>13</v>
      </c>
      <c r="B18" s="25">
        <f>'INPUT DAFTAR PESERTA'!B16</f>
        <v>2509056001</v>
      </c>
      <c r="C18" s="26" t="str">
        <f>'INPUT DAFTAR PESERTA'!C16</f>
        <v>Mutiara Suci Rahmadani</v>
      </c>
      <c r="D18" s="27">
        <v>100.0</v>
      </c>
      <c r="E18" s="27">
        <v>100.0</v>
      </c>
      <c r="F18" s="27">
        <v>100.0</v>
      </c>
      <c r="G18" s="27">
        <v>100.0</v>
      </c>
      <c r="H18" s="27">
        <v>100.0</v>
      </c>
      <c r="I18" s="27">
        <v>100.0</v>
      </c>
      <c r="J18" s="27">
        <v>100.0</v>
      </c>
      <c r="K18" s="27">
        <v>100.0</v>
      </c>
      <c r="L18" s="70">
        <f t="shared" si="1"/>
        <v>100</v>
      </c>
      <c r="M18" s="28">
        <f>'PENULISAN LAPORAN'!N17</f>
        <v>76.5625</v>
      </c>
      <c r="N18" s="27">
        <v>92.0</v>
      </c>
      <c r="O18" s="27">
        <v>92.0</v>
      </c>
      <c r="P18" s="27">
        <v>92.0</v>
      </c>
      <c r="Q18" s="27">
        <v>92.0</v>
      </c>
      <c r="R18" s="27">
        <v>92.0</v>
      </c>
      <c r="S18" s="27">
        <v>92.0</v>
      </c>
      <c r="T18" s="27">
        <v>92.0</v>
      </c>
      <c r="U18" s="27">
        <v>92.0</v>
      </c>
      <c r="V18" s="28">
        <f t="shared" si="2"/>
        <v>92</v>
      </c>
      <c r="W18" s="27">
        <v>70.0</v>
      </c>
      <c r="X18" s="27">
        <v>70.0</v>
      </c>
      <c r="Y18" s="27">
        <v>80.0</v>
      </c>
      <c r="Z18" s="27">
        <v>70.0</v>
      </c>
      <c r="AA18" s="27">
        <v>80.0</v>
      </c>
      <c r="AB18" s="27">
        <v>80.0</v>
      </c>
      <c r="AC18" s="27">
        <v>80.0</v>
      </c>
      <c r="AD18" s="27">
        <v>80.0</v>
      </c>
      <c r="AE18" s="63">
        <f t="shared" si="3"/>
        <v>76.25</v>
      </c>
      <c r="AF18" s="62">
        <f>'KEMAMPUAN PRAKTIKUM'!H18</f>
        <v>75</v>
      </c>
      <c r="AG18" s="62">
        <f>'KEMAMPUAN PRAKTIKUM'!M18</f>
        <v>60</v>
      </c>
      <c r="AH18" s="62">
        <f>'KEMAMPUAN PRAKTIKUM'!R18</f>
        <v>90</v>
      </c>
      <c r="AI18" s="62">
        <f>'KEMAMPUAN PRAKTIKUM'!W18</f>
        <v>90</v>
      </c>
      <c r="AJ18" s="62">
        <f>'KEMAMPUAN PRAKTIKUM'!AB18</f>
        <v>57</v>
      </c>
      <c r="AK18" s="62">
        <f>'KEMAMPUAN PRAKTIKUM'!AG18</f>
        <v>75</v>
      </c>
      <c r="AL18" s="62">
        <f>'KEMAMPUAN PRAKTIKUM'!AL18</f>
        <v>87</v>
      </c>
      <c r="AM18" s="62">
        <f>'KEMAMPUAN PRAKTIKUM'!AQ18</f>
        <v>90</v>
      </c>
      <c r="AN18" s="28">
        <f t="shared" si="4"/>
        <v>78</v>
      </c>
    </row>
    <row r="19">
      <c r="A19" s="7">
        <f>'INPUT DAFTAR PESERTA'!A17</f>
        <v>14</v>
      </c>
      <c r="B19" s="25">
        <f>'INPUT DAFTAR PESERTA'!B17</f>
        <v>2509056002</v>
      </c>
      <c r="C19" s="26" t="str">
        <f>'INPUT DAFTAR PESERTA'!C17</f>
        <v>Adhwa Ghinna Febrianty</v>
      </c>
      <c r="D19" s="27">
        <v>100.0</v>
      </c>
      <c r="E19" s="27">
        <v>100.0</v>
      </c>
      <c r="F19" s="27">
        <v>100.0</v>
      </c>
      <c r="G19" s="27">
        <v>100.0</v>
      </c>
      <c r="H19" s="27">
        <v>100.0</v>
      </c>
      <c r="I19" s="27">
        <v>100.0</v>
      </c>
      <c r="J19" s="27">
        <v>100.0</v>
      </c>
      <c r="K19" s="27">
        <v>100.0</v>
      </c>
      <c r="L19" s="70">
        <f t="shared" si="1"/>
        <v>100</v>
      </c>
      <c r="M19" s="28">
        <f>'PENULISAN LAPORAN'!N18</f>
        <v>69.5</v>
      </c>
      <c r="N19" s="27">
        <v>84.0</v>
      </c>
      <c r="O19" s="27">
        <v>84.0</v>
      </c>
      <c r="P19" s="27">
        <v>84.0</v>
      </c>
      <c r="Q19" s="27">
        <v>84.0</v>
      </c>
      <c r="R19" s="27">
        <v>84.0</v>
      </c>
      <c r="S19" s="27">
        <v>84.0</v>
      </c>
      <c r="T19" s="27">
        <v>84.0</v>
      </c>
      <c r="U19" s="27">
        <v>84.0</v>
      </c>
      <c r="V19" s="28">
        <f t="shared" si="2"/>
        <v>84</v>
      </c>
      <c r="W19" s="27">
        <v>60.0</v>
      </c>
      <c r="X19" s="27">
        <v>60.0</v>
      </c>
      <c r="Y19" s="27">
        <v>80.0</v>
      </c>
      <c r="Z19" s="27">
        <v>70.0</v>
      </c>
      <c r="AA19" s="27">
        <v>80.0</v>
      </c>
      <c r="AB19" s="27">
        <v>80.0</v>
      </c>
      <c r="AC19" s="27">
        <v>60.0</v>
      </c>
      <c r="AD19" s="27">
        <v>80.0</v>
      </c>
      <c r="AE19" s="63">
        <f t="shared" si="3"/>
        <v>71.25</v>
      </c>
      <c r="AF19" s="62">
        <f>'KEMAMPUAN PRAKTIKUM'!H19</f>
        <v>75</v>
      </c>
      <c r="AG19" s="62">
        <f>'KEMAMPUAN PRAKTIKUM'!M19</f>
        <v>60</v>
      </c>
      <c r="AH19" s="62">
        <f>'KEMAMPUAN PRAKTIKUM'!R19</f>
        <v>90</v>
      </c>
      <c r="AI19" s="62">
        <f>'KEMAMPUAN PRAKTIKUM'!W19</f>
        <v>75</v>
      </c>
      <c r="AJ19" s="62">
        <f>'KEMAMPUAN PRAKTIKUM'!AB19</f>
        <v>57</v>
      </c>
      <c r="AK19" s="62">
        <f>'KEMAMPUAN PRAKTIKUM'!AG19</f>
        <v>75</v>
      </c>
      <c r="AL19" s="62">
        <f>'KEMAMPUAN PRAKTIKUM'!AL19</f>
        <v>57</v>
      </c>
      <c r="AM19" s="62">
        <f>'KEMAMPUAN PRAKTIKUM'!AQ19</f>
        <v>60</v>
      </c>
      <c r="AN19" s="28">
        <f t="shared" si="4"/>
        <v>68.625</v>
      </c>
    </row>
    <row r="20">
      <c r="A20" s="7">
        <f>'INPUT DAFTAR PESERTA'!A18</f>
        <v>15</v>
      </c>
      <c r="B20" s="25">
        <f>'INPUT DAFTAR PESERTA'!B18</f>
        <v>2509056003</v>
      </c>
      <c r="C20" s="26" t="str">
        <f>'INPUT DAFTAR PESERTA'!C18</f>
        <v>Muhammad Daffa Alifiansyah</v>
      </c>
      <c r="D20" s="27">
        <v>100.0</v>
      </c>
      <c r="E20" s="27">
        <v>100.0</v>
      </c>
      <c r="F20" s="27">
        <v>100.0</v>
      </c>
      <c r="G20" s="27">
        <v>100.0</v>
      </c>
      <c r="H20" s="27">
        <v>100.0</v>
      </c>
      <c r="I20" s="27">
        <v>100.0</v>
      </c>
      <c r="J20" s="27">
        <v>100.0</v>
      </c>
      <c r="K20" s="27">
        <v>100.0</v>
      </c>
      <c r="L20" s="70">
        <f t="shared" si="1"/>
        <v>100</v>
      </c>
      <c r="M20" s="28">
        <f>'PENULISAN LAPORAN'!N19</f>
        <v>68.3125</v>
      </c>
      <c r="N20" s="27">
        <v>90.0</v>
      </c>
      <c r="O20" s="27">
        <v>90.0</v>
      </c>
      <c r="P20" s="27">
        <v>90.0</v>
      </c>
      <c r="Q20" s="27">
        <v>90.0</v>
      </c>
      <c r="R20" s="27">
        <v>90.0</v>
      </c>
      <c r="S20" s="27">
        <v>90.0</v>
      </c>
      <c r="T20" s="27">
        <v>90.0</v>
      </c>
      <c r="U20" s="27">
        <v>90.0</v>
      </c>
      <c r="V20" s="28">
        <f t="shared" si="2"/>
        <v>90</v>
      </c>
      <c r="W20" s="27">
        <v>60.0</v>
      </c>
      <c r="X20" s="27">
        <v>70.0</v>
      </c>
      <c r="Y20" s="27">
        <v>80.0</v>
      </c>
      <c r="Z20" s="27">
        <v>70.0</v>
      </c>
      <c r="AA20" s="27">
        <v>80.0</v>
      </c>
      <c r="AB20" s="27">
        <v>60.0</v>
      </c>
      <c r="AC20" s="27">
        <v>80.0</v>
      </c>
      <c r="AD20" s="27">
        <v>80.0</v>
      </c>
      <c r="AE20" s="63">
        <f t="shared" si="3"/>
        <v>72.5</v>
      </c>
      <c r="AF20" s="62">
        <f>'KEMAMPUAN PRAKTIKUM'!H20</f>
        <v>75</v>
      </c>
      <c r="AG20" s="62">
        <f>'KEMAMPUAN PRAKTIKUM'!M20</f>
        <v>90</v>
      </c>
      <c r="AH20" s="62">
        <f>'KEMAMPUAN PRAKTIKUM'!R20</f>
        <v>90</v>
      </c>
      <c r="AI20" s="62">
        <f>'KEMAMPUAN PRAKTIKUM'!W20</f>
        <v>90</v>
      </c>
      <c r="AJ20" s="62">
        <f>'KEMAMPUAN PRAKTIKUM'!AB20</f>
        <v>30</v>
      </c>
      <c r="AK20" s="62">
        <f>'KEMAMPUAN PRAKTIKUM'!AG20</f>
        <v>75</v>
      </c>
      <c r="AL20" s="62">
        <f>'KEMAMPUAN PRAKTIKUM'!AL20</f>
        <v>87</v>
      </c>
      <c r="AM20" s="62">
        <f>'KEMAMPUAN PRAKTIKUM'!AQ20</f>
        <v>60</v>
      </c>
      <c r="AN20" s="28">
        <f t="shared" si="4"/>
        <v>74.625</v>
      </c>
    </row>
    <row r="21">
      <c r="A21" s="7">
        <f>'INPUT DAFTAR PESERTA'!A19</f>
        <v>16</v>
      </c>
      <c r="B21" s="25">
        <f>'INPUT DAFTAR PESERTA'!B19</f>
        <v>2509056004</v>
      </c>
      <c r="C21" s="26" t="str">
        <f>'INPUT DAFTAR PESERTA'!C19</f>
        <v>Adya Nur Adzhuriva</v>
      </c>
      <c r="D21" s="63"/>
      <c r="E21" s="27">
        <v>0.0</v>
      </c>
      <c r="F21" s="63"/>
      <c r="G21" s="63"/>
      <c r="H21" s="27">
        <v>100.0</v>
      </c>
      <c r="I21" s="27">
        <v>100.0</v>
      </c>
      <c r="J21" s="27">
        <v>100.0</v>
      </c>
      <c r="K21" s="63"/>
      <c r="L21" s="70">
        <f t="shared" si="1"/>
        <v>37.5</v>
      </c>
      <c r="M21" s="28">
        <f>'PENULISAN LAPORAN'!N20</f>
        <v>0.3125</v>
      </c>
      <c r="N21" s="27">
        <v>86.0</v>
      </c>
      <c r="O21" s="27">
        <v>86.0</v>
      </c>
      <c r="P21" s="27">
        <v>86.0</v>
      </c>
      <c r="Q21" s="27">
        <v>86.0</v>
      </c>
      <c r="R21" s="27">
        <v>86.0</v>
      </c>
      <c r="S21" s="27">
        <v>86.0</v>
      </c>
      <c r="T21" s="27">
        <v>86.0</v>
      </c>
      <c r="U21" s="27">
        <v>86.0</v>
      </c>
      <c r="V21" s="28">
        <f t="shared" si="2"/>
        <v>86</v>
      </c>
      <c r="W21" s="63"/>
      <c r="X21" s="27">
        <v>0.0</v>
      </c>
      <c r="Y21" s="63"/>
      <c r="Z21" s="63"/>
      <c r="AA21" s="27">
        <v>0.0</v>
      </c>
      <c r="AB21" s="63"/>
      <c r="AC21" s="63"/>
      <c r="AD21" s="63"/>
      <c r="AE21" s="63">
        <f t="shared" si="3"/>
        <v>0</v>
      </c>
      <c r="AF21" s="62">
        <f>'KEMAMPUAN PRAKTIKUM'!H21</f>
        <v>0</v>
      </c>
      <c r="AG21" s="62">
        <f>'KEMAMPUAN PRAKTIKUM'!M21</f>
        <v>0</v>
      </c>
      <c r="AH21" s="62">
        <f>'KEMAMPUAN PRAKTIKUM'!R21</f>
        <v>0</v>
      </c>
      <c r="AI21" s="62">
        <f>'KEMAMPUAN PRAKTIKUM'!W21</f>
        <v>0</v>
      </c>
      <c r="AJ21" s="62">
        <f>'KEMAMPUAN PRAKTIKUM'!AB21</f>
        <v>30</v>
      </c>
      <c r="AK21" s="62">
        <f>'KEMAMPUAN PRAKTIKUM'!AG21</f>
        <v>75</v>
      </c>
      <c r="AL21" s="62">
        <f>'KEMAMPUAN PRAKTIKUM'!AL21</f>
        <v>0</v>
      </c>
      <c r="AM21" s="62">
        <f>'KEMAMPUAN PRAKTIKUM'!AQ21</f>
        <v>0</v>
      </c>
      <c r="AN21" s="28">
        <f t="shared" si="4"/>
        <v>13.125</v>
      </c>
    </row>
    <row r="22">
      <c r="A22" s="7">
        <f>'INPUT DAFTAR PESERTA'!A20</f>
        <v>17</v>
      </c>
      <c r="B22" s="25">
        <f>'INPUT DAFTAR PESERTA'!B20</f>
        <v>2509056005</v>
      </c>
      <c r="C22" s="26" t="str">
        <f>'INPUT DAFTAR PESERTA'!C20</f>
        <v>Cheva Fasha Prathama</v>
      </c>
      <c r="D22" s="63"/>
      <c r="E22" s="27">
        <v>0.0</v>
      </c>
      <c r="F22" s="63"/>
      <c r="G22" s="63"/>
      <c r="H22" s="27">
        <v>0.0</v>
      </c>
      <c r="I22" s="27">
        <v>0.0</v>
      </c>
      <c r="J22" s="63"/>
      <c r="K22" s="63"/>
      <c r="L22" s="70">
        <f t="shared" si="1"/>
        <v>0</v>
      </c>
      <c r="M22" s="28">
        <f>'PENULISAN LAPORAN'!N21</f>
        <v>0</v>
      </c>
      <c r="N22" s="27">
        <v>0.0</v>
      </c>
      <c r="O22" s="27">
        <v>0.0</v>
      </c>
      <c r="P22" s="27">
        <v>0.0</v>
      </c>
      <c r="Q22" s="27">
        <v>0.0</v>
      </c>
      <c r="R22" s="27">
        <v>0.0</v>
      </c>
      <c r="S22" s="27">
        <v>0.0</v>
      </c>
      <c r="T22" s="27">
        <v>0.0</v>
      </c>
      <c r="U22" s="27">
        <v>0.0</v>
      </c>
      <c r="V22" s="28">
        <f t="shared" si="2"/>
        <v>0</v>
      </c>
      <c r="W22" s="63"/>
      <c r="X22" s="27">
        <v>0.0</v>
      </c>
      <c r="Y22" s="63"/>
      <c r="Z22" s="63"/>
      <c r="AA22" s="27">
        <v>0.0</v>
      </c>
      <c r="AB22" s="63"/>
      <c r="AC22" s="63"/>
      <c r="AD22" s="63"/>
      <c r="AE22" s="63">
        <f t="shared" si="3"/>
        <v>0</v>
      </c>
      <c r="AF22" s="62">
        <f>'KEMAMPUAN PRAKTIKUM'!H22</f>
        <v>0</v>
      </c>
      <c r="AG22" s="62">
        <f>'KEMAMPUAN PRAKTIKUM'!M22</f>
        <v>0</v>
      </c>
      <c r="AH22" s="62">
        <f>'KEMAMPUAN PRAKTIKUM'!R22</f>
        <v>0</v>
      </c>
      <c r="AI22" s="62">
        <f>'KEMAMPUAN PRAKTIKUM'!W22</f>
        <v>0</v>
      </c>
      <c r="AJ22" s="62">
        <f>'KEMAMPUAN PRAKTIKUM'!AB22</f>
        <v>30</v>
      </c>
      <c r="AK22" s="62">
        <f>'KEMAMPUAN PRAKTIKUM'!AG22</f>
        <v>0</v>
      </c>
      <c r="AL22" s="62">
        <f>'KEMAMPUAN PRAKTIKUM'!AL22</f>
        <v>0</v>
      </c>
      <c r="AM22" s="62">
        <f>'KEMAMPUAN PRAKTIKUM'!AQ22</f>
        <v>0</v>
      </c>
      <c r="AN22" s="28">
        <f t="shared" si="4"/>
        <v>3.75</v>
      </c>
    </row>
    <row r="23">
      <c r="A23" s="7">
        <f>'INPUT DAFTAR PESERTA'!A21</f>
        <v>18</v>
      </c>
      <c r="B23" s="25">
        <f>'INPUT DAFTAR PESERTA'!B21</f>
        <v>2509056006</v>
      </c>
      <c r="C23" s="26" t="str">
        <f>'INPUT DAFTAR PESERTA'!C21</f>
        <v>Muhammad Zaki Fadillah</v>
      </c>
      <c r="D23" s="63"/>
      <c r="E23" s="27">
        <v>0.0</v>
      </c>
      <c r="F23" s="63"/>
      <c r="G23" s="63"/>
      <c r="H23" s="27">
        <v>0.0</v>
      </c>
      <c r="I23" s="27">
        <v>0.0</v>
      </c>
      <c r="J23" s="63"/>
      <c r="K23" s="63"/>
      <c r="L23" s="70">
        <f t="shared" si="1"/>
        <v>0</v>
      </c>
      <c r="M23" s="28">
        <f>'PENULISAN LAPORAN'!N22</f>
        <v>0</v>
      </c>
      <c r="N23" s="27">
        <v>70.0</v>
      </c>
      <c r="O23" s="27">
        <v>70.0</v>
      </c>
      <c r="P23" s="27">
        <v>70.0</v>
      </c>
      <c r="Q23" s="27">
        <v>70.0</v>
      </c>
      <c r="R23" s="27">
        <v>70.0</v>
      </c>
      <c r="S23" s="27">
        <v>70.0</v>
      </c>
      <c r="T23" s="27">
        <v>70.0</v>
      </c>
      <c r="U23" s="27">
        <v>70.0</v>
      </c>
      <c r="V23" s="28">
        <f t="shared" si="2"/>
        <v>70</v>
      </c>
      <c r="W23" s="63"/>
      <c r="X23" s="27">
        <v>0.0</v>
      </c>
      <c r="Y23" s="63"/>
      <c r="Z23" s="63"/>
      <c r="AA23" s="27">
        <v>0.0</v>
      </c>
      <c r="AB23" s="63"/>
      <c r="AC23" s="63"/>
      <c r="AD23" s="63"/>
      <c r="AE23" s="63">
        <f t="shared" si="3"/>
        <v>0</v>
      </c>
      <c r="AF23" s="62">
        <f>'KEMAMPUAN PRAKTIKUM'!H23</f>
        <v>0</v>
      </c>
      <c r="AG23" s="62">
        <f>'KEMAMPUAN PRAKTIKUM'!M23</f>
        <v>0</v>
      </c>
      <c r="AH23" s="62">
        <f>'KEMAMPUAN PRAKTIKUM'!R23</f>
        <v>0</v>
      </c>
      <c r="AI23" s="62">
        <f>'KEMAMPUAN PRAKTIKUM'!W23</f>
        <v>0</v>
      </c>
      <c r="AJ23" s="62">
        <f>'KEMAMPUAN PRAKTIKUM'!AB23</f>
        <v>30</v>
      </c>
      <c r="AK23" s="62">
        <f>'KEMAMPUAN PRAKTIKUM'!AG23</f>
        <v>0</v>
      </c>
      <c r="AL23" s="62">
        <f>'KEMAMPUAN PRAKTIKUM'!AL23</f>
        <v>0</v>
      </c>
      <c r="AM23" s="62">
        <f>'KEMAMPUAN PRAKTIKUM'!AQ23</f>
        <v>0</v>
      </c>
      <c r="AN23" s="28">
        <f t="shared" si="4"/>
        <v>3.75</v>
      </c>
    </row>
    <row r="24">
      <c r="A24" s="7">
        <f>'INPUT DAFTAR PESERTA'!A22</f>
        <v>19</v>
      </c>
      <c r="B24" s="25">
        <f>'INPUT DAFTAR PESERTA'!B22</f>
        <v>2509056007</v>
      </c>
      <c r="C24" s="26" t="str">
        <f>'INPUT DAFTAR PESERTA'!C22</f>
        <v>Widdyanti Fetrina Sefriany</v>
      </c>
      <c r="D24" s="63"/>
      <c r="E24" s="27">
        <v>0.0</v>
      </c>
      <c r="F24" s="63"/>
      <c r="G24" s="63"/>
      <c r="H24" s="27">
        <v>0.0</v>
      </c>
      <c r="I24" s="27">
        <v>0.0</v>
      </c>
      <c r="J24" s="63"/>
      <c r="K24" s="63"/>
      <c r="L24" s="70">
        <f t="shared" si="1"/>
        <v>0</v>
      </c>
      <c r="M24" s="28">
        <f>'PENULISAN LAPORAN'!N23</f>
        <v>0</v>
      </c>
      <c r="N24" s="27">
        <v>88.0</v>
      </c>
      <c r="O24" s="27">
        <v>88.0</v>
      </c>
      <c r="P24" s="27">
        <v>88.0</v>
      </c>
      <c r="Q24" s="27">
        <v>88.0</v>
      </c>
      <c r="R24" s="27">
        <v>88.0</v>
      </c>
      <c r="S24" s="27">
        <v>88.0</v>
      </c>
      <c r="T24" s="27">
        <v>88.0</v>
      </c>
      <c r="U24" s="27">
        <v>88.0</v>
      </c>
      <c r="V24" s="28">
        <f t="shared" si="2"/>
        <v>88</v>
      </c>
      <c r="W24" s="63"/>
      <c r="X24" s="27">
        <v>0.0</v>
      </c>
      <c r="Y24" s="63"/>
      <c r="Z24" s="63"/>
      <c r="AA24" s="27">
        <v>0.0</v>
      </c>
      <c r="AB24" s="63"/>
      <c r="AC24" s="63"/>
      <c r="AD24" s="63"/>
      <c r="AE24" s="63">
        <f t="shared" si="3"/>
        <v>0</v>
      </c>
      <c r="AF24" s="62">
        <f>'KEMAMPUAN PRAKTIKUM'!H24</f>
        <v>0</v>
      </c>
      <c r="AG24" s="62">
        <f>'KEMAMPUAN PRAKTIKUM'!M24</f>
        <v>0</v>
      </c>
      <c r="AH24" s="62">
        <f>'KEMAMPUAN PRAKTIKUM'!R24</f>
        <v>0</v>
      </c>
      <c r="AI24" s="62">
        <f>'KEMAMPUAN PRAKTIKUM'!W24</f>
        <v>0</v>
      </c>
      <c r="AJ24" s="62">
        <f>'KEMAMPUAN PRAKTIKUM'!AB24</f>
        <v>30</v>
      </c>
      <c r="AK24" s="62">
        <f>'KEMAMPUAN PRAKTIKUM'!AG24</f>
        <v>0</v>
      </c>
      <c r="AL24" s="62">
        <f>'KEMAMPUAN PRAKTIKUM'!AL24</f>
        <v>0</v>
      </c>
      <c r="AM24" s="62">
        <f>'KEMAMPUAN PRAKTIKUM'!AQ24</f>
        <v>0</v>
      </c>
      <c r="AN24" s="28">
        <f t="shared" si="4"/>
        <v>3.75</v>
      </c>
    </row>
    <row r="25">
      <c r="A25" s="7">
        <f>'INPUT DAFTAR PESERTA'!A23</f>
        <v>20</v>
      </c>
      <c r="B25" s="25">
        <f>'INPUT DAFTAR PESERTA'!B23</f>
        <v>2509056008</v>
      </c>
      <c r="C25" s="26" t="str">
        <f>'INPUT DAFTAR PESERTA'!C23</f>
        <v>Gita Mufidatuzahrah</v>
      </c>
      <c r="D25" s="27">
        <v>100.0</v>
      </c>
      <c r="E25" s="27">
        <v>0.0</v>
      </c>
      <c r="F25" s="63"/>
      <c r="G25" s="63"/>
      <c r="H25" s="27">
        <v>100.0</v>
      </c>
      <c r="I25" s="27">
        <v>100.0</v>
      </c>
      <c r="J25" s="27">
        <v>100.0</v>
      </c>
      <c r="K25" s="63"/>
      <c r="L25" s="70">
        <f t="shared" si="1"/>
        <v>50</v>
      </c>
      <c r="M25" s="28">
        <f>'PENULISAN LAPORAN'!N24</f>
        <v>4.6875</v>
      </c>
      <c r="N25" s="27">
        <v>96.0</v>
      </c>
      <c r="O25" s="27">
        <v>96.0</v>
      </c>
      <c r="P25" s="27">
        <v>96.0</v>
      </c>
      <c r="Q25" s="27">
        <v>96.0</v>
      </c>
      <c r="R25" s="27">
        <v>96.0</v>
      </c>
      <c r="S25" s="27">
        <v>96.0</v>
      </c>
      <c r="T25" s="27">
        <v>96.0</v>
      </c>
      <c r="U25" s="27">
        <v>96.0</v>
      </c>
      <c r="V25" s="28">
        <f t="shared" si="2"/>
        <v>96</v>
      </c>
      <c r="W25" s="63"/>
      <c r="X25" s="27">
        <v>0.0</v>
      </c>
      <c r="Y25" s="63"/>
      <c r="Z25" s="63"/>
      <c r="AA25" s="27">
        <v>0.0</v>
      </c>
      <c r="AB25" s="63"/>
      <c r="AC25" s="63"/>
      <c r="AD25" s="63"/>
      <c r="AE25" s="63">
        <f t="shared" si="3"/>
        <v>0</v>
      </c>
      <c r="AF25" s="62">
        <f>'KEMAMPUAN PRAKTIKUM'!H25</f>
        <v>60</v>
      </c>
      <c r="AG25" s="62">
        <f>'KEMAMPUAN PRAKTIKUM'!M25</f>
        <v>0</v>
      </c>
      <c r="AH25" s="62">
        <f>'KEMAMPUAN PRAKTIKUM'!R25</f>
        <v>0</v>
      </c>
      <c r="AI25" s="62">
        <f>'KEMAMPUAN PRAKTIKUM'!W25</f>
        <v>0</v>
      </c>
      <c r="AJ25" s="62">
        <f>'KEMAMPUAN PRAKTIKUM'!AB25</f>
        <v>30</v>
      </c>
      <c r="AK25" s="62">
        <f>'KEMAMPUAN PRAKTIKUM'!AG25</f>
        <v>0</v>
      </c>
      <c r="AL25" s="62">
        <f>'KEMAMPUAN PRAKTIKUM'!AL25</f>
        <v>57</v>
      </c>
      <c r="AM25" s="62">
        <f>'KEMAMPUAN PRAKTIKUM'!AQ25</f>
        <v>0</v>
      </c>
      <c r="AN25" s="28">
        <f t="shared" si="4"/>
        <v>18.375</v>
      </c>
    </row>
    <row r="26">
      <c r="A26" s="7">
        <f>'INPUT DAFTAR PESERTA'!A24</f>
        <v>21</v>
      </c>
      <c r="B26" s="25">
        <f>'INPUT DAFTAR PESERTA'!B24</f>
        <v>2509056009</v>
      </c>
      <c r="C26" s="26" t="str">
        <f>'INPUT DAFTAR PESERTA'!C24</f>
        <v>Muhammad Hersal Ramadhan</v>
      </c>
      <c r="D26" s="27">
        <v>100.0</v>
      </c>
      <c r="E26" s="27">
        <v>100.0</v>
      </c>
      <c r="F26" s="27">
        <v>100.0</v>
      </c>
      <c r="G26" s="27">
        <v>100.0</v>
      </c>
      <c r="H26" s="27">
        <v>100.0</v>
      </c>
      <c r="I26" s="27">
        <v>100.0</v>
      </c>
      <c r="J26" s="27">
        <v>100.0</v>
      </c>
      <c r="K26" s="27">
        <v>100.0</v>
      </c>
      <c r="L26" s="70">
        <f t="shared" si="1"/>
        <v>100</v>
      </c>
      <c r="M26" s="28">
        <f>'PENULISAN LAPORAN'!N25</f>
        <v>65.3125</v>
      </c>
      <c r="N26" s="27">
        <v>88.0</v>
      </c>
      <c r="O26" s="27">
        <v>88.0</v>
      </c>
      <c r="P26" s="27">
        <v>88.0</v>
      </c>
      <c r="Q26" s="27">
        <v>88.0</v>
      </c>
      <c r="R26" s="27">
        <v>88.0</v>
      </c>
      <c r="S26" s="27">
        <v>88.0</v>
      </c>
      <c r="T26" s="27">
        <v>88.0</v>
      </c>
      <c r="U26" s="27">
        <v>88.0</v>
      </c>
      <c r="V26" s="28">
        <f t="shared" si="2"/>
        <v>88</v>
      </c>
      <c r="W26" s="27">
        <v>70.0</v>
      </c>
      <c r="X26" s="27">
        <v>70.0</v>
      </c>
      <c r="Y26" s="27">
        <v>70.0</v>
      </c>
      <c r="Z26" s="27">
        <v>70.0</v>
      </c>
      <c r="AA26" s="27">
        <v>70.0</v>
      </c>
      <c r="AB26" s="27">
        <v>60.0</v>
      </c>
      <c r="AC26" s="27">
        <v>70.0</v>
      </c>
      <c r="AD26" s="27">
        <v>80.0</v>
      </c>
      <c r="AE26" s="63">
        <f t="shared" si="3"/>
        <v>70</v>
      </c>
      <c r="AF26" s="62">
        <f>'KEMAMPUAN PRAKTIKUM'!H26</f>
        <v>66</v>
      </c>
      <c r="AG26" s="62">
        <f>'KEMAMPUAN PRAKTIKUM'!M26</f>
        <v>60</v>
      </c>
      <c r="AH26" s="62">
        <f>'KEMAMPUAN PRAKTIKUM'!R26</f>
        <v>90</v>
      </c>
      <c r="AI26" s="62">
        <f>'KEMAMPUAN PRAKTIKUM'!W26</f>
        <v>87</v>
      </c>
      <c r="AJ26" s="62">
        <f>'KEMAMPUAN PRAKTIKUM'!AB26</f>
        <v>75</v>
      </c>
      <c r="AK26" s="62">
        <f>'KEMAMPUAN PRAKTIKUM'!AG26</f>
        <v>69</v>
      </c>
      <c r="AL26" s="62">
        <f>'KEMAMPUAN PRAKTIKUM'!AL26</f>
        <v>57</v>
      </c>
      <c r="AM26" s="62">
        <f>'KEMAMPUAN PRAKTIKUM'!AQ26</f>
        <v>60</v>
      </c>
      <c r="AN26" s="28">
        <f t="shared" si="4"/>
        <v>70.5</v>
      </c>
    </row>
    <row r="27">
      <c r="A27" s="7">
        <f>'INPUT DAFTAR PESERTA'!A25</f>
        <v>22</v>
      </c>
      <c r="B27" s="25">
        <f>'INPUT DAFTAR PESERTA'!B25</f>
        <v>2509056010</v>
      </c>
      <c r="C27" s="26" t="str">
        <f>'INPUT DAFTAR PESERTA'!C25</f>
        <v>Chikal Fattiya Putri</v>
      </c>
      <c r="D27" s="63"/>
      <c r="E27" s="27">
        <v>0.0</v>
      </c>
      <c r="F27" s="27">
        <v>100.0</v>
      </c>
      <c r="G27" s="63"/>
      <c r="H27" s="27">
        <v>100.0</v>
      </c>
      <c r="I27" s="27">
        <v>100.0</v>
      </c>
      <c r="J27" s="27">
        <v>100.0</v>
      </c>
      <c r="K27" s="63"/>
      <c r="L27" s="70">
        <f t="shared" si="1"/>
        <v>50</v>
      </c>
      <c r="M27" s="28">
        <f>'PENULISAN LAPORAN'!N26</f>
        <v>6.3125</v>
      </c>
      <c r="N27" s="27">
        <v>0.0</v>
      </c>
      <c r="O27" s="27">
        <v>0.0</v>
      </c>
      <c r="P27" s="27">
        <v>0.0</v>
      </c>
      <c r="Q27" s="27">
        <v>0.0</v>
      </c>
      <c r="R27" s="27">
        <v>0.0</v>
      </c>
      <c r="S27" s="27">
        <v>0.0</v>
      </c>
      <c r="T27" s="27">
        <v>0.0</v>
      </c>
      <c r="U27" s="27">
        <v>0.0</v>
      </c>
      <c r="V27" s="28">
        <f t="shared" si="2"/>
        <v>0</v>
      </c>
      <c r="W27" s="63"/>
      <c r="X27" s="27">
        <v>0.0</v>
      </c>
      <c r="Y27" s="63"/>
      <c r="Z27" s="63"/>
      <c r="AA27" s="27">
        <v>0.0</v>
      </c>
      <c r="AB27" s="27">
        <v>80.0</v>
      </c>
      <c r="AC27" s="63"/>
      <c r="AD27" s="63"/>
      <c r="AE27" s="63">
        <f t="shared" si="3"/>
        <v>10</v>
      </c>
      <c r="AF27" s="62">
        <f>'KEMAMPUAN PRAKTIKUM'!H27</f>
        <v>0</v>
      </c>
      <c r="AG27" s="62">
        <f>'KEMAMPUAN PRAKTIKUM'!M27</f>
        <v>0</v>
      </c>
      <c r="AH27" s="62">
        <f>'KEMAMPUAN PRAKTIKUM'!R27</f>
        <v>0</v>
      </c>
      <c r="AI27" s="62">
        <f>'KEMAMPUAN PRAKTIKUM'!W27</f>
        <v>0</v>
      </c>
      <c r="AJ27" s="62">
        <f>'KEMAMPUAN PRAKTIKUM'!AB27</f>
        <v>60</v>
      </c>
      <c r="AK27" s="62">
        <f>'KEMAMPUAN PRAKTIKUM'!AG27</f>
        <v>69</v>
      </c>
      <c r="AL27" s="62">
        <f>'KEMAMPUAN PRAKTIKUM'!AL27</f>
        <v>57</v>
      </c>
      <c r="AM27" s="62">
        <f>'KEMAMPUAN PRAKTIKUM'!AQ27</f>
        <v>0</v>
      </c>
      <c r="AN27" s="28">
        <f t="shared" si="4"/>
        <v>23.25</v>
      </c>
    </row>
    <row r="28">
      <c r="A28" s="7">
        <f>'INPUT DAFTAR PESERTA'!A26</f>
        <v>23</v>
      </c>
      <c r="B28" s="25">
        <f>'INPUT DAFTAR PESERTA'!B26</f>
        <v>2509056011</v>
      </c>
      <c r="C28" s="26" t="str">
        <f>'INPUT DAFTAR PESERTA'!C26</f>
        <v>Muhammad Daffa Lailitama Sinaga</v>
      </c>
      <c r="D28" s="27">
        <v>100.0</v>
      </c>
      <c r="E28" s="27">
        <v>100.0</v>
      </c>
      <c r="F28" s="27">
        <v>100.0</v>
      </c>
      <c r="G28" s="27">
        <v>100.0</v>
      </c>
      <c r="H28" s="27">
        <v>100.0</v>
      </c>
      <c r="I28" s="27">
        <v>100.0</v>
      </c>
      <c r="J28" s="27">
        <v>100.0</v>
      </c>
      <c r="K28" s="27">
        <v>100.0</v>
      </c>
      <c r="L28" s="70">
        <f t="shared" si="1"/>
        <v>100</v>
      </c>
      <c r="M28" s="28">
        <f>'PENULISAN LAPORAN'!N27</f>
        <v>79.75</v>
      </c>
      <c r="N28" s="27">
        <v>100.0</v>
      </c>
      <c r="O28" s="27">
        <v>100.0</v>
      </c>
      <c r="P28" s="27">
        <v>100.0</v>
      </c>
      <c r="Q28" s="27">
        <v>100.0</v>
      </c>
      <c r="R28" s="27">
        <v>100.0</v>
      </c>
      <c r="S28" s="27">
        <v>100.0</v>
      </c>
      <c r="T28" s="27">
        <v>100.0</v>
      </c>
      <c r="U28" s="27">
        <v>100.0</v>
      </c>
      <c r="V28" s="28">
        <f t="shared" si="2"/>
        <v>100</v>
      </c>
      <c r="W28" s="27">
        <v>70.0</v>
      </c>
      <c r="X28" s="27">
        <v>70.0</v>
      </c>
      <c r="Y28" s="27">
        <v>70.0</v>
      </c>
      <c r="Z28" s="27">
        <v>70.0</v>
      </c>
      <c r="AA28" s="27">
        <v>80.0</v>
      </c>
      <c r="AB28" s="27">
        <v>80.0</v>
      </c>
      <c r="AC28" s="27">
        <v>80.0</v>
      </c>
      <c r="AD28" s="27">
        <v>80.0</v>
      </c>
      <c r="AE28" s="63">
        <f t="shared" si="3"/>
        <v>75</v>
      </c>
      <c r="AF28" s="62">
        <f>'KEMAMPUAN PRAKTIKUM'!H28</f>
        <v>75</v>
      </c>
      <c r="AG28" s="62">
        <f>'KEMAMPUAN PRAKTIKUM'!M28</f>
        <v>60</v>
      </c>
      <c r="AH28" s="62">
        <f>'KEMAMPUAN PRAKTIKUM'!R28</f>
        <v>87</v>
      </c>
      <c r="AI28" s="62">
        <f>'KEMAMPUAN PRAKTIKUM'!W28</f>
        <v>87</v>
      </c>
      <c r="AJ28" s="62">
        <f>'KEMAMPUAN PRAKTIKUM'!AB28</f>
        <v>90</v>
      </c>
      <c r="AK28" s="62">
        <f>'KEMAMPUAN PRAKTIKUM'!AG28</f>
        <v>69</v>
      </c>
      <c r="AL28" s="62">
        <f>'KEMAMPUAN PRAKTIKUM'!AL28</f>
        <v>87</v>
      </c>
      <c r="AM28" s="62">
        <f>'KEMAMPUAN PRAKTIKUM'!AQ28</f>
        <v>60</v>
      </c>
      <c r="AN28" s="28">
        <f t="shared" si="4"/>
        <v>76.875</v>
      </c>
    </row>
    <row r="29">
      <c r="A29" s="7">
        <f>'INPUT DAFTAR PESERTA'!A27</f>
        <v>24</v>
      </c>
      <c r="B29" s="25">
        <f>'INPUT DAFTAR PESERTA'!B27</f>
        <v>2509056012</v>
      </c>
      <c r="C29" s="26" t="str">
        <f>'INPUT DAFTAR PESERTA'!C27</f>
        <v>Sera Ayu Ningsih</v>
      </c>
      <c r="D29" s="63"/>
      <c r="E29" s="27">
        <v>100.0</v>
      </c>
      <c r="F29" s="27">
        <v>100.0</v>
      </c>
      <c r="G29" s="27">
        <v>100.0</v>
      </c>
      <c r="H29" s="27">
        <v>100.0</v>
      </c>
      <c r="I29" s="27">
        <v>100.0</v>
      </c>
      <c r="J29" s="27">
        <v>100.0</v>
      </c>
      <c r="K29" s="27">
        <v>100.0</v>
      </c>
      <c r="L29" s="70">
        <f t="shared" si="1"/>
        <v>87.5</v>
      </c>
      <c r="M29" s="28">
        <f>'PENULISAN LAPORAN'!N28</f>
        <v>41.375</v>
      </c>
      <c r="N29" s="27">
        <v>88.0</v>
      </c>
      <c r="O29" s="27">
        <v>88.0</v>
      </c>
      <c r="P29" s="27">
        <v>88.0</v>
      </c>
      <c r="Q29" s="27">
        <v>88.0</v>
      </c>
      <c r="R29" s="27">
        <v>88.0</v>
      </c>
      <c r="S29" s="27">
        <v>88.0</v>
      </c>
      <c r="T29" s="27">
        <v>88.0</v>
      </c>
      <c r="U29" s="27">
        <v>88.0</v>
      </c>
      <c r="V29" s="28">
        <f t="shared" si="2"/>
        <v>88</v>
      </c>
      <c r="W29" s="27">
        <v>0.0</v>
      </c>
      <c r="X29" s="27">
        <v>30.0</v>
      </c>
      <c r="Y29" s="27">
        <v>30.0</v>
      </c>
      <c r="Z29" s="27">
        <v>30.0</v>
      </c>
      <c r="AA29" s="27">
        <v>30.0</v>
      </c>
      <c r="AB29" s="27">
        <v>30.0</v>
      </c>
      <c r="AC29" s="27">
        <v>30.0</v>
      </c>
      <c r="AD29" s="27">
        <v>80.0</v>
      </c>
      <c r="AE29" s="63">
        <f t="shared" si="3"/>
        <v>32.5</v>
      </c>
      <c r="AF29" s="62">
        <f>'KEMAMPUAN PRAKTIKUM'!H29</f>
        <v>60</v>
      </c>
      <c r="AG29" s="62">
        <f>'KEMAMPUAN PRAKTIKUM'!M29</f>
        <v>60</v>
      </c>
      <c r="AH29" s="62">
        <f>'KEMAMPUAN PRAKTIKUM'!R29</f>
        <v>57</v>
      </c>
      <c r="AI29" s="62">
        <f>'KEMAMPUAN PRAKTIKUM'!W29</f>
        <v>87</v>
      </c>
      <c r="AJ29" s="62">
        <f>'KEMAMPUAN PRAKTIKUM'!AB29</f>
        <v>60</v>
      </c>
      <c r="AK29" s="62">
        <f>'KEMAMPUAN PRAKTIKUM'!AG29</f>
        <v>69</v>
      </c>
      <c r="AL29" s="62">
        <f>'KEMAMPUAN PRAKTIKUM'!AL29</f>
        <v>72</v>
      </c>
      <c r="AM29" s="62">
        <f>'KEMAMPUAN PRAKTIKUM'!AQ29</f>
        <v>60</v>
      </c>
      <c r="AN29" s="28">
        <f t="shared" si="4"/>
        <v>65.625</v>
      </c>
    </row>
    <row r="30">
      <c r="A30" s="7">
        <f>'INPUT DAFTAR PESERTA'!A28</f>
        <v>25</v>
      </c>
      <c r="B30" s="25">
        <f>'INPUT DAFTAR PESERTA'!B28</f>
        <v>2509056013</v>
      </c>
      <c r="C30" s="26" t="str">
        <f>'INPUT DAFTAR PESERTA'!C28</f>
        <v>Naufal Firdaus Syauqi</v>
      </c>
      <c r="D30" s="27">
        <v>100.0</v>
      </c>
      <c r="E30" s="27">
        <v>100.0</v>
      </c>
      <c r="F30" s="27">
        <v>100.0</v>
      </c>
      <c r="G30" s="27">
        <v>100.0</v>
      </c>
      <c r="H30" s="27">
        <v>100.0</v>
      </c>
      <c r="I30" s="27">
        <v>100.0</v>
      </c>
      <c r="J30" s="27">
        <v>100.0</v>
      </c>
      <c r="K30" s="27">
        <v>100.0</v>
      </c>
      <c r="L30" s="70">
        <f t="shared" si="1"/>
        <v>100</v>
      </c>
      <c r="M30" s="28">
        <f>'PENULISAN LAPORAN'!N29</f>
        <v>68.0625</v>
      </c>
      <c r="N30" s="27">
        <v>90.0</v>
      </c>
      <c r="O30" s="27">
        <v>90.0</v>
      </c>
      <c r="P30" s="27">
        <v>90.0</v>
      </c>
      <c r="Q30" s="27">
        <v>90.0</v>
      </c>
      <c r="R30" s="27">
        <v>90.0</v>
      </c>
      <c r="S30" s="27">
        <v>90.0</v>
      </c>
      <c r="T30" s="27">
        <v>90.0</v>
      </c>
      <c r="U30" s="27">
        <v>90.0</v>
      </c>
      <c r="V30" s="28">
        <f t="shared" si="2"/>
        <v>90</v>
      </c>
      <c r="W30" s="27">
        <v>70.0</v>
      </c>
      <c r="X30" s="27">
        <v>60.0</v>
      </c>
      <c r="Y30" s="27">
        <v>80.0</v>
      </c>
      <c r="Z30" s="27">
        <v>70.0</v>
      </c>
      <c r="AA30" s="27">
        <v>70.0</v>
      </c>
      <c r="AB30" s="27">
        <v>80.0</v>
      </c>
      <c r="AC30" s="27">
        <v>80.0</v>
      </c>
      <c r="AD30" s="27">
        <v>80.0</v>
      </c>
      <c r="AE30" s="63">
        <f t="shared" si="3"/>
        <v>73.75</v>
      </c>
      <c r="AF30" s="62">
        <f>'KEMAMPUAN PRAKTIKUM'!H30</f>
        <v>75</v>
      </c>
      <c r="AG30" s="62">
        <f>'KEMAMPUAN PRAKTIKUM'!M30</f>
        <v>0</v>
      </c>
      <c r="AH30" s="62">
        <f>'KEMAMPUAN PRAKTIKUM'!R30</f>
        <v>57</v>
      </c>
      <c r="AI30" s="62">
        <f>'KEMAMPUAN PRAKTIKUM'!W30</f>
        <v>72</v>
      </c>
      <c r="AJ30" s="62">
        <f>'KEMAMPUAN PRAKTIKUM'!AB30</f>
        <v>60</v>
      </c>
      <c r="AK30" s="62">
        <f>'KEMAMPUAN PRAKTIKUM'!AG30</f>
        <v>63</v>
      </c>
      <c r="AL30" s="62">
        <f>'KEMAMPUAN PRAKTIKUM'!AL30</f>
        <v>72</v>
      </c>
      <c r="AM30" s="62">
        <f>'KEMAMPUAN PRAKTIKUM'!AQ30</f>
        <v>75</v>
      </c>
      <c r="AN30" s="28">
        <f t="shared" si="4"/>
        <v>59.25</v>
      </c>
    </row>
    <row r="31">
      <c r="A31" s="7">
        <f>'INPUT DAFTAR PESERTA'!A29</f>
        <v>26</v>
      </c>
      <c r="B31" s="25">
        <f>'INPUT DAFTAR PESERTA'!B29</f>
        <v>2509056014</v>
      </c>
      <c r="C31" s="26" t="str">
        <f>'INPUT DAFTAR PESERTA'!C29</f>
        <v>Alexander Radja Roben Saragih</v>
      </c>
      <c r="D31" s="27">
        <v>100.0</v>
      </c>
      <c r="E31" s="27">
        <v>100.0</v>
      </c>
      <c r="F31" s="27">
        <v>100.0</v>
      </c>
      <c r="G31" s="27">
        <v>100.0</v>
      </c>
      <c r="H31" s="27">
        <v>100.0</v>
      </c>
      <c r="I31" s="27">
        <v>100.0</v>
      </c>
      <c r="J31" s="27">
        <v>100.0</v>
      </c>
      <c r="K31" s="27">
        <v>100.0</v>
      </c>
      <c r="L31" s="70">
        <f t="shared" si="1"/>
        <v>100</v>
      </c>
      <c r="M31" s="28">
        <f>'PENULISAN LAPORAN'!N30</f>
        <v>89.625</v>
      </c>
      <c r="N31" s="27">
        <v>84.0</v>
      </c>
      <c r="O31" s="27">
        <v>84.0</v>
      </c>
      <c r="P31" s="27">
        <v>84.0</v>
      </c>
      <c r="Q31" s="27">
        <v>84.0</v>
      </c>
      <c r="R31" s="27">
        <v>84.0</v>
      </c>
      <c r="S31" s="27">
        <v>84.0</v>
      </c>
      <c r="T31" s="27">
        <v>84.0</v>
      </c>
      <c r="U31" s="27">
        <v>84.0</v>
      </c>
      <c r="V31" s="28">
        <f t="shared" si="2"/>
        <v>84</v>
      </c>
      <c r="W31" s="27">
        <v>80.0</v>
      </c>
      <c r="X31" s="27">
        <v>60.0</v>
      </c>
      <c r="Y31" s="27">
        <v>80.0</v>
      </c>
      <c r="Z31" s="27">
        <v>70.0</v>
      </c>
      <c r="AA31" s="27">
        <v>80.0</v>
      </c>
      <c r="AB31" s="27">
        <v>80.0</v>
      </c>
      <c r="AC31" s="63"/>
      <c r="AD31" s="27">
        <v>80.0</v>
      </c>
      <c r="AE31" s="63">
        <f t="shared" si="3"/>
        <v>66.25</v>
      </c>
      <c r="AF31" s="62">
        <f>'KEMAMPUAN PRAKTIKUM'!H31</f>
        <v>90</v>
      </c>
      <c r="AG31" s="62">
        <f>'KEMAMPUAN PRAKTIKUM'!M31</f>
        <v>60</v>
      </c>
      <c r="AH31" s="62">
        <f>'KEMAMPUAN PRAKTIKUM'!R31</f>
        <v>87</v>
      </c>
      <c r="AI31" s="62">
        <f>'KEMAMPUAN PRAKTIKUM'!W31</f>
        <v>87</v>
      </c>
      <c r="AJ31" s="62">
        <f>'KEMAMPUAN PRAKTIKUM'!AB31</f>
        <v>90</v>
      </c>
      <c r="AK31" s="62">
        <f>'KEMAMPUAN PRAKTIKUM'!AG31</f>
        <v>63</v>
      </c>
      <c r="AL31" s="62">
        <f>'KEMAMPUAN PRAKTIKUM'!AL31</f>
        <v>87</v>
      </c>
      <c r="AM31" s="62">
        <f>'KEMAMPUAN PRAKTIKUM'!AQ31</f>
        <v>90</v>
      </c>
      <c r="AN31" s="28">
        <f t="shared" si="4"/>
        <v>81.75</v>
      </c>
    </row>
    <row r="32">
      <c r="A32" s="7">
        <f>'INPUT DAFTAR PESERTA'!A30</f>
        <v>27</v>
      </c>
      <c r="B32" s="25">
        <f>'INPUT DAFTAR PESERTA'!B30</f>
        <v>2509056015</v>
      </c>
      <c r="C32" s="26" t="str">
        <f>'INPUT DAFTAR PESERTA'!C30</f>
        <v>Tiara Aqila Azzahra</v>
      </c>
      <c r="D32" s="27">
        <v>100.0</v>
      </c>
      <c r="E32" s="27">
        <v>100.0</v>
      </c>
      <c r="F32" s="27">
        <v>100.0</v>
      </c>
      <c r="G32" s="27">
        <v>100.0</v>
      </c>
      <c r="H32" s="27">
        <v>100.0</v>
      </c>
      <c r="I32" s="27">
        <v>100.0</v>
      </c>
      <c r="J32" s="27">
        <v>100.0</v>
      </c>
      <c r="K32" s="63"/>
      <c r="L32" s="70">
        <f t="shared" si="1"/>
        <v>87.5</v>
      </c>
      <c r="M32" s="28">
        <f>'PENULISAN LAPORAN'!N31</f>
        <v>78.25</v>
      </c>
      <c r="N32" s="27">
        <v>78.0</v>
      </c>
      <c r="O32" s="27">
        <v>78.0</v>
      </c>
      <c r="P32" s="27">
        <v>78.0</v>
      </c>
      <c r="Q32" s="27">
        <v>78.0</v>
      </c>
      <c r="R32" s="27">
        <v>78.0</v>
      </c>
      <c r="S32" s="27">
        <v>78.0</v>
      </c>
      <c r="T32" s="27">
        <v>78.0</v>
      </c>
      <c r="U32" s="27">
        <v>78.0</v>
      </c>
      <c r="V32" s="28">
        <f t="shared" si="2"/>
        <v>78</v>
      </c>
      <c r="W32" s="27">
        <v>70.0</v>
      </c>
      <c r="X32" s="27">
        <v>60.0</v>
      </c>
      <c r="Y32" s="27">
        <v>70.0</v>
      </c>
      <c r="Z32" s="27">
        <v>70.0</v>
      </c>
      <c r="AA32" s="27">
        <v>70.0</v>
      </c>
      <c r="AB32" s="27">
        <v>80.0</v>
      </c>
      <c r="AC32" s="27">
        <v>80.0</v>
      </c>
      <c r="AD32" s="63"/>
      <c r="AE32" s="63">
        <f t="shared" si="3"/>
        <v>62.5</v>
      </c>
      <c r="AF32" s="62">
        <f>'KEMAMPUAN PRAKTIKUM'!H32</f>
        <v>60</v>
      </c>
      <c r="AG32" s="62">
        <f>'KEMAMPUAN PRAKTIKUM'!M32</f>
        <v>75</v>
      </c>
      <c r="AH32" s="62">
        <f>'KEMAMPUAN PRAKTIKUM'!R32</f>
        <v>72</v>
      </c>
      <c r="AI32" s="62">
        <f>'KEMAMPUAN PRAKTIKUM'!W32</f>
        <v>87</v>
      </c>
      <c r="AJ32" s="62">
        <f>'KEMAMPUAN PRAKTIKUM'!AB32</f>
        <v>90</v>
      </c>
      <c r="AK32" s="62">
        <f>'KEMAMPUAN PRAKTIKUM'!AG32</f>
        <v>63</v>
      </c>
      <c r="AL32" s="62">
        <f>'KEMAMPUAN PRAKTIKUM'!AL32</f>
        <v>87</v>
      </c>
      <c r="AM32" s="62">
        <f>'KEMAMPUAN PRAKTIKUM'!AQ32</f>
        <v>75</v>
      </c>
      <c r="AN32" s="28">
        <f t="shared" si="4"/>
        <v>76.125</v>
      </c>
    </row>
    <row r="33">
      <c r="A33" s="7">
        <f>'INPUT DAFTAR PESERTA'!A31</f>
        <v>28</v>
      </c>
      <c r="B33" s="25">
        <f>'INPUT DAFTAR PESERTA'!B31</f>
        <v>2509056016</v>
      </c>
      <c r="C33" s="26" t="str">
        <f>'INPUT DAFTAR PESERTA'!C31</f>
        <v>Muhammad Haikal Islamy Saputra</v>
      </c>
      <c r="D33" s="27">
        <v>100.0</v>
      </c>
      <c r="E33" s="27">
        <v>100.0</v>
      </c>
      <c r="F33" s="27">
        <v>100.0</v>
      </c>
      <c r="G33" s="27">
        <v>100.0</v>
      </c>
      <c r="H33" s="27">
        <v>100.0</v>
      </c>
      <c r="I33" s="27">
        <v>100.0</v>
      </c>
      <c r="J33" s="27">
        <v>100.0</v>
      </c>
      <c r="K33" s="27">
        <v>100.0</v>
      </c>
      <c r="L33" s="70">
        <f t="shared" si="1"/>
        <v>100</v>
      </c>
      <c r="M33" s="28">
        <f>'PENULISAN LAPORAN'!N32</f>
        <v>63.4375</v>
      </c>
      <c r="N33" s="27">
        <v>90.0</v>
      </c>
      <c r="O33" s="27">
        <v>90.0</v>
      </c>
      <c r="P33" s="27">
        <v>90.0</v>
      </c>
      <c r="Q33" s="27">
        <v>90.0</v>
      </c>
      <c r="R33" s="27">
        <v>90.0</v>
      </c>
      <c r="S33" s="27">
        <v>90.0</v>
      </c>
      <c r="T33" s="27">
        <v>90.0</v>
      </c>
      <c r="U33" s="27">
        <v>90.0</v>
      </c>
      <c r="V33" s="28">
        <f t="shared" si="2"/>
        <v>90</v>
      </c>
      <c r="W33" s="27">
        <v>70.0</v>
      </c>
      <c r="X33" s="27">
        <v>60.0</v>
      </c>
      <c r="Y33" s="27">
        <v>80.0</v>
      </c>
      <c r="Z33" s="27">
        <v>70.0</v>
      </c>
      <c r="AA33" s="27">
        <v>70.0</v>
      </c>
      <c r="AB33" s="27">
        <v>80.0</v>
      </c>
      <c r="AC33" s="27">
        <v>60.0</v>
      </c>
      <c r="AD33" s="27">
        <v>80.0</v>
      </c>
      <c r="AE33" s="63">
        <f t="shared" si="3"/>
        <v>71.25</v>
      </c>
      <c r="AF33" s="62">
        <f>'KEMAMPUAN PRAKTIKUM'!H33</f>
        <v>51</v>
      </c>
      <c r="AG33" s="62">
        <f>'KEMAMPUAN PRAKTIKUM'!M33</f>
        <v>60</v>
      </c>
      <c r="AH33" s="62">
        <f>'KEMAMPUAN PRAKTIKUM'!R33</f>
        <v>60</v>
      </c>
      <c r="AI33" s="62">
        <f>'KEMAMPUAN PRAKTIKUM'!W33</f>
        <v>72</v>
      </c>
      <c r="AJ33" s="62">
        <f>'KEMAMPUAN PRAKTIKUM'!AB33</f>
        <v>78</v>
      </c>
      <c r="AK33" s="62">
        <f>'KEMAMPUAN PRAKTIKUM'!AG33</f>
        <v>63</v>
      </c>
      <c r="AL33" s="62">
        <f>'KEMAMPUAN PRAKTIKUM'!AL33</f>
        <v>87</v>
      </c>
      <c r="AM33" s="62">
        <f>'KEMAMPUAN PRAKTIKUM'!AQ33</f>
        <v>75</v>
      </c>
      <c r="AN33" s="28">
        <f t="shared" si="4"/>
        <v>68.25</v>
      </c>
    </row>
    <row r="34">
      <c r="A34" s="7">
        <f>'INPUT DAFTAR PESERTA'!A32</f>
        <v>29</v>
      </c>
      <c r="B34" s="25">
        <f>'INPUT DAFTAR PESERTA'!B32</f>
        <v>2509056017</v>
      </c>
      <c r="C34" s="26" t="str">
        <f>'INPUT DAFTAR PESERTA'!C32</f>
        <v>Faatihur Rizki</v>
      </c>
      <c r="D34" s="27">
        <v>100.0</v>
      </c>
      <c r="E34" s="27">
        <v>100.0</v>
      </c>
      <c r="F34" s="27">
        <v>100.0</v>
      </c>
      <c r="G34" s="27">
        <v>100.0</v>
      </c>
      <c r="H34" s="27">
        <v>100.0</v>
      </c>
      <c r="I34" s="27">
        <v>100.0</v>
      </c>
      <c r="J34" s="27">
        <v>100.0</v>
      </c>
      <c r="K34" s="27">
        <v>100.0</v>
      </c>
      <c r="L34" s="70">
        <f t="shared" si="1"/>
        <v>100</v>
      </c>
      <c r="M34" s="28">
        <f>'PENULISAN LAPORAN'!N33</f>
        <v>66.375</v>
      </c>
      <c r="N34" s="27">
        <v>92.0</v>
      </c>
      <c r="O34" s="27">
        <v>92.0</v>
      </c>
      <c r="P34" s="27">
        <v>92.0</v>
      </c>
      <c r="Q34" s="27">
        <v>92.0</v>
      </c>
      <c r="R34" s="27">
        <v>92.0</v>
      </c>
      <c r="S34" s="27">
        <v>92.0</v>
      </c>
      <c r="T34" s="27">
        <v>92.0</v>
      </c>
      <c r="U34" s="27">
        <v>92.0</v>
      </c>
      <c r="V34" s="28">
        <f t="shared" si="2"/>
        <v>92</v>
      </c>
      <c r="W34" s="27">
        <v>70.0</v>
      </c>
      <c r="X34" s="27">
        <v>70.0</v>
      </c>
      <c r="Y34" s="27">
        <v>80.0</v>
      </c>
      <c r="Z34" s="27">
        <v>70.0</v>
      </c>
      <c r="AA34" s="27">
        <v>80.0</v>
      </c>
      <c r="AB34" s="27">
        <v>80.0</v>
      </c>
      <c r="AC34" s="27">
        <v>80.0</v>
      </c>
      <c r="AD34" s="27">
        <v>80.0</v>
      </c>
      <c r="AE34" s="63">
        <f t="shared" si="3"/>
        <v>76.25</v>
      </c>
      <c r="AF34" s="62">
        <f>'KEMAMPUAN PRAKTIKUM'!H34</f>
        <v>51</v>
      </c>
      <c r="AG34" s="62">
        <f>'KEMAMPUAN PRAKTIKUM'!M34</f>
        <v>60</v>
      </c>
      <c r="AH34" s="62">
        <f>'KEMAMPUAN PRAKTIKUM'!R34</f>
        <v>60</v>
      </c>
      <c r="AI34" s="62">
        <f>'KEMAMPUAN PRAKTIKUM'!W34</f>
        <v>57</v>
      </c>
      <c r="AJ34" s="62">
        <f>'KEMAMPUAN PRAKTIKUM'!AB34</f>
        <v>60</v>
      </c>
      <c r="AK34" s="62">
        <f>'KEMAMPUAN PRAKTIKUM'!AG34</f>
        <v>63</v>
      </c>
      <c r="AL34" s="62">
        <f>'KEMAMPUAN PRAKTIKUM'!AL34</f>
        <v>72</v>
      </c>
      <c r="AM34" s="62">
        <f>'KEMAMPUAN PRAKTIKUM'!AQ34</f>
        <v>75</v>
      </c>
      <c r="AN34" s="28">
        <f t="shared" si="4"/>
        <v>62.25</v>
      </c>
    </row>
    <row r="35">
      <c r="A35" s="7">
        <f>'INPUT DAFTAR PESERTA'!A33</f>
        <v>30</v>
      </c>
      <c r="B35" s="25">
        <f>'INPUT DAFTAR PESERTA'!B33</f>
        <v>2509056018</v>
      </c>
      <c r="C35" s="26" t="str">
        <f>'INPUT DAFTAR PESERTA'!C33</f>
        <v>Rashya Annara Salsabilla Tomasoa</v>
      </c>
      <c r="D35" s="27">
        <v>100.0</v>
      </c>
      <c r="E35" s="27">
        <v>100.0</v>
      </c>
      <c r="F35" s="27">
        <v>100.0</v>
      </c>
      <c r="G35" s="27">
        <v>100.0</v>
      </c>
      <c r="H35" s="27">
        <v>100.0</v>
      </c>
      <c r="I35" s="27">
        <v>100.0</v>
      </c>
      <c r="J35" s="27">
        <v>100.0</v>
      </c>
      <c r="K35" s="27">
        <v>100.0</v>
      </c>
      <c r="L35" s="70">
        <f t="shared" si="1"/>
        <v>100</v>
      </c>
      <c r="M35" s="28">
        <f>'PENULISAN LAPORAN'!N34</f>
        <v>81.625</v>
      </c>
      <c r="N35" s="27">
        <v>92.0</v>
      </c>
      <c r="O35" s="27">
        <v>92.0</v>
      </c>
      <c r="P35" s="27">
        <v>92.0</v>
      </c>
      <c r="Q35" s="27">
        <v>92.0</v>
      </c>
      <c r="R35" s="27">
        <v>92.0</v>
      </c>
      <c r="S35" s="27">
        <v>92.0</v>
      </c>
      <c r="T35" s="27">
        <v>92.0</v>
      </c>
      <c r="U35" s="27">
        <v>92.0</v>
      </c>
      <c r="V35" s="28">
        <f t="shared" si="2"/>
        <v>92</v>
      </c>
      <c r="W35" s="27">
        <v>70.0</v>
      </c>
      <c r="X35" s="27">
        <v>60.0</v>
      </c>
      <c r="Y35" s="27">
        <v>80.0</v>
      </c>
      <c r="Z35" s="27">
        <v>70.0</v>
      </c>
      <c r="AA35" s="27">
        <v>70.0</v>
      </c>
      <c r="AB35" s="27">
        <v>80.0</v>
      </c>
      <c r="AC35" s="27">
        <v>80.0</v>
      </c>
      <c r="AD35" s="27">
        <v>80.0</v>
      </c>
      <c r="AE35" s="63">
        <f t="shared" si="3"/>
        <v>73.75</v>
      </c>
      <c r="AF35" s="62">
        <f>'KEMAMPUAN PRAKTIKUM'!H35</f>
        <v>66</v>
      </c>
      <c r="AG35" s="62">
        <f>'KEMAMPUAN PRAKTIKUM'!M35</f>
        <v>90</v>
      </c>
      <c r="AH35" s="62">
        <f>'KEMAMPUAN PRAKTIKUM'!R35</f>
        <v>90</v>
      </c>
      <c r="AI35" s="62">
        <f>'KEMAMPUAN PRAKTIKUM'!W35</f>
        <v>87</v>
      </c>
      <c r="AJ35" s="62">
        <f>'KEMAMPUAN PRAKTIKUM'!AB35</f>
        <v>75</v>
      </c>
      <c r="AK35" s="62">
        <f>'KEMAMPUAN PRAKTIKUM'!AG35</f>
        <v>63</v>
      </c>
      <c r="AL35" s="62">
        <f>'KEMAMPUAN PRAKTIKUM'!AL35</f>
        <v>87</v>
      </c>
      <c r="AM35" s="62">
        <f>'KEMAMPUAN PRAKTIKUM'!AQ35</f>
        <v>60</v>
      </c>
      <c r="AN35" s="28">
        <f t="shared" si="4"/>
        <v>77.25</v>
      </c>
    </row>
    <row r="36">
      <c r="A36" s="7">
        <f>'INPUT DAFTAR PESERTA'!A34</f>
        <v>31</v>
      </c>
      <c r="B36" s="25">
        <f>'INPUT DAFTAR PESERTA'!B34</f>
        <v>2509056019</v>
      </c>
      <c r="C36" s="26" t="str">
        <f>'INPUT DAFTAR PESERTA'!C34</f>
        <v>Desta Novie Sulfianie</v>
      </c>
      <c r="D36" s="27">
        <v>100.0</v>
      </c>
      <c r="E36" s="27">
        <v>100.0</v>
      </c>
      <c r="F36" s="63"/>
      <c r="G36" s="63"/>
      <c r="H36" s="27">
        <v>100.0</v>
      </c>
      <c r="I36" s="27">
        <v>100.0</v>
      </c>
      <c r="J36" s="27">
        <v>100.0</v>
      </c>
      <c r="K36" s="63"/>
      <c r="L36" s="70">
        <f t="shared" si="1"/>
        <v>62.5</v>
      </c>
      <c r="M36" s="28">
        <f>'PENULISAN LAPORAN'!N35</f>
        <v>7.0625</v>
      </c>
      <c r="N36" s="27">
        <v>92.0</v>
      </c>
      <c r="O36" s="27">
        <v>92.0</v>
      </c>
      <c r="P36" s="27">
        <v>92.0</v>
      </c>
      <c r="Q36" s="27">
        <v>92.0</v>
      </c>
      <c r="R36" s="27">
        <v>92.0</v>
      </c>
      <c r="S36" s="27">
        <v>92.0</v>
      </c>
      <c r="T36" s="27">
        <v>92.0</v>
      </c>
      <c r="U36" s="27">
        <v>92.0</v>
      </c>
      <c r="V36" s="28">
        <f t="shared" si="2"/>
        <v>92</v>
      </c>
      <c r="W36" s="63"/>
      <c r="X36" s="27">
        <v>60.0</v>
      </c>
      <c r="Y36" s="63"/>
      <c r="Z36" s="63"/>
      <c r="AA36" s="27">
        <v>0.0</v>
      </c>
      <c r="AB36" s="63"/>
      <c r="AC36" s="63"/>
      <c r="AD36" s="63"/>
      <c r="AE36" s="63">
        <f t="shared" si="3"/>
        <v>7.5</v>
      </c>
      <c r="AF36" s="62">
        <f>'KEMAMPUAN PRAKTIKUM'!H36</f>
        <v>0</v>
      </c>
      <c r="AG36" s="62">
        <f>'KEMAMPUAN PRAKTIKUM'!M36</f>
        <v>60</v>
      </c>
      <c r="AH36" s="62">
        <f>'KEMAMPUAN PRAKTIKUM'!R36</f>
        <v>0</v>
      </c>
      <c r="AI36" s="62">
        <f>'KEMAMPUAN PRAKTIKUM'!W36</f>
        <v>0</v>
      </c>
      <c r="AJ36" s="62">
        <f>'KEMAMPUAN PRAKTIKUM'!AB36</f>
        <v>60</v>
      </c>
      <c r="AK36" s="62">
        <f>'KEMAMPUAN PRAKTIKUM'!AG36</f>
        <v>60</v>
      </c>
      <c r="AL36" s="62">
        <f>'KEMAMPUAN PRAKTIKUM'!AL36</f>
        <v>0</v>
      </c>
      <c r="AM36" s="62">
        <f>'KEMAMPUAN PRAKTIKUM'!AQ36</f>
        <v>0</v>
      </c>
      <c r="AN36" s="28">
        <f t="shared" si="4"/>
        <v>22.5</v>
      </c>
    </row>
    <row r="37">
      <c r="A37" s="7">
        <f>'INPUT DAFTAR PESERTA'!A35</f>
        <v>32</v>
      </c>
      <c r="B37" s="25">
        <f>'INPUT DAFTAR PESERTA'!B35</f>
        <v>2509056020</v>
      </c>
      <c r="C37" s="26" t="str">
        <f>'INPUT DAFTAR PESERTA'!C35</f>
        <v>Chandra Ahmad Dwinata</v>
      </c>
      <c r="D37" s="63"/>
      <c r="E37" s="27">
        <v>100.0</v>
      </c>
      <c r="F37" s="27">
        <v>100.0</v>
      </c>
      <c r="G37" s="27">
        <v>100.0</v>
      </c>
      <c r="H37" s="27">
        <v>100.0</v>
      </c>
      <c r="I37" s="27">
        <v>100.0</v>
      </c>
      <c r="J37" s="27">
        <v>100.0</v>
      </c>
      <c r="K37" s="27">
        <v>100.0</v>
      </c>
      <c r="L37" s="70">
        <f t="shared" si="1"/>
        <v>87.5</v>
      </c>
      <c r="M37" s="28">
        <f>'PENULISAN LAPORAN'!N36</f>
        <v>27.1875</v>
      </c>
      <c r="N37" s="27">
        <v>94.0</v>
      </c>
      <c r="O37" s="27">
        <v>94.0</v>
      </c>
      <c r="P37" s="27">
        <v>94.0</v>
      </c>
      <c r="Q37" s="27">
        <v>94.0</v>
      </c>
      <c r="R37" s="27">
        <v>94.0</v>
      </c>
      <c r="S37" s="27">
        <v>94.0</v>
      </c>
      <c r="T37" s="27">
        <v>94.0</v>
      </c>
      <c r="U37" s="27">
        <v>94.0</v>
      </c>
      <c r="V37" s="28">
        <f t="shared" si="2"/>
        <v>94</v>
      </c>
      <c r="W37" s="63"/>
      <c r="X37" s="27">
        <v>30.0</v>
      </c>
      <c r="Y37" s="63"/>
      <c r="Z37" s="27">
        <v>30.0</v>
      </c>
      <c r="AA37" s="27">
        <v>30.0</v>
      </c>
      <c r="AB37" s="27">
        <v>60.0</v>
      </c>
      <c r="AC37" s="27">
        <v>30.0</v>
      </c>
      <c r="AD37" s="27">
        <v>80.0</v>
      </c>
      <c r="AE37" s="63">
        <f t="shared" si="3"/>
        <v>32.5</v>
      </c>
      <c r="AF37" s="62">
        <f>'KEMAMPUAN PRAKTIKUM'!H37</f>
        <v>60</v>
      </c>
      <c r="AG37" s="62">
        <f>'KEMAMPUAN PRAKTIKUM'!M37</f>
        <v>0</v>
      </c>
      <c r="AH37" s="62">
        <f>'KEMAMPUAN PRAKTIKUM'!R37</f>
        <v>60</v>
      </c>
      <c r="AI37" s="62">
        <f>'KEMAMPUAN PRAKTIKUM'!W37</f>
        <v>60</v>
      </c>
      <c r="AJ37" s="62">
        <f>'KEMAMPUAN PRAKTIKUM'!AB37</f>
        <v>81</v>
      </c>
      <c r="AK37" s="62">
        <f>'KEMAMPUAN PRAKTIKUM'!AG37</f>
        <v>60</v>
      </c>
      <c r="AL37" s="62">
        <f>'KEMAMPUAN PRAKTIKUM'!AL37</f>
        <v>60</v>
      </c>
      <c r="AM37" s="62">
        <f>'KEMAMPUAN PRAKTIKUM'!AQ37</f>
        <v>60</v>
      </c>
      <c r="AN37" s="28">
        <f t="shared" si="4"/>
        <v>55.125</v>
      </c>
    </row>
    <row r="38">
      <c r="A38" s="7">
        <f>'INPUT DAFTAR PESERTA'!A36</f>
        <v>33</v>
      </c>
      <c r="B38" s="25">
        <f>'INPUT DAFTAR PESERTA'!B36</f>
        <v>2509056021</v>
      </c>
      <c r="C38" s="26" t="str">
        <f>'INPUT DAFTAR PESERTA'!C36</f>
        <v>Sopando Imanuel Sipayung</v>
      </c>
      <c r="D38" s="27">
        <v>100.0</v>
      </c>
      <c r="E38" s="27">
        <v>100.0</v>
      </c>
      <c r="F38" s="27">
        <v>100.0</v>
      </c>
      <c r="G38" s="27">
        <v>100.0</v>
      </c>
      <c r="H38" s="27">
        <v>100.0</v>
      </c>
      <c r="I38" s="27">
        <v>100.0</v>
      </c>
      <c r="J38" s="27">
        <v>100.0</v>
      </c>
      <c r="K38" s="27">
        <v>100.0</v>
      </c>
      <c r="L38" s="70">
        <f t="shared" si="1"/>
        <v>100</v>
      </c>
      <c r="M38" s="28">
        <f>'PENULISAN LAPORAN'!N37</f>
        <v>78.0625</v>
      </c>
      <c r="N38" s="27">
        <v>86.0</v>
      </c>
      <c r="O38" s="27">
        <v>86.0</v>
      </c>
      <c r="P38" s="27">
        <v>86.0</v>
      </c>
      <c r="Q38" s="27">
        <v>86.0</v>
      </c>
      <c r="R38" s="27">
        <v>86.0</v>
      </c>
      <c r="S38" s="27">
        <v>86.0</v>
      </c>
      <c r="T38" s="27">
        <v>86.0</v>
      </c>
      <c r="U38" s="27">
        <v>86.0</v>
      </c>
      <c r="V38" s="28">
        <f t="shared" si="2"/>
        <v>86</v>
      </c>
      <c r="W38" s="27">
        <v>80.0</v>
      </c>
      <c r="X38" s="27">
        <v>80.0</v>
      </c>
      <c r="Y38" s="27">
        <v>80.0</v>
      </c>
      <c r="Z38" s="27">
        <v>70.0</v>
      </c>
      <c r="AA38" s="27">
        <v>70.0</v>
      </c>
      <c r="AB38" s="27">
        <v>80.0</v>
      </c>
      <c r="AC38" s="27">
        <v>70.0</v>
      </c>
      <c r="AD38" s="27">
        <v>80.0</v>
      </c>
      <c r="AE38" s="63">
        <f t="shared" si="3"/>
        <v>76.25</v>
      </c>
      <c r="AF38" s="62">
        <f>'KEMAMPUAN PRAKTIKUM'!H38</f>
        <v>72</v>
      </c>
      <c r="AG38" s="62">
        <f>'KEMAMPUAN PRAKTIKUM'!M38</f>
        <v>90</v>
      </c>
      <c r="AH38" s="62">
        <f>'KEMAMPUAN PRAKTIKUM'!R38</f>
        <v>75</v>
      </c>
      <c r="AI38" s="62">
        <f>'KEMAMPUAN PRAKTIKUM'!W38</f>
        <v>60</v>
      </c>
      <c r="AJ38" s="62">
        <f>'KEMAMPUAN PRAKTIKUM'!AB38</f>
        <v>84</v>
      </c>
      <c r="AK38" s="62">
        <f>'KEMAMPUAN PRAKTIKUM'!AG38</f>
        <v>60</v>
      </c>
      <c r="AL38" s="62">
        <f>'KEMAMPUAN PRAKTIKUM'!AL38</f>
        <v>87</v>
      </c>
      <c r="AM38" s="62">
        <f>'KEMAMPUAN PRAKTIKUM'!AQ38</f>
        <v>60</v>
      </c>
      <c r="AN38" s="28">
        <f t="shared" si="4"/>
        <v>73.5</v>
      </c>
    </row>
    <row r="39">
      <c r="A39" s="7">
        <f>'INPUT DAFTAR PESERTA'!A37</f>
        <v>34</v>
      </c>
      <c r="B39" s="25">
        <f>'INPUT DAFTAR PESERTA'!B37</f>
        <v>2509056022</v>
      </c>
      <c r="C39" s="26" t="str">
        <f>'INPUT DAFTAR PESERTA'!C37</f>
        <v>Rayhan Winata Prabowo</v>
      </c>
      <c r="D39" s="27">
        <v>100.0</v>
      </c>
      <c r="E39" s="27">
        <v>100.0</v>
      </c>
      <c r="F39" s="27">
        <v>100.0</v>
      </c>
      <c r="G39" s="27">
        <v>100.0</v>
      </c>
      <c r="H39" s="27">
        <v>100.0</v>
      </c>
      <c r="I39" s="27">
        <v>100.0</v>
      </c>
      <c r="J39" s="27">
        <v>100.0</v>
      </c>
      <c r="K39" s="27">
        <v>100.0</v>
      </c>
      <c r="L39" s="70">
        <f t="shared" si="1"/>
        <v>100</v>
      </c>
      <c r="M39" s="28">
        <f>'PENULISAN LAPORAN'!N38</f>
        <v>65.9375</v>
      </c>
      <c r="N39" s="27">
        <v>94.0</v>
      </c>
      <c r="O39" s="27">
        <v>94.0</v>
      </c>
      <c r="P39" s="27">
        <v>94.0</v>
      </c>
      <c r="Q39" s="27">
        <v>94.0</v>
      </c>
      <c r="R39" s="27">
        <v>94.0</v>
      </c>
      <c r="S39" s="27">
        <v>94.0</v>
      </c>
      <c r="T39" s="27">
        <v>94.0</v>
      </c>
      <c r="U39" s="27">
        <v>94.0</v>
      </c>
      <c r="V39" s="28">
        <f t="shared" si="2"/>
        <v>94</v>
      </c>
      <c r="W39" s="27">
        <v>80.0</v>
      </c>
      <c r="X39" s="27">
        <v>70.0</v>
      </c>
      <c r="Y39" s="27">
        <v>80.0</v>
      </c>
      <c r="Z39" s="27">
        <v>70.0</v>
      </c>
      <c r="AA39" s="27">
        <v>80.0</v>
      </c>
      <c r="AB39" s="27">
        <v>80.0</v>
      </c>
      <c r="AC39" s="27">
        <v>80.0</v>
      </c>
      <c r="AD39" s="27">
        <v>80.0</v>
      </c>
      <c r="AE39" s="63">
        <f t="shared" si="3"/>
        <v>77.5</v>
      </c>
      <c r="AF39" s="62">
        <f>'KEMAMPUAN PRAKTIKUM'!H39</f>
        <v>60</v>
      </c>
      <c r="AG39" s="62">
        <f>'KEMAMPUAN PRAKTIKUM'!M39</f>
        <v>60</v>
      </c>
      <c r="AH39" s="62">
        <f>'KEMAMPUAN PRAKTIKUM'!R39</f>
        <v>75</v>
      </c>
      <c r="AI39" s="62">
        <f>'KEMAMPUAN PRAKTIKUM'!W39</f>
        <v>90</v>
      </c>
      <c r="AJ39" s="62">
        <f>'KEMAMPUAN PRAKTIKUM'!AB39</f>
        <v>57</v>
      </c>
      <c r="AK39" s="62">
        <f>'KEMAMPUAN PRAKTIKUM'!AG39</f>
        <v>60</v>
      </c>
      <c r="AL39" s="62">
        <f>'KEMAMPUAN PRAKTIKUM'!AL39</f>
        <v>57</v>
      </c>
      <c r="AM39" s="62">
        <f>'KEMAMPUAN PRAKTIKUM'!AQ39</f>
        <v>75</v>
      </c>
      <c r="AN39" s="28">
        <f t="shared" si="4"/>
        <v>66.75</v>
      </c>
    </row>
    <row r="40">
      <c r="A40" s="7">
        <f>'INPUT DAFTAR PESERTA'!A38</f>
        <v>35</v>
      </c>
      <c r="B40" s="25">
        <f>'INPUT DAFTAR PESERTA'!B38</f>
        <v>2509056023</v>
      </c>
      <c r="C40" s="26" t="str">
        <f>'INPUT DAFTAR PESERTA'!C38</f>
        <v>Ahmad Din Nejad</v>
      </c>
      <c r="D40" s="27">
        <v>100.0</v>
      </c>
      <c r="E40" s="27">
        <v>100.0</v>
      </c>
      <c r="F40" s="63"/>
      <c r="G40" s="63"/>
      <c r="H40" s="27">
        <v>100.0</v>
      </c>
      <c r="I40" s="27">
        <v>0.0</v>
      </c>
      <c r="J40" s="63"/>
      <c r="K40" s="63"/>
      <c r="L40" s="70">
        <f t="shared" si="1"/>
        <v>37.5</v>
      </c>
      <c r="M40" s="28">
        <f>'PENULISAN LAPORAN'!N39</f>
        <v>0</v>
      </c>
      <c r="N40" s="27">
        <v>96.0</v>
      </c>
      <c r="O40" s="27">
        <v>96.0</v>
      </c>
      <c r="P40" s="27">
        <v>96.0</v>
      </c>
      <c r="Q40" s="27">
        <v>96.0</v>
      </c>
      <c r="R40" s="27">
        <v>96.0</v>
      </c>
      <c r="S40" s="27">
        <v>96.0</v>
      </c>
      <c r="T40" s="27">
        <v>96.0</v>
      </c>
      <c r="U40" s="27">
        <v>96.0</v>
      </c>
      <c r="V40" s="28">
        <f t="shared" si="2"/>
        <v>96</v>
      </c>
      <c r="W40" s="63"/>
      <c r="X40" s="27">
        <v>0.0</v>
      </c>
      <c r="Y40" s="63"/>
      <c r="Z40" s="63"/>
      <c r="AA40" s="27">
        <v>0.0</v>
      </c>
      <c r="AB40" s="63"/>
      <c r="AC40" s="63"/>
      <c r="AD40" s="63"/>
      <c r="AE40" s="63">
        <f t="shared" si="3"/>
        <v>0</v>
      </c>
      <c r="AF40" s="62">
        <f>'KEMAMPUAN PRAKTIKUM'!H40</f>
        <v>90</v>
      </c>
      <c r="AG40" s="62">
        <f>'KEMAMPUAN PRAKTIKUM'!M40</f>
        <v>60</v>
      </c>
      <c r="AH40" s="62">
        <f>'KEMAMPUAN PRAKTIKUM'!R40</f>
        <v>0</v>
      </c>
      <c r="AI40" s="62">
        <f>'KEMAMPUAN PRAKTIKUM'!W40</f>
        <v>0</v>
      </c>
      <c r="AJ40" s="62">
        <f>'KEMAMPUAN PRAKTIKUM'!AB40</f>
        <v>30</v>
      </c>
      <c r="AK40" s="62">
        <f>'KEMAMPUAN PRAKTIKUM'!AG40</f>
        <v>60</v>
      </c>
      <c r="AL40" s="62">
        <f>'KEMAMPUAN PRAKTIKUM'!AL40</f>
        <v>0</v>
      </c>
      <c r="AM40" s="62">
        <f>'KEMAMPUAN PRAKTIKUM'!AQ40</f>
        <v>0</v>
      </c>
      <c r="AN40" s="28">
        <f t="shared" si="4"/>
        <v>30</v>
      </c>
    </row>
    <row r="41">
      <c r="A41" s="7">
        <f>'INPUT DAFTAR PESERTA'!A39</f>
        <v>36</v>
      </c>
      <c r="B41" s="25">
        <f>'INPUT DAFTAR PESERTA'!B39</f>
        <v>2509056024</v>
      </c>
      <c r="C41" s="26" t="str">
        <f>'INPUT DAFTAR PESERTA'!C39</f>
        <v>Nabil Candra Hartanto</v>
      </c>
      <c r="D41" s="27">
        <v>100.0</v>
      </c>
      <c r="E41" s="27">
        <v>100.0</v>
      </c>
      <c r="F41" s="27">
        <v>100.0</v>
      </c>
      <c r="G41" s="27">
        <v>100.0</v>
      </c>
      <c r="H41" s="27">
        <v>100.0</v>
      </c>
      <c r="I41" s="27">
        <v>100.0</v>
      </c>
      <c r="J41" s="27">
        <v>100.0</v>
      </c>
      <c r="K41" s="27">
        <v>100.0</v>
      </c>
      <c r="L41" s="70">
        <f t="shared" si="1"/>
        <v>100</v>
      </c>
      <c r="M41" s="28">
        <f>'PENULISAN LAPORAN'!N40</f>
        <v>56.625</v>
      </c>
      <c r="N41" s="27">
        <v>84.0</v>
      </c>
      <c r="O41" s="27">
        <v>84.0</v>
      </c>
      <c r="P41" s="27">
        <v>84.0</v>
      </c>
      <c r="Q41" s="27">
        <v>84.0</v>
      </c>
      <c r="R41" s="27">
        <v>84.0</v>
      </c>
      <c r="S41" s="27">
        <v>84.0</v>
      </c>
      <c r="T41" s="27">
        <v>84.0</v>
      </c>
      <c r="U41" s="27">
        <v>84.0</v>
      </c>
      <c r="V41" s="28">
        <f t="shared" si="2"/>
        <v>84</v>
      </c>
      <c r="W41" s="27">
        <v>70.0</v>
      </c>
      <c r="X41" s="27">
        <v>70.0</v>
      </c>
      <c r="Y41" s="27">
        <v>80.0</v>
      </c>
      <c r="Z41" s="27">
        <v>70.0</v>
      </c>
      <c r="AA41" s="27">
        <v>80.0</v>
      </c>
      <c r="AB41" s="27">
        <v>80.0</v>
      </c>
      <c r="AC41" s="27">
        <v>80.0</v>
      </c>
      <c r="AD41" s="27">
        <v>80.0</v>
      </c>
      <c r="AE41" s="63">
        <f t="shared" si="3"/>
        <v>76.25</v>
      </c>
      <c r="AF41" s="62">
        <f>'KEMAMPUAN PRAKTIKUM'!H41</f>
        <v>90</v>
      </c>
      <c r="AG41" s="62">
        <f>'KEMAMPUAN PRAKTIKUM'!M41</f>
        <v>30</v>
      </c>
      <c r="AH41" s="62">
        <f>'KEMAMPUAN PRAKTIKUM'!R41</f>
        <v>90</v>
      </c>
      <c r="AI41" s="62">
        <f>'KEMAMPUAN PRAKTIKUM'!W41</f>
        <v>60</v>
      </c>
      <c r="AJ41" s="62">
        <f>'KEMAMPUAN PRAKTIKUM'!AB41</f>
        <v>42</v>
      </c>
      <c r="AK41" s="62">
        <f>'KEMAMPUAN PRAKTIKUM'!AG41</f>
        <v>60</v>
      </c>
      <c r="AL41" s="62">
        <f>'KEMAMPUAN PRAKTIKUM'!AL41</f>
        <v>57</v>
      </c>
      <c r="AM41" s="62">
        <f>'KEMAMPUAN PRAKTIKUM'!AQ41</f>
        <v>75</v>
      </c>
      <c r="AN41" s="28">
        <f t="shared" si="4"/>
        <v>63</v>
      </c>
    </row>
    <row r="42">
      <c r="A42" s="7">
        <f>'INPUT DAFTAR PESERTA'!A40</f>
        <v>37</v>
      </c>
      <c r="B42" s="25">
        <f>'INPUT DAFTAR PESERTA'!B40</f>
        <v>2509056025</v>
      </c>
      <c r="C42" s="26" t="str">
        <f>'INPUT DAFTAR PESERTA'!C40</f>
        <v>Muhammad Rifqi Ibnu Malik</v>
      </c>
      <c r="D42" s="27">
        <v>100.0</v>
      </c>
      <c r="E42" s="27">
        <v>0.0</v>
      </c>
      <c r="F42" s="63"/>
      <c r="G42" s="63"/>
      <c r="H42" s="27">
        <v>100.0</v>
      </c>
      <c r="I42" s="27">
        <v>100.0</v>
      </c>
      <c r="J42" s="27">
        <v>100.0</v>
      </c>
      <c r="K42" s="63"/>
      <c r="L42" s="70">
        <f t="shared" si="1"/>
        <v>50</v>
      </c>
      <c r="M42" s="28">
        <f>'PENULISAN LAPORAN'!N41</f>
        <v>8.6875</v>
      </c>
      <c r="N42" s="27">
        <v>90.0</v>
      </c>
      <c r="O42" s="27">
        <v>90.0</v>
      </c>
      <c r="P42" s="27">
        <v>90.0</v>
      </c>
      <c r="Q42" s="27">
        <v>90.0</v>
      </c>
      <c r="R42" s="27">
        <v>90.0</v>
      </c>
      <c r="S42" s="27">
        <v>90.0</v>
      </c>
      <c r="T42" s="27">
        <v>90.0</v>
      </c>
      <c r="U42" s="27">
        <v>90.0</v>
      </c>
      <c r="V42" s="28">
        <f t="shared" si="2"/>
        <v>90</v>
      </c>
      <c r="W42" s="63"/>
      <c r="X42" s="27">
        <v>0.0</v>
      </c>
      <c r="Y42" s="63"/>
      <c r="Z42" s="63"/>
      <c r="AA42" s="27">
        <v>0.0</v>
      </c>
      <c r="AB42" s="63"/>
      <c r="AC42" s="63"/>
      <c r="AD42" s="63"/>
      <c r="AE42" s="63">
        <f t="shared" si="3"/>
        <v>0</v>
      </c>
      <c r="AF42" s="62">
        <f>'KEMAMPUAN PRAKTIKUM'!H42</f>
        <v>60</v>
      </c>
      <c r="AG42" s="62">
        <f>'KEMAMPUAN PRAKTIKUM'!M42</f>
        <v>0</v>
      </c>
      <c r="AH42" s="62">
        <f>'KEMAMPUAN PRAKTIKUM'!R42</f>
        <v>0</v>
      </c>
      <c r="AI42" s="62">
        <f>'KEMAMPUAN PRAKTIKUM'!W42</f>
        <v>0</v>
      </c>
      <c r="AJ42" s="62">
        <f>'KEMAMPUAN PRAKTIKUM'!AB42</f>
        <v>57</v>
      </c>
      <c r="AK42" s="62">
        <f>'KEMAMPUAN PRAKTIKUM'!AG42</f>
        <v>60</v>
      </c>
      <c r="AL42" s="62">
        <f>'KEMAMPUAN PRAKTIKUM'!AL42</f>
        <v>57</v>
      </c>
      <c r="AM42" s="62">
        <f>'KEMAMPUAN PRAKTIKUM'!AQ42</f>
        <v>0</v>
      </c>
      <c r="AN42" s="28">
        <f t="shared" si="4"/>
        <v>29.25</v>
      </c>
    </row>
    <row r="43">
      <c r="A43" s="7">
        <f>'INPUT DAFTAR PESERTA'!A41</f>
        <v>38</v>
      </c>
      <c r="B43" s="25">
        <f>'INPUT DAFTAR PESERTA'!B41</f>
        <v>2509056026</v>
      </c>
      <c r="C43" s="26" t="str">
        <f>'INPUT DAFTAR PESERTA'!C41</f>
        <v>Aditya Alfiansyah</v>
      </c>
      <c r="D43" s="27">
        <v>100.0</v>
      </c>
      <c r="E43" s="27">
        <v>0.0</v>
      </c>
      <c r="F43" s="63"/>
      <c r="G43" s="63"/>
      <c r="H43" s="27">
        <v>0.0</v>
      </c>
      <c r="I43" s="27">
        <v>0.0</v>
      </c>
      <c r="J43" s="63"/>
      <c r="K43" s="63"/>
      <c r="L43" s="70">
        <f t="shared" si="1"/>
        <v>12.5</v>
      </c>
      <c r="M43" s="28">
        <f>'PENULISAN LAPORAN'!N42</f>
        <v>0</v>
      </c>
      <c r="N43" s="27">
        <v>88.0</v>
      </c>
      <c r="O43" s="27">
        <v>88.0</v>
      </c>
      <c r="P43" s="27">
        <v>88.0</v>
      </c>
      <c r="Q43" s="27">
        <v>88.0</v>
      </c>
      <c r="R43" s="27">
        <v>88.0</v>
      </c>
      <c r="S43" s="27">
        <v>88.0</v>
      </c>
      <c r="T43" s="27">
        <v>88.0</v>
      </c>
      <c r="U43" s="27">
        <v>88.0</v>
      </c>
      <c r="V43" s="28">
        <f t="shared" si="2"/>
        <v>88</v>
      </c>
      <c r="W43" s="63"/>
      <c r="X43" s="27">
        <v>0.0</v>
      </c>
      <c r="Y43" s="63"/>
      <c r="Z43" s="63"/>
      <c r="AA43" s="27">
        <v>0.0</v>
      </c>
      <c r="AB43" s="63"/>
      <c r="AC43" s="63"/>
      <c r="AD43" s="63"/>
      <c r="AE43" s="63">
        <f t="shared" si="3"/>
        <v>0</v>
      </c>
      <c r="AF43" s="62">
        <f>'KEMAMPUAN PRAKTIKUM'!H43</f>
        <v>90</v>
      </c>
      <c r="AG43" s="62">
        <f>'KEMAMPUAN PRAKTIKUM'!M43</f>
        <v>0</v>
      </c>
      <c r="AH43" s="62">
        <f>'KEMAMPUAN PRAKTIKUM'!R43</f>
        <v>0</v>
      </c>
      <c r="AI43" s="62">
        <f>'KEMAMPUAN PRAKTIKUM'!W43</f>
        <v>0</v>
      </c>
      <c r="AJ43" s="62">
        <f>'KEMAMPUAN PRAKTIKUM'!AB43</f>
        <v>30</v>
      </c>
      <c r="AK43" s="62">
        <f>'KEMAMPUAN PRAKTIKUM'!AG43</f>
        <v>0</v>
      </c>
      <c r="AL43" s="62">
        <f>'KEMAMPUAN PRAKTIKUM'!AL43</f>
        <v>0</v>
      </c>
      <c r="AM43" s="62">
        <f>'KEMAMPUAN PRAKTIKUM'!AQ43</f>
        <v>0</v>
      </c>
      <c r="AN43" s="28">
        <f t="shared" si="4"/>
        <v>15</v>
      </c>
    </row>
    <row r="44">
      <c r="A44" s="7">
        <f>'INPUT DAFTAR PESERTA'!A42</f>
        <v>39</v>
      </c>
      <c r="B44" s="25">
        <f>'INPUT DAFTAR PESERTA'!B42</f>
        <v>2509056027</v>
      </c>
      <c r="C44" s="26" t="str">
        <f>'INPUT DAFTAR PESERTA'!C42</f>
        <v>Muhammad Syauqi Nail</v>
      </c>
      <c r="D44" s="27">
        <v>100.0</v>
      </c>
      <c r="E44" s="27">
        <v>100.0</v>
      </c>
      <c r="F44" s="27">
        <v>100.0</v>
      </c>
      <c r="G44" s="63"/>
      <c r="H44" s="27">
        <v>100.0</v>
      </c>
      <c r="I44" s="27">
        <v>100.0</v>
      </c>
      <c r="J44" s="27">
        <v>100.0</v>
      </c>
      <c r="K44" s="27">
        <v>100.0</v>
      </c>
      <c r="L44" s="70">
        <f t="shared" si="1"/>
        <v>87.5</v>
      </c>
      <c r="M44" s="28">
        <f>'PENULISAN LAPORAN'!N43</f>
        <v>74.9375</v>
      </c>
      <c r="N44" s="27">
        <v>90.0</v>
      </c>
      <c r="O44" s="27">
        <v>90.0</v>
      </c>
      <c r="P44" s="27">
        <v>90.0</v>
      </c>
      <c r="Q44" s="27">
        <v>90.0</v>
      </c>
      <c r="R44" s="27">
        <v>90.0</v>
      </c>
      <c r="S44" s="27">
        <v>90.0</v>
      </c>
      <c r="T44" s="27">
        <v>90.0</v>
      </c>
      <c r="U44" s="27">
        <v>90.0</v>
      </c>
      <c r="V44" s="28">
        <f t="shared" si="2"/>
        <v>90</v>
      </c>
      <c r="W44" s="27">
        <v>70.0</v>
      </c>
      <c r="X44" s="27">
        <v>60.0</v>
      </c>
      <c r="Y44" s="27">
        <v>80.0</v>
      </c>
      <c r="Z44" s="27">
        <v>70.0</v>
      </c>
      <c r="AA44" s="27">
        <v>80.0</v>
      </c>
      <c r="AB44" s="27">
        <v>70.0</v>
      </c>
      <c r="AC44" s="27">
        <v>80.0</v>
      </c>
      <c r="AD44" s="27">
        <v>80.0</v>
      </c>
      <c r="AE44" s="63">
        <f t="shared" si="3"/>
        <v>73.75</v>
      </c>
      <c r="AF44" s="62">
        <f>'KEMAMPUAN PRAKTIKUM'!H44</f>
        <v>60</v>
      </c>
      <c r="AG44" s="62">
        <f>'KEMAMPUAN PRAKTIKUM'!M44</f>
        <v>90</v>
      </c>
      <c r="AH44" s="62">
        <f>'KEMAMPUAN PRAKTIKUM'!R44</f>
        <v>90</v>
      </c>
      <c r="AI44" s="62">
        <f>'KEMAMPUAN PRAKTIKUM'!W44</f>
        <v>90</v>
      </c>
      <c r="AJ44" s="62">
        <f>'KEMAMPUAN PRAKTIKUM'!AB44</f>
        <v>57</v>
      </c>
      <c r="AK44" s="62">
        <f>'KEMAMPUAN PRAKTIKUM'!AG44</f>
        <v>75</v>
      </c>
      <c r="AL44" s="62">
        <f>'KEMAMPUAN PRAKTIKUM'!AL44</f>
        <v>87</v>
      </c>
      <c r="AM44" s="62">
        <f>'KEMAMPUAN PRAKTIKUM'!AQ44</f>
        <v>87</v>
      </c>
      <c r="AN44" s="28">
        <f t="shared" si="4"/>
        <v>79.5</v>
      </c>
    </row>
    <row r="45">
      <c r="A45" s="7">
        <f>'INPUT DAFTAR PESERTA'!A43</f>
        <v>40</v>
      </c>
      <c r="B45" s="25">
        <f>'INPUT DAFTAR PESERTA'!B43</f>
        <v>2509056028</v>
      </c>
      <c r="C45" s="26" t="str">
        <f>'INPUT DAFTAR PESERTA'!C43</f>
        <v>Muhammad Rizky Nugraha</v>
      </c>
      <c r="D45" s="27">
        <v>100.0</v>
      </c>
      <c r="E45" s="27">
        <v>100.0</v>
      </c>
      <c r="F45" s="27">
        <v>100.0</v>
      </c>
      <c r="G45" s="27">
        <v>100.0</v>
      </c>
      <c r="H45" s="27">
        <v>100.0</v>
      </c>
      <c r="I45" s="27">
        <v>100.0</v>
      </c>
      <c r="J45" s="27">
        <v>100.0</v>
      </c>
      <c r="K45" s="27">
        <v>100.0</v>
      </c>
      <c r="L45" s="70">
        <f t="shared" si="1"/>
        <v>100</v>
      </c>
      <c r="M45" s="28">
        <f>'PENULISAN LAPORAN'!N44</f>
        <v>56.0625</v>
      </c>
      <c r="N45" s="27">
        <v>96.0</v>
      </c>
      <c r="O45" s="27">
        <v>96.0</v>
      </c>
      <c r="P45" s="27">
        <v>96.0</v>
      </c>
      <c r="Q45" s="27">
        <v>96.0</v>
      </c>
      <c r="R45" s="27">
        <v>96.0</v>
      </c>
      <c r="S45" s="27">
        <v>96.0</v>
      </c>
      <c r="T45" s="27">
        <v>96.0</v>
      </c>
      <c r="U45" s="27">
        <v>96.0</v>
      </c>
      <c r="V45" s="28">
        <f t="shared" si="2"/>
        <v>96</v>
      </c>
      <c r="W45" s="27">
        <v>70.0</v>
      </c>
      <c r="X45" s="27">
        <v>60.0</v>
      </c>
      <c r="Y45" s="27">
        <v>80.0</v>
      </c>
      <c r="Z45" s="27">
        <v>70.0</v>
      </c>
      <c r="AA45" s="27">
        <v>80.0</v>
      </c>
      <c r="AB45" s="27">
        <v>70.0</v>
      </c>
      <c r="AC45" s="27">
        <v>30.0</v>
      </c>
      <c r="AD45" s="27">
        <v>70.0</v>
      </c>
      <c r="AE45" s="63">
        <f t="shared" si="3"/>
        <v>66.25</v>
      </c>
      <c r="AF45" s="62">
        <f>'KEMAMPUAN PRAKTIKUM'!H45</f>
        <v>60</v>
      </c>
      <c r="AG45" s="62">
        <f>'KEMAMPUAN PRAKTIKUM'!M45</f>
        <v>75</v>
      </c>
      <c r="AH45" s="62">
        <f>'KEMAMPUAN PRAKTIKUM'!R45</f>
        <v>60</v>
      </c>
      <c r="AI45" s="62">
        <f>'KEMAMPUAN PRAKTIKUM'!W45</f>
        <v>90</v>
      </c>
      <c r="AJ45" s="62">
        <f>'KEMAMPUAN PRAKTIKUM'!AB45</f>
        <v>57</v>
      </c>
      <c r="AK45" s="62">
        <f>'KEMAMPUAN PRAKTIKUM'!AG45</f>
        <v>75</v>
      </c>
      <c r="AL45" s="62">
        <f>'KEMAMPUAN PRAKTIKUM'!AL45</f>
        <v>57</v>
      </c>
      <c r="AM45" s="62">
        <f>'KEMAMPUAN PRAKTIKUM'!AQ45</f>
        <v>45</v>
      </c>
      <c r="AN45" s="28">
        <f t="shared" si="4"/>
        <v>64.875</v>
      </c>
    </row>
    <row r="46">
      <c r="A46" s="7">
        <f>'INPUT DAFTAR PESERTA'!A44</f>
        <v>41</v>
      </c>
      <c r="B46" s="25">
        <f>'INPUT DAFTAR PESERTA'!B44</f>
        <v>2509056029</v>
      </c>
      <c r="C46" s="26" t="str">
        <f>'INPUT DAFTAR PESERTA'!C44</f>
        <v>Reyska Bintang Afdillah</v>
      </c>
      <c r="D46" s="27">
        <v>100.0</v>
      </c>
      <c r="E46" s="27">
        <v>0.0</v>
      </c>
      <c r="F46" s="63"/>
      <c r="G46" s="63"/>
      <c r="H46" s="27">
        <v>100.0</v>
      </c>
      <c r="I46" s="27">
        <v>100.0</v>
      </c>
      <c r="J46" s="27">
        <v>100.0</v>
      </c>
      <c r="K46" s="63"/>
      <c r="L46" s="70">
        <f t="shared" si="1"/>
        <v>50</v>
      </c>
      <c r="M46" s="28">
        <f>'PENULISAN LAPORAN'!N45</f>
        <v>5.5625</v>
      </c>
      <c r="N46" s="27">
        <v>78.0</v>
      </c>
      <c r="O46" s="27">
        <v>78.0</v>
      </c>
      <c r="P46" s="27">
        <v>78.0</v>
      </c>
      <c r="Q46" s="27">
        <v>78.0</v>
      </c>
      <c r="R46" s="27">
        <v>78.0</v>
      </c>
      <c r="S46" s="27">
        <v>78.0</v>
      </c>
      <c r="T46" s="27">
        <v>78.0</v>
      </c>
      <c r="U46" s="27">
        <v>78.0</v>
      </c>
      <c r="V46" s="28">
        <f t="shared" si="2"/>
        <v>78</v>
      </c>
      <c r="W46" s="63"/>
      <c r="X46" s="27">
        <v>0.0</v>
      </c>
      <c r="Y46" s="63"/>
      <c r="Z46" s="63"/>
      <c r="AA46" s="27">
        <v>0.0</v>
      </c>
      <c r="AB46" s="63"/>
      <c r="AC46" s="63"/>
      <c r="AD46" s="63"/>
      <c r="AE46" s="63">
        <f t="shared" si="3"/>
        <v>0</v>
      </c>
      <c r="AF46" s="62">
        <f>'KEMAMPUAN PRAKTIKUM'!H46</f>
        <v>90</v>
      </c>
      <c r="AG46" s="62">
        <f>'KEMAMPUAN PRAKTIKUM'!M46</f>
        <v>0</v>
      </c>
      <c r="AH46" s="62">
        <f>'KEMAMPUAN PRAKTIKUM'!R46</f>
        <v>0</v>
      </c>
      <c r="AI46" s="62">
        <f>'KEMAMPUAN PRAKTIKUM'!W46</f>
        <v>0</v>
      </c>
      <c r="AJ46" s="62">
        <f>'KEMAMPUAN PRAKTIKUM'!AB46</f>
        <v>30</v>
      </c>
      <c r="AK46" s="62">
        <f>'KEMAMPUAN PRAKTIKUM'!AG46</f>
        <v>75</v>
      </c>
      <c r="AL46" s="62">
        <f>'KEMAMPUAN PRAKTIKUM'!AL46</f>
        <v>57</v>
      </c>
      <c r="AM46" s="62">
        <f>'KEMAMPUAN PRAKTIKUM'!AQ46</f>
        <v>45</v>
      </c>
      <c r="AN46" s="28">
        <f t="shared" si="4"/>
        <v>37.125</v>
      </c>
    </row>
    <row r="47">
      <c r="A47" s="7">
        <f>'INPUT DAFTAR PESERTA'!A45</f>
        <v>42</v>
      </c>
      <c r="B47" s="25">
        <f>'INPUT DAFTAR PESERTA'!B45</f>
        <v>2509056030</v>
      </c>
      <c r="C47" s="26" t="str">
        <f>'INPUT DAFTAR PESERTA'!C45</f>
        <v>Muhammad Elo</v>
      </c>
      <c r="D47" s="27">
        <v>100.0</v>
      </c>
      <c r="E47" s="27">
        <v>100.0</v>
      </c>
      <c r="F47" s="27">
        <v>100.0</v>
      </c>
      <c r="G47" s="27">
        <v>100.0</v>
      </c>
      <c r="H47" s="27">
        <v>100.0</v>
      </c>
      <c r="I47" s="27">
        <v>100.0</v>
      </c>
      <c r="J47" s="27">
        <v>100.0</v>
      </c>
      <c r="K47" s="27">
        <v>100.0</v>
      </c>
      <c r="L47" s="70">
        <f t="shared" si="1"/>
        <v>100</v>
      </c>
      <c r="M47" s="28">
        <f>'PENULISAN LAPORAN'!N46</f>
        <v>68.6875</v>
      </c>
      <c r="N47" s="27">
        <v>90.0</v>
      </c>
      <c r="O47" s="27">
        <v>90.0</v>
      </c>
      <c r="P47" s="27">
        <v>90.0</v>
      </c>
      <c r="Q47" s="27">
        <v>90.0</v>
      </c>
      <c r="R47" s="27">
        <v>90.0</v>
      </c>
      <c r="S47" s="27">
        <v>90.0</v>
      </c>
      <c r="T47" s="27">
        <v>90.0</v>
      </c>
      <c r="U47" s="27">
        <v>90.0</v>
      </c>
      <c r="V47" s="28">
        <f t="shared" si="2"/>
        <v>90</v>
      </c>
      <c r="W47" s="27">
        <v>0.0</v>
      </c>
      <c r="X47" s="27">
        <v>30.0</v>
      </c>
      <c r="Y47" s="27">
        <v>70.0</v>
      </c>
      <c r="Z47" s="27">
        <v>70.0</v>
      </c>
      <c r="AA47" s="27">
        <v>70.0</v>
      </c>
      <c r="AB47" s="27">
        <v>30.0</v>
      </c>
      <c r="AC47" s="27">
        <v>0.0</v>
      </c>
      <c r="AD47" s="27">
        <v>70.0</v>
      </c>
      <c r="AE47" s="63">
        <f t="shared" si="3"/>
        <v>42.5</v>
      </c>
      <c r="AF47" s="62">
        <f>'KEMAMPUAN PRAKTIKUM'!H47</f>
        <v>90</v>
      </c>
      <c r="AG47" s="62">
        <f>'KEMAMPUAN PRAKTIKUM'!M47</f>
        <v>90</v>
      </c>
      <c r="AH47" s="62">
        <f>'KEMAMPUAN PRAKTIKUM'!R47</f>
        <v>87</v>
      </c>
      <c r="AI47" s="62">
        <f>'KEMAMPUAN PRAKTIKUM'!W47</f>
        <v>90</v>
      </c>
      <c r="AJ47" s="62">
        <f>'KEMAMPUAN PRAKTIKUM'!AB47</f>
        <v>75</v>
      </c>
      <c r="AK47" s="62">
        <f>'KEMAMPUAN PRAKTIKUM'!AG47</f>
        <v>75</v>
      </c>
      <c r="AL47" s="62">
        <f>'KEMAMPUAN PRAKTIKUM'!AL47</f>
        <v>57</v>
      </c>
      <c r="AM47" s="62">
        <f>'KEMAMPUAN PRAKTIKUM'!AQ47</f>
        <v>45</v>
      </c>
      <c r="AN47" s="28">
        <f t="shared" si="4"/>
        <v>76.125</v>
      </c>
    </row>
    <row r="48">
      <c r="A48" s="7">
        <f>'INPUT DAFTAR PESERTA'!A46</f>
        <v>43</v>
      </c>
      <c r="B48" s="25">
        <f>'INPUT DAFTAR PESERTA'!B46</f>
        <v>2509056031</v>
      </c>
      <c r="C48" s="26" t="str">
        <f>'INPUT DAFTAR PESERTA'!C46</f>
        <v>Naufal Herdizza Akbar Ps</v>
      </c>
      <c r="D48" s="27">
        <v>100.0</v>
      </c>
      <c r="E48" s="27">
        <v>100.0</v>
      </c>
      <c r="F48" s="27">
        <v>100.0</v>
      </c>
      <c r="G48" s="27">
        <v>100.0</v>
      </c>
      <c r="H48" s="27">
        <v>100.0</v>
      </c>
      <c r="I48" s="27">
        <v>100.0</v>
      </c>
      <c r="J48" s="27">
        <v>100.0</v>
      </c>
      <c r="K48" s="27">
        <v>100.0</v>
      </c>
      <c r="L48" s="70">
        <f t="shared" si="1"/>
        <v>100</v>
      </c>
      <c r="M48" s="28">
        <f>'PENULISAN LAPORAN'!N47</f>
        <v>76.5625</v>
      </c>
      <c r="N48" s="27">
        <v>96.0</v>
      </c>
      <c r="O48" s="27">
        <v>96.0</v>
      </c>
      <c r="P48" s="27">
        <v>96.0</v>
      </c>
      <c r="Q48" s="27">
        <v>96.0</v>
      </c>
      <c r="R48" s="27">
        <v>96.0</v>
      </c>
      <c r="S48" s="27">
        <v>96.0</v>
      </c>
      <c r="T48" s="27">
        <v>96.0</v>
      </c>
      <c r="U48" s="27">
        <v>96.0</v>
      </c>
      <c r="V48" s="28">
        <f t="shared" si="2"/>
        <v>96</v>
      </c>
      <c r="W48" s="27">
        <v>70.0</v>
      </c>
      <c r="X48" s="27">
        <v>70.0</v>
      </c>
      <c r="Y48" s="27">
        <v>80.0</v>
      </c>
      <c r="Z48" s="27">
        <v>70.0</v>
      </c>
      <c r="AA48" s="27">
        <v>70.0</v>
      </c>
      <c r="AB48" s="63"/>
      <c r="AC48" s="27">
        <v>80.0</v>
      </c>
      <c r="AD48" s="27">
        <v>80.0</v>
      </c>
      <c r="AE48" s="63">
        <f t="shared" si="3"/>
        <v>65</v>
      </c>
      <c r="AF48" s="62">
        <f>'KEMAMPUAN PRAKTIKUM'!H48</f>
        <v>90</v>
      </c>
      <c r="AG48" s="62">
        <f>'KEMAMPUAN PRAKTIKUM'!M48</f>
        <v>90</v>
      </c>
      <c r="AH48" s="62">
        <f>'KEMAMPUAN PRAKTIKUM'!R48</f>
        <v>90</v>
      </c>
      <c r="AI48" s="62">
        <f>'KEMAMPUAN PRAKTIKUM'!W48</f>
        <v>90</v>
      </c>
      <c r="AJ48" s="62">
        <f>'KEMAMPUAN PRAKTIKUM'!AB48</f>
        <v>75</v>
      </c>
      <c r="AK48" s="62">
        <f>'KEMAMPUAN PRAKTIKUM'!AG48</f>
        <v>75</v>
      </c>
      <c r="AL48" s="62">
        <f>'KEMAMPUAN PRAKTIKUM'!AL48</f>
        <v>57</v>
      </c>
      <c r="AM48" s="62">
        <f>'KEMAMPUAN PRAKTIKUM'!AQ48</f>
        <v>51</v>
      </c>
      <c r="AN48" s="28">
        <f t="shared" si="4"/>
        <v>77.25</v>
      </c>
    </row>
    <row r="49">
      <c r="A49" s="7">
        <f>'INPUT DAFTAR PESERTA'!A47</f>
        <v>44</v>
      </c>
      <c r="B49" s="25">
        <f>'INPUT DAFTAR PESERTA'!B47</f>
        <v>2509056032</v>
      </c>
      <c r="C49" s="26" t="str">
        <f>'INPUT DAFTAR PESERTA'!C47</f>
        <v>Dea Mila Marsela</v>
      </c>
      <c r="D49" s="27">
        <v>100.0</v>
      </c>
      <c r="E49" s="27">
        <v>100.0</v>
      </c>
      <c r="F49" s="27">
        <v>100.0</v>
      </c>
      <c r="G49" s="27">
        <v>100.0</v>
      </c>
      <c r="H49" s="27">
        <v>100.0</v>
      </c>
      <c r="I49" s="27">
        <v>100.0</v>
      </c>
      <c r="J49" s="27">
        <v>100.0</v>
      </c>
      <c r="K49" s="27">
        <v>100.0</v>
      </c>
      <c r="L49" s="70">
        <f t="shared" si="1"/>
        <v>100</v>
      </c>
      <c r="M49" s="28">
        <f>'PENULISAN LAPORAN'!N48</f>
        <v>24.8125</v>
      </c>
      <c r="N49" s="27">
        <v>82.0</v>
      </c>
      <c r="O49" s="27">
        <v>82.0</v>
      </c>
      <c r="P49" s="27">
        <v>82.0</v>
      </c>
      <c r="Q49" s="27">
        <v>82.0</v>
      </c>
      <c r="R49" s="27">
        <v>82.0</v>
      </c>
      <c r="S49" s="27">
        <v>82.0</v>
      </c>
      <c r="T49" s="27">
        <v>82.0</v>
      </c>
      <c r="U49" s="27">
        <v>82.0</v>
      </c>
      <c r="V49" s="28">
        <f t="shared" si="2"/>
        <v>82</v>
      </c>
      <c r="W49" s="27"/>
      <c r="X49" s="27">
        <v>0.0</v>
      </c>
      <c r="Y49" s="27"/>
      <c r="Z49" s="63"/>
      <c r="AA49" s="27">
        <v>0.0</v>
      </c>
      <c r="AB49" s="63"/>
      <c r="AC49" s="63"/>
      <c r="AD49" s="27"/>
      <c r="AE49" s="63">
        <f t="shared" si="3"/>
        <v>0</v>
      </c>
      <c r="AF49" s="62">
        <f>'KEMAMPUAN PRAKTIKUM'!H49</f>
        <v>90</v>
      </c>
      <c r="AG49" s="62">
        <f>'KEMAMPUAN PRAKTIKUM'!M49</f>
        <v>60</v>
      </c>
      <c r="AH49" s="62">
        <f>'KEMAMPUAN PRAKTIKUM'!R49</f>
        <v>87</v>
      </c>
      <c r="AI49" s="62">
        <f>'KEMAMPUAN PRAKTIKUM'!W49</f>
        <v>60</v>
      </c>
      <c r="AJ49" s="62">
        <f>'KEMAMPUAN PRAKTIKUM'!AB49</f>
        <v>75</v>
      </c>
      <c r="AK49" s="62">
        <f>'KEMAMPUAN PRAKTIKUM'!AG49</f>
        <v>60</v>
      </c>
      <c r="AL49" s="62">
        <f>'KEMAMPUAN PRAKTIKUM'!AL49</f>
        <v>57</v>
      </c>
      <c r="AM49" s="62">
        <f>'KEMAMPUAN PRAKTIKUM'!AQ49</f>
        <v>45</v>
      </c>
      <c r="AN49" s="28">
        <f t="shared" si="4"/>
        <v>66.75</v>
      </c>
    </row>
    <row r="50">
      <c r="A50" s="7">
        <f>'INPUT DAFTAR PESERTA'!A48</f>
        <v>45</v>
      </c>
      <c r="B50" s="25">
        <f>'INPUT DAFTAR PESERTA'!B48</f>
        <v>2509056033</v>
      </c>
      <c r="C50" s="26" t="str">
        <f>'INPUT DAFTAR PESERTA'!C48</f>
        <v>Ahmad Salman Nur</v>
      </c>
      <c r="D50" s="27">
        <v>100.0</v>
      </c>
      <c r="E50" s="27">
        <v>100.0</v>
      </c>
      <c r="F50" s="27">
        <v>100.0</v>
      </c>
      <c r="G50" s="27">
        <v>100.0</v>
      </c>
      <c r="H50" s="27">
        <v>100.0</v>
      </c>
      <c r="I50" s="27">
        <v>100.0</v>
      </c>
      <c r="J50" s="27">
        <v>100.0</v>
      </c>
      <c r="K50" s="27">
        <v>100.0</v>
      </c>
      <c r="L50" s="70">
        <f t="shared" si="1"/>
        <v>100</v>
      </c>
      <c r="M50" s="28">
        <f>'PENULISAN LAPORAN'!N49</f>
        <v>62.90625</v>
      </c>
      <c r="N50" s="27">
        <v>90.0</v>
      </c>
      <c r="O50" s="27">
        <v>90.0</v>
      </c>
      <c r="P50" s="27">
        <v>90.0</v>
      </c>
      <c r="Q50" s="27">
        <v>90.0</v>
      </c>
      <c r="R50" s="27">
        <v>90.0</v>
      </c>
      <c r="S50" s="27">
        <v>90.0</v>
      </c>
      <c r="T50" s="27">
        <v>90.0</v>
      </c>
      <c r="U50" s="27">
        <v>90.0</v>
      </c>
      <c r="V50" s="28">
        <f t="shared" si="2"/>
        <v>90</v>
      </c>
      <c r="W50" s="27">
        <v>70.0</v>
      </c>
      <c r="X50" s="27">
        <v>70.0</v>
      </c>
      <c r="Y50" s="27">
        <v>80.0</v>
      </c>
      <c r="Z50" s="27">
        <v>70.0</v>
      </c>
      <c r="AA50" s="27">
        <v>70.0</v>
      </c>
      <c r="AB50" s="63"/>
      <c r="AC50" s="27">
        <v>70.0</v>
      </c>
      <c r="AD50" s="27">
        <v>80.0</v>
      </c>
      <c r="AE50" s="63">
        <f t="shared" si="3"/>
        <v>63.75</v>
      </c>
      <c r="AF50" s="62">
        <f>'KEMAMPUAN PRAKTIKUM'!H50</f>
        <v>75</v>
      </c>
      <c r="AG50" s="62">
        <f>'KEMAMPUAN PRAKTIKUM'!M50</f>
        <v>90</v>
      </c>
      <c r="AH50" s="62">
        <f>'KEMAMPUAN PRAKTIKUM'!R50</f>
        <v>57</v>
      </c>
      <c r="AI50" s="62">
        <f>'KEMAMPUAN PRAKTIKUM'!W50</f>
        <v>75</v>
      </c>
      <c r="AJ50" s="62">
        <f>'KEMAMPUAN PRAKTIKUM'!AB50</f>
        <v>45</v>
      </c>
      <c r="AK50" s="62">
        <f>'KEMAMPUAN PRAKTIKUM'!AG50</f>
        <v>75</v>
      </c>
      <c r="AL50" s="62">
        <f>'KEMAMPUAN PRAKTIKUM'!AL50</f>
        <v>57</v>
      </c>
      <c r="AM50" s="62">
        <f>'KEMAMPUAN PRAKTIKUM'!AQ50</f>
        <v>57</v>
      </c>
      <c r="AN50" s="28">
        <f t="shared" si="4"/>
        <v>66.375</v>
      </c>
    </row>
    <row r="51">
      <c r="A51" s="7">
        <f>'INPUT DAFTAR PESERTA'!A49</f>
        <v>46</v>
      </c>
      <c r="B51" s="25">
        <f>'INPUT DAFTAR PESERTA'!B49</f>
        <v>2509056035</v>
      </c>
      <c r="C51" s="26" t="str">
        <f>'INPUT DAFTAR PESERTA'!C49</f>
        <v>Syahputra Lumbantoruan</v>
      </c>
      <c r="D51" s="63"/>
      <c r="E51" s="27">
        <v>0.0</v>
      </c>
      <c r="F51" s="63"/>
      <c r="G51" s="63"/>
      <c r="H51" s="27">
        <v>0.0</v>
      </c>
      <c r="I51" s="27">
        <v>0.0</v>
      </c>
      <c r="J51" s="63"/>
      <c r="K51" s="63"/>
      <c r="L51" s="70">
        <f t="shared" si="1"/>
        <v>0</v>
      </c>
      <c r="M51" s="28">
        <f>'PENULISAN LAPORAN'!N50</f>
        <v>0</v>
      </c>
      <c r="N51" s="27">
        <v>0.0</v>
      </c>
      <c r="O51" s="27">
        <v>0.0</v>
      </c>
      <c r="P51" s="27">
        <v>0.0</v>
      </c>
      <c r="Q51" s="27">
        <v>0.0</v>
      </c>
      <c r="R51" s="27">
        <v>0.0</v>
      </c>
      <c r="S51" s="27">
        <v>0.0</v>
      </c>
      <c r="T51" s="27">
        <v>0.0</v>
      </c>
      <c r="U51" s="27">
        <v>0.0</v>
      </c>
      <c r="V51" s="28">
        <f t="shared" si="2"/>
        <v>0</v>
      </c>
      <c r="W51" s="63"/>
      <c r="X51" s="27">
        <v>0.0</v>
      </c>
      <c r="Y51" s="63"/>
      <c r="Z51" s="63"/>
      <c r="AA51" s="27">
        <v>0.0</v>
      </c>
      <c r="AB51" s="63"/>
      <c r="AC51" s="63"/>
      <c r="AD51" s="63"/>
      <c r="AE51" s="63">
        <f t="shared" si="3"/>
        <v>0</v>
      </c>
      <c r="AF51" s="62">
        <f>'KEMAMPUAN PRAKTIKUM'!H51</f>
        <v>0</v>
      </c>
      <c r="AG51" s="62">
        <f>'KEMAMPUAN PRAKTIKUM'!M51</f>
        <v>0</v>
      </c>
      <c r="AH51" s="62">
        <f>'KEMAMPUAN PRAKTIKUM'!R51</f>
        <v>0</v>
      </c>
      <c r="AI51" s="62">
        <f>'KEMAMPUAN PRAKTIKUM'!W51</f>
        <v>0</v>
      </c>
      <c r="AJ51" s="62">
        <f>'KEMAMPUAN PRAKTIKUM'!AB51</f>
        <v>30</v>
      </c>
      <c r="AK51" s="62">
        <f>'KEMAMPUAN PRAKTIKUM'!AG51</f>
        <v>63</v>
      </c>
      <c r="AL51" s="62">
        <f>'KEMAMPUAN PRAKTIKUM'!AL51</f>
        <v>0</v>
      </c>
      <c r="AM51" s="62">
        <f>'KEMAMPUAN PRAKTIKUM'!AQ51</f>
        <v>0</v>
      </c>
      <c r="AN51" s="28">
        <f t="shared" si="4"/>
        <v>11.625</v>
      </c>
    </row>
    <row r="52">
      <c r="A52" s="7">
        <f>'INPUT DAFTAR PESERTA'!A50</f>
        <v>47</v>
      </c>
      <c r="B52" s="25">
        <f>'INPUT DAFTAR PESERTA'!B50</f>
        <v>2509056036</v>
      </c>
      <c r="C52" s="26" t="str">
        <f>'INPUT DAFTAR PESERTA'!C50</f>
        <v>Furqan Ahmad</v>
      </c>
      <c r="D52" s="27">
        <v>100.0</v>
      </c>
      <c r="E52" s="27">
        <v>0.0</v>
      </c>
      <c r="F52" s="63"/>
      <c r="G52" s="63"/>
      <c r="H52" s="27">
        <v>0.0</v>
      </c>
      <c r="I52" s="27">
        <v>0.0</v>
      </c>
      <c r="J52" s="63"/>
      <c r="K52" s="63"/>
      <c r="L52" s="70">
        <f t="shared" si="1"/>
        <v>12.5</v>
      </c>
      <c r="M52" s="28">
        <f>'PENULISAN LAPORAN'!N51</f>
        <v>4.5</v>
      </c>
      <c r="N52" s="27">
        <v>92.0</v>
      </c>
      <c r="O52" s="27">
        <v>92.0</v>
      </c>
      <c r="P52" s="27">
        <v>92.0</v>
      </c>
      <c r="Q52" s="27">
        <v>92.0</v>
      </c>
      <c r="R52" s="27">
        <v>92.0</v>
      </c>
      <c r="S52" s="27">
        <v>92.0</v>
      </c>
      <c r="T52" s="27">
        <v>92.0</v>
      </c>
      <c r="U52" s="27">
        <v>92.0</v>
      </c>
      <c r="V52" s="28">
        <f t="shared" si="2"/>
        <v>92</v>
      </c>
      <c r="W52" s="63"/>
      <c r="X52" s="27">
        <v>0.0</v>
      </c>
      <c r="Y52" s="63"/>
      <c r="Z52" s="63"/>
      <c r="AA52" s="27">
        <v>0.0</v>
      </c>
      <c r="AB52" s="63"/>
      <c r="AC52" s="63"/>
      <c r="AD52" s="63"/>
      <c r="AE52" s="63">
        <f t="shared" si="3"/>
        <v>0</v>
      </c>
      <c r="AF52" s="62">
        <f>'KEMAMPUAN PRAKTIKUM'!H52</f>
        <v>30</v>
      </c>
      <c r="AG52" s="62">
        <f>'KEMAMPUAN PRAKTIKUM'!M52</f>
        <v>0</v>
      </c>
      <c r="AH52" s="62">
        <f>'KEMAMPUAN PRAKTIKUM'!R52</f>
        <v>0</v>
      </c>
      <c r="AI52" s="62">
        <f>'KEMAMPUAN PRAKTIKUM'!W52</f>
        <v>60</v>
      </c>
      <c r="AJ52" s="62">
        <f>'KEMAMPUAN PRAKTIKUM'!AB52</f>
        <v>30</v>
      </c>
      <c r="AK52" s="62">
        <f>'KEMAMPUAN PRAKTIKUM'!AG52</f>
        <v>63</v>
      </c>
      <c r="AL52" s="62">
        <f>'KEMAMPUAN PRAKTIKUM'!AL52</f>
        <v>0</v>
      </c>
      <c r="AM52" s="62">
        <f>'KEMAMPUAN PRAKTIKUM'!AQ52</f>
        <v>0</v>
      </c>
      <c r="AN52" s="28">
        <f t="shared" si="4"/>
        <v>22.875</v>
      </c>
    </row>
    <row r="53">
      <c r="A53" s="7">
        <f>'INPUT DAFTAR PESERTA'!A51</f>
        <v>48</v>
      </c>
      <c r="B53" s="25">
        <f>'INPUT DAFTAR PESERTA'!B51</f>
        <v>2509056037</v>
      </c>
      <c r="C53" s="26" t="str">
        <f>'INPUT DAFTAR PESERTA'!C51</f>
        <v>Muhammad An Naafi Zaini</v>
      </c>
      <c r="D53" s="27">
        <v>100.0</v>
      </c>
      <c r="E53" s="27">
        <v>100.0</v>
      </c>
      <c r="F53" s="27">
        <v>100.0</v>
      </c>
      <c r="G53" s="63"/>
      <c r="H53" s="27">
        <v>100.0</v>
      </c>
      <c r="I53" s="27">
        <v>100.0</v>
      </c>
      <c r="J53" s="63"/>
      <c r="K53" s="63"/>
      <c r="L53" s="70">
        <f t="shared" si="1"/>
        <v>62.5</v>
      </c>
      <c r="M53" s="28">
        <f>'PENULISAN LAPORAN'!N52</f>
        <v>11.5</v>
      </c>
      <c r="N53" s="27">
        <v>94.0</v>
      </c>
      <c r="O53" s="27">
        <v>94.0</v>
      </c>
      <c r="P53" s="27">
        <v>94.0</v>
      </c>
      <c r="Q53" s="27">
        <v>94.0</v>
      </c>
      <c r="R53" s="27">
        <v>94.0</v>
      </c>
      <c r="S53" s="27">
        <v>94.0</v>
      </c>
      <c r="T53" s="27">
        <v>94.0</v>
      </c>
      <c r="U53" s="27">
        <v>94.0</v>
      </c>
      <c r="V53" s="28">
        <f t="shared" si="2"/>
        <v>94</v>
      </c>
      <c r="W53" s="63"/>
      <c r="X53" s="27">
        <v>0.0</v>
      </c>
      <c r="Y53" s="63"/>
      <c r="Z53" s="63"/>
      <c r="AA53" s="27">
        <v>0.0</v>
      </c>
      <c r="AB53" s="63"/>
      <c r="AC53" s="63"/>
      <c r="AD53" s="63"/>
      <c r="AE53" s="63">
        <f t="shared" si="3"/>
        <v>0</v>
      </c>
      <c r="AF53" s="62">
        <f>'KEMAMPUAN PRAKTIKUM'!H53</f>
        <v>75</v>
      </c>
      <c r="AG53" s="62">
        <f>'KEMAMPUAN PRAKTIKUM'!M53</f>
        <v>60</v>
      </c>
      <c r="AH53" s="62">
        <f>'KEMAMPUAN PRAKTIKUM'!R53</f>
        <v>0</v>
      </c>
      <c r="AI53" s="62">
        <f>'KEMAMPUAN PRAKTIKUM'!W53</f>
        <v>60</v>
      </c>
      <c r="AJ53" s="62">
        <f>'KEMAMPUAN PRAKTIKUM'!AB53</f>
        <v>75</v>
      </c>
      <c r="AK53" s="62">
        <f>'KEMAMPUAN PRAKTIKUM'!AG53</f>
        <v>63</v>
      </c>
      <c r="AL53" s="62">
        <f>'KEMAMPUAN PRAKTIKUM'!AL53</f>
        <v>0</v>
      </c>
      <c r="AM53" s="62">
        <f>'KEMAMPUAN PRAKTIKUM'!AQ53</f>
        <v>0</v>
      </c>
      <c r="AN53" s="28">
        <f t="shared" si="4"/>
        <v>41.625</v>
      </c>
    </row>
    <row r="54">
      <c r="A54" s="7">
        <f>'INPUT DAFTAR PESERTA'!A52</f>
        <v>49</v>
      </c>
      <c r="B54" s="25">
        <f>'INPUT DAFTAR PESERTA'!B52</f>
        <v>2509056038</v>
      </c>
      <c r="C54" s="26" t="str">
        <f>'INPUT DAFTAR PESERTA'!C52</f>
        <v>Muh. Afriansyah Syafani</v>
      </c>
      <c r="D54" s="63"/>
      <c r="E54" s="27">
        <v>0.0</v>
      </c>
      <c r="F54" s="63"/>
      <c r="G54" s="63"/>
      <c r="H54" s="27">
        <v>0.0</v>
      </c>
      <c r="I54" s="27"/>
      <c r="J54" s="63"/>
      <c r="K54" s="63"/>
      <c r="L54" s="70">
        <f t="shared" si="1"/>
        <v>0</v>
      </c>
      <c r="M54" s="28">
        <f>'PENULISAN LAPORAN'!N53</f>
        <v>4.0625</v>
      </c>
      <c r="N54" s="27">
        <v>98.0</v>
      </c>
      <c r="O54" s="27">
        <v>98.0</v>
      </c>
      <c r="P54" s="27">
        <v>98.0</v>
      </c>
      <c r="Q54" s="27">
        <v>98.0</v>
      </c>
      <c r="R54" s="27">
        <v>98.0</v>
      </c>
      <c r="S54" s="27">
        <v>98.0</v>
      </c>
      <c r="T54" s="27">
        <v>98.0</v>
      </c>
      <c r="U54" s="27">
        <v>98.0</v>
      </c>
      <c r="V54" s="28">
        <f t="shared" si="2"/>
        <v>98</v>
      </c>
      <c r="W54" s="63"/>
      <c r="X54" s="27">
        <v>0.0</v>
      </c>
      <c r="Y54" s="63"/>
      <c r="Z54" s="63"/>
      <c r="AA54" s="27">
        <v>0.0</v>
      </c>
      <c r="AB54" s="63"/>
      <c r="AC54" s="63"/>
      <c r="AD54" s="63"/>
      <c r="AE54" s="63">
        <f t="shared" si="3"/>
        <v>0</v>
      </c>
      <c r="AF54" s="62">
        <f>'KEMAMPUAN PRAKTIKUM'!H54</f>
        <v>0</v>
      </c>
      <c r="AG54" s="62">
        <f>'KEMAMPUAN PRAKTIKUM'!M54</f>
        <v>0</v>
      </c>
      <c r="AH54" s="62">
        <f>'KEMAMPUAN PRAKTIKUM'!R54</f>
        <v>0</v>
      </c>
      <c r="AI54" s="62">
        <f>'KEMAMPUAN PRAKTIKUM'!W54</f>
        <v>0</v>
      </c>
      <c r="AJ54" s="62">
        <f>'KEMAMPUAN PRAKTIKUM'!AB54</f>
        <v>45</v>
      </c>
      <c r="AK54" s="62">
        <f>'KEMAMPUAN PRAKTIKUM'!AG54</f>
        <v>63</v>
      </c>
      <c r="AL54" s="62">
        <f>'KEMAMPUAN PRAKTIKUM'!AL54</f>
        <v>0</v>
      </c>
      <c r="AM54" s="62">
        <f>'KEMAMPUAN PRAKTIKUM'!AQ54</f>
        <v>0</v>
      </c>
      <c r="AN54" s="28">
        <f t="shared" si="4"/>
        <v>13.5</v>
      </c>
    </row>
    <row r="55">
      <c r="A55" s="7">
        <f>'INPUT DAFTAR PESERTA'!A53</f>
        <v>50</v>
      </c>
      <c r="B55" s="25">
        <f>'INPUT DAFTAR PESERTA'!B53</f>
        <v>2509056039</v>
      </c>
      <c r="C55" s="26" t="str">
        <f>'INPUT DAFTAR PESERTA'!C53</f>
        <v>Evan Hizky Edward Juliano Sahata Manihuruk</v>
      </c>
      <c r="D55" s="63"/>
      <c r="E55" s="27">
        <v>0.0</v>
      </c>
      <c r="F55" s="63"/>
      <c r="G55" s="63"/>
      <c r="H55" s="27">
        <v>0.0</v>
      </c>
      <c r="I55" s="27"/>
      <c r="J55" s="63"/>
      <c r="K55" s="63"/>
      <c r="L55" s="70">
        <f t="shared" si="1"/>
        <v>0</v>
      </c>
      <c r="M55" s="28">
        <f>'PENULISAN LAPORAN'!N54</f>
        <v>0</v>
      </c>
      <c r="N55" s="27">
        <v>92.0</v>
      </c>
      <c r="O55" s="27">
        <v>92.0</v>
      </c>
      <c r="P55" s="27">
        <v>92.0</v>
      </c>
      <c r="Q55" s="27">
        <v>92.0</v>
      </c>
      <c r="R55" s="27">
        <v>92.0</v>
      </c>
      <c r="S55" s="27">
        <v>92.0</v>
      </c>
      <c r="T55" s="27">
        <v>92.0</v>
      </c>
      <c r="U55" s="27">
        <v>92.0</v>
      </c>
      <c r="V55" s="28">
        <f t="shared" si="2"/>
        <v>92</v>
      </c>
      <c r="W55" s="63"/>
      <c r="X55" s="27">
        <v>0.0</v>
      </c>
      <c r="Y55" s="63"/>
      <c r="Z55" s="63"/>
      <c r="AA55" s="27">
        <v>0.0</v>
      </c>
      <c r="AB55" s="63"/>
      <c r="AC55" s="63"/>
      <c r="AD55" s="63"/>
      <c r="AE55" s="63">
        <f t="shared" si="3"/>
        <v>0</v>
      </c>
      <c r="AF55" s="62">
        <f>'KEMAMPUAN PRAKTIKUM'!H55</f>
        <v>0</v>
      </c>
      <c r="AG55" s="62">
        <f>'KEMAMPUAN PRAKTIKUM'!M55</f>
        <v>0</v>
      </c>
      <c r="AH55" s="62">
        <f>'KEMAMPUAN PRAKTIKUM'!R55</f>
        <v>0</v>
      </c>
      <c r="AI55" s="62">
        <f>'KEMAMPUAN PRAKTIKUM'!W55</f>
        <v>0</v>
      </c>
      <c r="AJ55" s="62">
        <f>'KEMAMPUAN PRAKTIKUM'!AB55</f>
        <v>30</v>
      </c>
      <c r="AK55" s="62">
        <f>'KEMAMPUAN PRAKTIKUM'!AG55</f>
        <v>0</v>
      </c>
      <c r="AL55" s="62">
        <f>'KEMAMPUAN PRAKTIKUM'!AL55</f>
        <v>0</v>
      </c>
      <c r="AM55" s="62">
        <f>'KEMAMPUAN PRAKTIKUM'!AQ55</f>
        <v>0</v>
      </c>
      <c r="AN55" s="28">
        <f t="shared" si="4"/>
        <v>3.75</v>
      </c>
    </row>
    <row r="56">
      <c r="A56" s="7">
        <f>'INPUT DAFTAR PESERTA'!A54</f>
        <v>51</v>
      </c>
      <c r="B56" s="25">
        <f>'INPUT DAFTAR PESERTA'!B54</f>
        <v>2509056040</v>
      </c>
      <c r="C56" s="26" t="str">
        <f>'INPUT DAFTAR PESERTA'!C54</f>
        <v>Rasya Ataullah Arnata</v>
      </c>
      <c r="D56" s="63"/>
      <c r="E56" s="27">
        <v>0.0</v>
      </c>
      <c r="F56" s="63"/>
      <c r="G56" s="63"/>
      <c r="H56" s="27">
        <v>0.0</v>
      </c>
      <c r="I56" s="27"/>
      <c r="J56" s="63"/>
      <c r="K56" s="63"/>
      <c r="L56" s="70">
        <f t="shared" si="1"/>
        <v>0</v>
      </c>
      <c r="M56" s="28">
        <f>'PENULISAN LAPORAN'!N55</f>
        <v>0</v>
      </c>
      <c r="N56" s="27">
        <v>94.0</v>
      </c>
      <c r="O56" s="27">
        <v>94.0</v>
      </c>
      <c r="P56" s="27">
        <v>94.0</v>
      </c>
      <c r="Q56" s="27">
        <v>94.0</v>
      </c>
      <c r="R56" s="27">
        <v>94.0</v>
      </c>
      <c r="S56" s="27">
        <v>94.0</v>
      </c>
      <c r="T56" s="27">
        <v>94.0</v>
      </c>
      <c r="U56" s="27">
        <v>94.0</v>
      </c>
      <c r="V56" s="28">
        <f t="shared" si="2"/>
        <v>94</v>
      </c>
      <c r="W56" s="63"/>
      <c r="X56" s="27">
        <v>0.0</v>
      </c>
      <c r="Y56" s="63"/>
      <c r="Z56" s="63"/>
      <c r="AA56" s="27">
        <v>0.0</v>
      </c>
      <c r="AB56" s="63"/>
      <c r="AC56" s="63"/>
      <c r="AD56" s="63"/>
      <c r="AE56" s="63">
        <f t="shared" si="3"/>
        <v>0</v>
      </c>
      <c r="AF56" s="62">
        <f>'KEMAMPUAN PRAKTIKUM'!H56</f>
        <v>0</v>
      </c>
      <c r="AG56" s="62">
        <f>'KEMAMPUAN PRAKTIKUM'!M56</f>
        <v>0</v>
      </c>
      <c r="AH56" s="62">
        <f>'KEMAMPUAN PRAKTIKUM'!R56</f>
        <v>0</v>
      </c>
      <c r="AI56" s="62">
        <f>'KEMAMPUAN PRAKTIKUM'!W56</f>
        <v>0</v>
      </c>
      <c r="AJ56" s="62">
        <f>'KEMAMPUAN PRAKTIKUM'!AB56</f>
        <v>30</v>
      </c>
      <c r="AK56" s="62">
        <f>'KEMAMPUAN PRAKTIKUM'!AG56</f>
        <v>0</v>
      </c>
      <c r="AL56" s="62">
        <f>'KEMAMPUAN PRAKTIKUM'!AL56</f>
        <v>0</v>
      </c>
      <c r="AM56" s="62">
        <f>'KEMAMPUAN PRAKTIKUM'!AQ56</f>
        <v>0</v>
      </c>
      <c r="AN56" s="28">
        <f t="shared" si="4"/>
        <v>3.75</v>
      </c>
    </row>
    <row r="57">
      <c r="A57" s="7">
        <f>'INPUT DAFTAR PESERTA'!A55</f>
        <v>52</v>
      </c>
      <c r="B57" s="25">
        <f>'INPUT DAFTAR PESERTA'!B55</f>
        <v>2509056041</v>
      </c>
      <c r="C57" s="26" t="str">
        <f>'INPUT DAFTAR PESERTA'!C55</f>
        <v>Yadi Ramadani</v>
      </c>
      <c r="D57" s="63"/>
      <c r="E57" s="27">
        <v>100.0</v>
      </c>
      <c r="F57" s="63"/>
      <c r="G57" s="27">
        <v>100.0</v>
      </c>
      <c r="H57" s="27">
        <v>100.0</v>
      </c>
      <c r="I57" s="27">
        <v>100.0</v>
      </c>
      <c r="J57" s="27">
        <v>100.0</v>
      </c>
      <c r="K57" s="27">
        <v>100.0</v>
      </c>
      <c r="L57" s="70">
        <f t="shared" si="1"/>
        <v>75</v>
      </c>
      <c r="M57" s="28">
        <f>'PENULISAN LAPORAN'!N56</f>
        <v>57.75</v>
      </c>
      <c r="N57" s="27">
        <v>92.0</v>
      </c>
      <c r="O57" s="27">
        <v>92.0</v>
      </c>
      <c r="P57" s="27">
        <v>92.0</v>
      </c>
      <c r="Q57" s="27">
        <v>92.0</v>
      </c>
      <c r="R57" s="27">
        <v>92.0</v>
      </c>
      <c r="S57" s="27">
        <v>92.0</v>
      </c>
      <c r="T57" s="27">
        <v>92.0</v>
      </c>
      <c r="U57" s="27">
        <v>92.0</v>
      </c>
      <c r="V57" s="28">
        <f t="shared" si="2"/>
        <v>92</v>
      </c>
      <c r="W57" s="27">
        <v>70.0</v>
      </c>
      <c r="X57" s="27">
        <v>60.0</v>
      </c>
      <c r="Y57" s="27">
        <v>80.0</v>
      </c>
      <c r="Z57" s="27">
        <v>70.0</v>
      </c>
      <c r="AA57" s="27">
        <v>70.0</v>
      </c>
      <c r="AB57" s="27">
        <v>60.0</v>
      </c>
      <c r="AC57" s="27">
        <v>0.0</v>
      </c>
      <c r="AD57" s="27">
        <v>0.0</v>
      </c>
      <c r="AE57" s="63">
        <f t="shared" si="3"/>
        <v>51.25</v>
      </c>
      <c r="AF57" s="62">
        <f>'KEMAMPUAN PRAKTIKUM'!H57</f>
        <v>57</v>
      </c>
      <c r="AG57" s="62">
        <f>'KEMAMPUAN PRAKTIKUM'!M57</f>
        <v>57</v>
      </c>
      <c r="AH57" s="62">
        <f>'KEMAMPUAN PRAKTIKUM'!R57</f>
        <v>72</v>
      </c>
      <c r="AI57" s="62">
        <f>'KEMAMPUAN PRAKTIKUM'!W57</f>
        <v>90</v>
      </c>
      <c r="AJ57" s="62">
        <f>'KEMAMPUAN PRAKTIKUM'!AB57</f>
        <v>75</v>
      </c>
      <c r="AK57" s="62">
        <f>'KEMAMPUAN PRAKTIKUM'!AG57</f>
        <v>63</v>
      </c>
      <c r="AL57" s="62">
        <f>'KEMAMPUAN PRAKTIKUM'!AL57</f>
        <v>57</v>
      </c>
      <c r="AM57" s="62">
        <f>'KEMAMPUAN PRAKTIKUM'!AQ57</f>
        <v>57</v>
      </c>
      <c r="AN57" s="28">
        <f t="shared" si="4"/>
        <v>66</v>
      </c>
    </row>
    <row r="58">
      <c r="A58" s="7">
        <f>'INPUT DAFTAR PESERTA'!A56</f>
        <v>53</v>
      </c>
      <c r="B58" s="25">
        <f>'INPUT DAFTAR PESERTA'!B56</f>
        <v>2509056042</v>
      </c>
      <c r="C58" s="26" t="str">
        <f>'INPUT DAFTAR PESERTA'!C56</f>
        <v>Muhammad Alief Adz Dzikry Abdillah</v>
      </c>
      <c r="D58" s="63"/>
      <c r="E58" s="27">
        <v>0.0</v>
      </c>
      <c r="F58" s="63"/>
      <c r="G58" s="63"/>
      <c r="H58" s="27">
        <v>0.0</v>
      </c>
      <c r="I58" s="63"/>
      <c r="J58" s="63"/>
      <c r="K58" s="63"/>
      <c r="L58" s="70">
        <f t="shared" si="1"/>
        <v>0</v>
      </c>
      <c r="M58" s="28">
        <f>'PENULISAN LAPORAN'!N57</f>
        <v>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8">
        <f t="shared" si="2"/>
        <v>0</v>
      </c>
      <c r="W58" s="63"/>
      <c r="X58" s="27">
        <v>0.0</v>
      </c>
      <c r="Y58" s="63"/>
      <c r="Z58" s="63"/>
      <c r="AA58" s="27">
        <v>0.0</v>
      </c>
      <c r="AB58" s="63"/>
      <c r="AC58" s="63"/>
      <c r="AD58" s="63"/>
      <c r="AE58" s="63">
        <f t="shared" si="3"/>
        <v>0</v>
      </c>
      <c r="AF58" s="62">
        <f>'KEMAMPUAN PRAKTIKUM'!H58</f>
        <v>0</v>
      </c>
      <c r="AG58" s="62">
        <f>'KEMAMPUAN PRAKTIKUM'!M58</f>
        <v>0</v>
      </c>
      <c r="AH58" s="62">
        <f>'KEMAMPUAN PRAKTIKUM'!R58</f>
        <v>0</v>
      </c>
      <c r="AI58" s="62">
        <f>'KEMAMPUAN PRAKTIKUM'!W58</f>
        <v>0</v>
      </c>
      <c r="AJ58" s="62">
        <f>'KEMAMPUAN PRAKTIKUM'!AB58</f>
        <v>30</v>
      </c>
      <c r="AK58" s="62">
        <f>'KEMAMPUAN PRAKTIKUM'!AG58</f>
        <v>0</v>
      </c>
      <c r="AL58" s="62">
        <f>'KEMAMPUAN PRAKTIKUM'!AL58</f>
        <v>0</v>
      </c>
      <c r="AM58" s="62">
        <f>'KEMAMPUAN PRAKTIKUM'!AQ58</f>
        <v>0</v>
      </c>
      <c r="AN58" s="28">
        <f t="shared" si="4"/>
        <v>3.75</v>
      </c>
    </row>
    <row r="59">
      <c r="A59" s="7">
        <f>'INPUT DAFTAR PESERTA'!A57</f>
        <v>54</v>
      </c>
      <c r="B59" s="25">
        <f>'INPUT DAFTAR PESERTA'!B57</f>
        <v>2509056043</v>
      </c>
      <c r="C59" s="26" t="str">
        <f>'INPUT DAFTAR PESERTA'!C57</f>
        <v>Hubert Abraham Pranoto Sirait</v>
      </c>
      <c r="D59" s="63"/>
      <c r="E59" s="27">
        <v>100.0</v>
      </c>
      <c r="F59" s="27">
        <v>100.0</v>
      </c>
      <c r="G59" s="27">
        <v>100.0</v>
      </c>
      <c r="H59" s="27">
        <v>100.0</v>
      </c>
      <c r="I59" s="27">
        <v>100.0</v>
      </c>
      <c r="J59" s="27">
        <v>100.0</v>
      </c>
      <c r="K59" s="27">
        <v>100.0</v>
      </c>
      <c r="L59" s="70">
        <f t="shared" si="1"/>
        <v>87.5</v>
      </c>
      <c r="M59" s="28">
        <f>'PENULISAN LAPORAN'!N58</f>
        <v>31.875</v>
      </c>
      <c r="N59" s="27">
        <v>86.0</v>
      </c>
      <c r="O59" s="27">
        <v>86.0</v>
      </c>
      <c r="P59" s="27">
        <v>86.0</v>
      </c>
      <c r="Q59" s="27">
        <v>86.0</v>
      </c>
      <c r="R59" s="27">
        <v>86.0</v>
      </c>
      <c r="S59" s="27">
        <v>86.0</v>
      </c>
      <c r="T59" s="27">
        <v>86.0</v>
      </c>
      <c r="U59" s="27">
        <v>86.0</v>
      </c>
      <c r="V59" s="28">
        <f t="shared" si="2"/>
        <v>86</v>
      </c>
      <c r="W59" s="27">
        <v>0.0</v>
      </c>
      <c r="X59" s="27">
        <v>30.0</v>
      </c>
      <c r="Y59" s="27">
        <v>60.0</v>
      </c>
      <c r="Z59" s="27">
        <v>30.0</v>
      </c>
      <c r="AA59" s="27">
        <v>30.0</v>
      </c>
      <c r="AB59" s="27">
        <v>0.0</v>
      </c>
      <c r="AC59" s="27">
        <v>30.0</v>
      </c>
      <c r="AD59" s="27">
        <v>0.0</v>
      </c>
      <c r="AE59" s="63">
        <f t="shared" si="3"/>
        <v>22.5</v>
      </c>
      <c r="AF59" s="62">
        <f>'KEMAMPUAN PRAKTIKUM'!H59</f>
        <v>0</v>
      </c>
      <c r="AG59" s="62">
        <f>'KEMAMPUAN PRAKTIKUM'!M59</f>
        <v>45</v>
      </c>
      <c r="AH59" s="62">
        <f>'KEMAMPUAN PRAKTIKUM'!R59</f>
        <v>72</v>
      </c>
      <c r="AI59" s="62">
        <f>'KEMAMPUAN PRAKTIKUM'!W59</f>
        <v>57</v>
      </c>
      <c r="AJ59" s="62">
        <f>'KEMAMPUAN PRAKTIKUM'!AB59</f>
        <v>45</v>
      </c>
      <c r="AK59" s="62">
        <f>'KEMAMPUAN PRAKTIKUM'!AG59</f>
        <v>63</v>
      </c>
      <c r="AL59" s="62">
        <f>'KEMAMPUAN PRAKTIKUM'!AL59</f>
        <v>87</v>
      </c>
      <c r="AM59" s="62">
        <f>'KEMAMPUAN PRAKTIKUM'!AQ59</f>
        <v>57</v>
      </c>
      <c r="AN59" s="28">
        <f t="shared" si="4"/>
        <v>53.25</v>
      </c>
    </row>
    <row r="60">
      <c r="A60" s="7">
        <f>'INPUT DAFTAR PESERTA'!A58</f>
        <v>55</v>
      </c>
      <c r="B60" s="25">
        <f>'INPUT DAFTAR PESERTA'!B58</f>
        <v>2509056044</v>
      </c>
      <c r="C60" s="26" t="str">
        <f>'INPUT DAFTAR PESERTA'!C58</f>
        <v>Indah Tessalonica</v>
      </c>
      <c r="D60" s="63"/>
      <c r="E60" s="27">
        <v>0.0</v>
      </c>
      <c r="F60" s="63"/>
      <c r="G60" s="63"/>
      <c r="H60" s="27">
        <v>0.0</v>
      </c>
      <c r="I60" s="27">
        <v>0.0</v>
      </c>
      <c r="J60" s="63"/>
      <c r="K60" s="63"/>
      <c r="L60" s="70">
        <f t="shared" si="1"/>
        <v>0</v>
      </c>
      <c r="M60" s="28">
        <f>'PENULISAN LAPORAN'!N59</f>
        <v>0</v>
      </c>
      <c r="N60" s="27">
        <v>92.0</v>
      </c>
      <c r="O60" s="27">
        <v>92.0</v>
      </c>
      <c r="P60" s="27">
        <v>92.0</v>
      </c>
      <c r="Q60" s="27">
        <v>92.0</v>
      </c>
      <c r="R60" s="27">
        <v>92.0</v>
      </c>
      <c r="S60" s="27">
        <v>92.0</v>
      </c>
      <c r="T60" s="27">
        <v>92.0</v>
      </c>
      <c r="U60" s="27">
        <v>92.0</v>
      </c>
      <c r="V60" s="28">
        <f t="shared" si="2"/>
        <v>92</v>
      </c>
      <c r="W60" s="63"/>
      <c r="X60" s="27">
        <v>0.0</v>
      </c>
      <c r="Y60" s="63"/>
      <c r="Z60" s="63"/>
      <c r="AA60" s="27">
        <v>0.0</v>
      </c>
      <c r="AB60" s="63"/>
      <c r="AC60" s="63"/>
      <c r="AD60" s="63"/>
      <c r="AE60" s="63">
        <f t="shared" si="3"/>
        <v>0</v>
      </c>
      <c r="AF60" s="62">
        <f>'KEMAMPUAN PRAKTIKUM'!H60</f>
        <v>0</v>
      </c>
      <c r="AG60" s="62">
        <f>'KEMAMPUAN PRAKTIKUM'!M60</f>
        <v>0</v>
      </c>
      <c r="AH60" s="62">
        <f>'KEMAMPUAN PRAKTIKUM'!R60</f>
        <v>0</v>
      </c>
      <c r="AI60" s="62">
        <f>'KEMAMPUAN PRAKTIKUM'!W60</f>
        <v>0</v>
      </c>
      <c r="AJ60" s="62">
        <f>'KEMAMPUAN PRAKTIKUM'!AB60</f>
        <v>30</v>
      </c>
      <c r="AK60" s="62">
        <f>'KEMAMPUAN PRAKTIKUM'!AG60</f>
        <v>0</v>
      </c>
      <c r="AL60" s="62">
        <f>'KEMAMPUAN PRAKTIKUM'!AL60</f>
        <v>0</v>
      </c>
      <c r="AM60" s="62">
        <f>'KEMAMPUAN PRAKTIKUM'!AQ60</f>
        <v>0</v>
      </c>
      <c r="AN60" s="28">
        <f t="shared" si="4"/>
        <v>3.75</v>
      </c>
    </row>
    <row r="61">
      <c r="A61" s="7">
        <f>'INPUT DAFTAR PESERTA'!A59</f>
        <v>56</v>
      </c>
      <c r="B61" s="25">
        <f>'INPUT DAFTAR PESERTA'!B59</f>
        <v>2509056045</v>
      </c>
      <c r="C61" s="26" t="str">
        <f>'INPUT DAFTAR PESERTA'!C59</f>
        <v>Fahrizi Al Rosid</v>
      </c>
      <c r="D61" s="63"/>
      <c r="E61" s="27">
        <v>0.0</v>
      </c>
      <c r="F61" s="63"/>
      <c r="G61" s="63"/>
      <c r="H61" s="27">
        <v>0.0</v>
      </c>
      <c r="I61" s="27">
        <v>0.0</v>
      </c>
      <c r="J61" s="63"/>
      <c r="K61" s="63"/>
      <c r="L61" s="70">
        <f t="shared" si="1"/>
        <v>0</v>
      </c>
      <c r="M61" s="28">
        <f>'PENULISAN LAPORAN'!N60</f>
        <v>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8">
        <f t="shared" si="2"/>
        <v>0</v>
      </c>
      <c r="W61" s="63"/>
      <c r="X61" s="27">
        <v>0.0</v>
      </c>
      <c r="Y61" s="63"/>
      <c r="Z61" s="63"/>
      <c r="AA61" s="27">
        <v>0.0</v>
      </c>
      <c r="AB61" s="63"/>
      <c r="AC61" s="63"/>
      <c r="AD61" s="63"/>
      <c r="AE61" s="63">
        <f t="shared" si="3"/>
        <v>0</v>
      </c>
      <c r="AF61" s="62">
        <f>'KEMAMPUAN PRAKTIKUM'!H61</f>
        <v>0</v>
      </c>
      <c r="AG61" s="62">
        <f>'KEMAMPUAN PRAKTIKUM'!M61</f>
        <v>0</v>
      </c>
      <c r="AH61" s="62">
        <f>'KEMAMPUAN PRAKTIKUM'!R61</f>
        <v>0</v>
      </c>
      <c r="AI61" s="62">
        <f>'KEMAMPUAN PRAKTIKUM'!W61</f>
        <v>0</v>
      </c>
      <c r="AJ61" s="62">
        <f>'KEMAMPUAN PRAKTIKUM'!AB61</f>
        <v>30</v>
      </c>
      <c r="AK61" s="62">
        <f>'KEMAMPUAN PRAKTIKUM'!AG61</f>
        <v>0</v>
      </c>
      <c r="AL61" s="62">
        <f>'KEMAMPUAN PRAKTIKUM'!AL61</f>
        <v>0</v>
      </c>
      <c r="AM61" s="62">
        <f>'KEMAMPUAN PRAKTIKUM'!AQ61</f>
        <v>0</v>
      </c>
      <c r="AN61" s="28">
        <f t="shared" si="4"/>
        <v>3.75</v>
      </c>
    </row>
    <row r="62">
      <c r="A62" s="7">
        <f>'INPUT DAFTAR PESERTA'!A60</f>
        <v>57</v>
      </c>
      <c r="B62" s="25">
        <f>'INPUT DAFTAR PESERTA'!B60</f>
        <v>2509056046</v>
      </c>
      <c r="C62" s="26" t="str">
        <f>'INPUT DAFTAR PESERTA'!C60</f>
        <v>Syadid Musoffa</v>
      </c>
      <c r="D62" s="63"/>
      <c r="E62" s="27">
        <v>0.0</v>
      </c>
      <c r="F62" s="63"/>
      <c r="G62" s="63"/>
      <c r="H62" s="27">
        <v>0.0</v>
      </c>
      <c r="I62" s="27">
        <v>0.0</v>
      </c>
      <c r="J62" s="63"/>
      <c r="K62" s="63"/>
      <c r="L62" s="70">
        <f t="shared" si="1"/>
        <v>0</v>
      </c>
      <c r="M62" s="28">
        <f>'PENULISAN LAPORAN'!N61</f>
        <v>0</v>
      </c>
      <c r="N62" s="27">
        <v>0.0</v>
      </c>
      <c r="O62" s="27">
        <v>0.0</v>
      </c>
      <c r="P62" s="27">
        <v>0.0</v>
      </c>
      <c r="Q62" s="27">
        <v>0.0</v>
      </c>
      <c r="R62" s="27">
        <v>0.0</v>
      </c>
      <c r="S62" s="27">
        <v>0.0</v>
      </c>
      <c r="T62" s="27">
        <v>0.0</v>
      </c>
      <c r="U62" s="27">
        <v>0.0</v>
      </c>
      <c r="V62" s="28">
        <f t="shared" si="2"/>
        <v>0</v>
      </c>
      <c r="W62" s="63"/>
      <c r="X62" s="27">
        <v>0.0</v>
      </c>
      <c r="Y62" s="63"/>
      <c r="Z62" s="63"/>
      <c r="AA62" s="27">
        <v>0.0</v>
      </c>
      <c r="AB62" s="63"/>
      <c r="AC62" s="63"/>
      <c r="AD62" s="63"/>
      <c r="AE62" s="63">
        <f t="shared" si="3"/>
        <v>0</v>
      </c>
      <c r="AF62" s="62">
        <f>'KEMAMPUAN PRAKTIKUM'!H62</f>
        <v>0</v>
      </c>
      <c r="AG62" s="62">
        <f>'KEMAMPUAN PRAKTIKUM'!M62</f>
        <v>0</v>
      </c>
      <c r="AH62" s="62">
        <f>'KEMAMPUAN PRAKTIKUM'!R62</f>
        <v>0</v>
      </c>
      <c r="AI62" s="62">
        <f>'KEMAMPUAN PRAKTIKUM'!W62</f>
        <v>0</v>
      </c>
      <c r="AJ62" s="62">
        <f>'KEMAMPUAN PRAKTIKUM'!AB62</f>
        <v>30</v>
      </c>
      <c r="AK62" s="62">
        <f>'KEMAMPUAN PRAKTIKUM'!AG62</f>
        <v>0</v>
      </c>
      <c r="AL62" s="62">
        <f>'KEMAMPUAN PRAKTIKUM'!AL62</f>
        <v>0</v>
      </c>
      <c r="AM62" s="62">
        <f>'KEMAMPUAN PRAKTIKUM'!AQ62</f>
        <v>0</v>
      </c>
      <c r="AN62" s="28">
        <f t="shared" si="4"/>
        <v>3.75</v>
      </c>
    </row>
    <row r="63">
      <c r="A63" s="7">
        <f>'INPUT DAFTAR PESERTA'!A61</f>
        <v>58</v>
      </c>
      <c r="B63" s="25">
        <f>'INPUT DAFTAR PESERTA'!B61</f>
        <v>2509056047</v>
      </c>
      <c r="C63" s="26" t="str">
        <f>'INPUT DAFTAR PESERTA'!C61</f>
        <v>Oktovianus Sirante</v>
      </c>
      <c r="D63" s="27">
        <v>100.0</v>
      </c>
      <c r="E63" s="27">
        <v>100.0</v>
      </c>
      <c r="F63" s="27">
        <v>100.0</v>
      </c>
      <c r="G63" s="27">
        <v>100.0</v>
      </c>
      <c r="H63" s="27">
        <v>100.0</v>
      </c>
      <c r="I63" s="27">
        <v>100.0</v>
      </c>
      <c r="J63" s="27">
        <v>100.0</v>
      </c>
      <c r="K63" s="27">
        <v>100.0</v>
      </c>
      <c r="L63" s="70">
        <f t="shared" si="1"/>
        <v>100</v>
      </c>
      <c r="M63" s="28">
        <f>'PENULISAN LAPORAN'!N62</f>
        <v>77.125</v>
      </c>
      <c r="N63" s="27">
        <v>84.0</v>
      </c>
      <c r="O63" s="27">
        <v>84.0</v>
      </c>
      <c r="P63" s="27">
        <v>84.0</v>
      </c>
      <c r="Q63" s="27">
        <v>84.0</v>
      </c>
      <c r="R63" s="27">
        <v>84.0</v>
      </c>
      <c r="S63" s="27">
        <v>84.0</v>
      </c>
      <c r="T63" s="27">
        <v>84.0</v>
      </c>
      <c r="U63" s="27">
        <v>84.0</v>
      </c>
      <c r="V63" s="28">
        <f t="shared" si="2"/>
        <v>84</v>
      </c>
      <c r="W63" s="27">
        <v>70.0</v>
      </c>
      <c r="X63" s="27">
        <v>70.0</v>
      </c>
      <c r="Y63" s="27">
        <v>70.0</v>
      </c>
      <c r="Z63" s="27">
        <v>70.0</v>
      </c>
      <c r="AA63" s="27">
        <v>70.0</v>
      </c>
      <c r="AB63" s="27">
        <v>70.0</v>
      </c>
      <c r="AC63" s="27">
        <v>80.0</v>
      </c>
      <c r="AD63" s="27">
        <v>80.0</v>
      </c>
      <c r="AE63" s="63">
        <f t="shared" si="3"/>
        <v>72.5</v>
      </c>
      <c r="AF63" s="62">
        <f>'KEMAMPUAN PRAKTIKUM'!H63</f>
        <v>57</v>
      </c>
      <c r="AG63" s="62">
        <f>'KEMAMPUAN PRAKTIKUM'!M63</f>
        <v>60</v>
      </c>
      <c r="AH63" s="62">
        <f>'KEMAMPUAN PRAKTIKUM'!R63</f>
        <v>75</v>
      </c>
      <c r="AI63" s="62">
        <f>'KEMAMPUAN PRAKTIKUM'!W63</f>
        <v>90</v>
      </c>
      <c r="AJ63" s="62">
        <f>'KEMAMPUAN PRAKTIKUM'!AB63</f>
        <v>90</v>
      </c>
      <c r="AK63" s="62">
        <f>'KEMAMPUAN PRAKTIKUM'!AG63</f>
        <v>63</v>
      </c>
      <c r="AL63" s="62">
        <f>'KEMAMPUAN PRAKTIKUM'!AL63</f>
        <v>87</v>
      </c>
      <c r="AM63" s="62">
        <f>'KEMAMPUAN PRAKTIKUM'!AQ63</f>
        <v>60</v>
      </c>
      <c r="AN63" s="28">
        <f t="shared" si="4"/>
        <v>72.75</v>
      </c>
    </row>
    <row r="64">
      <c r="A64" s="7">
        <f>'INPUT DAFTAR PESERTA'!A62</f>
        <v>59</v>
      </c>
      <c r="B64" s="25">
        <f>'INPUT DAFTAR PESERTA'!B62</f>
        <v>2509056048</v>
      </c>
      <c r="C64" s="26" t="str">
        <f>'INPUT DAFTAR PESERTA'!C62</f>
        <v>Cristover Rafael Milang</v>
      </c>
      <c r="D64" s="63"/>
      <c r="E64" s="27">
        <v>0.0</v>
      </c>
      <c r="F64" s="63"/>
      <c r="G64" s="63"/>
      <c r="H64" s="27">
        <v>0.0</v>
      </c>
      <c r="I64" s="27">
        <v>0.0</v>
      </c>
      <c r="J64" s="63"/>
      <c r="K64" s="63"/>
      <c r="L64" s="70">
        <f t="shared" si="1"/>
        <v>0</v>
      </c>
      <c r="M64" s="28">
        <f>'PENULISAN LAPORAN'!N63</f>
        <v>0</v>
      </c>
      <c r="N64" s="27">
        <v>0.0</v>
      </c>
      <c r="O64" s="27">
        <v>0.0</v>
      </c>
      <c r="P64" s="27">
        <v>0.0</v>
      </c>
      <c r="Q64" s="27">
        <v>0.0</v>
      </c>
      <c r="R64" s="27">
        <v>0.0</v>
      </c>
      <c r="S64" s="27">
        <v>0.0</v>
      </c>
      <c r="T64" s="27">
        <v>0.0</v>
      </c>
      <c r="U64" s="27">
        <v>0.0</v>
      </c>
      <c r="V64" s="28">
        <f t="shared" si="2"/>
        <v>0</v>
      </c>
      <c r="W64" s="63"/>
      <c r="X64" s="27">
        <v>0.0</v>
      </c>
      <c r="Y64" s="63"/>
      <c r="Z64" s="63"/>
      <c r="AA64" s="27">
        <v>0.0</v>
      </c>
      <c r="AB64" s="63"/>
      <c r="AC64" s="63"/>
      <c r="AD64" s="63"/>
      <c r="AE64" s="63">
        <f t="shared" si="3"/>
        <v>0</v>
      </c>
      <c r="AF64" s="62">
        <f>'KEMAMPUAN PRAKTIKUM'!H64</f>
        <v>0</v>
      </c>
      <c r="AG64" s="62">
        <f>'KEMAMPUAN PRAKTIKUM'!M64</f>
        <v>0</v>
      </c>
      <c r="AH64" s="62">
        <f>'KEMAMPUAN PRAKTIKUM'!R64</f>
        <v>0</v>
      </c>
      <c r="AI64" s="62">
        <f>'KEMAMPUAN PRAKTIKUM'!W64</f>
        <v>0</v>
      </c>
      <c r="AJ64" s="62">
        <f>'KEMAMPUAN PRAKTIKUM'!AB64</f>
        <v>30</v>
      </c>
      <c r="AK64" s="62">
        <f>'KEMAMPUAN PRAKTIKUM'!AG64</f>
        <v>0</v>
      </c>
      <c r="AL64" s="62">
        <f>'KEMAMPUAN PRAKTIKUM'!AL64</f>
        <v>0</v>
      </c>
      <c r="AM64" s="62">
        <f>'KEMAMPUAN PRAKTIKUM'!AQ64</f>
        <v>0</v>
      </c>
      <c r="AN64" s="28">
        <f t="shared" si="4"/>
        <v>3.75</v>
      </c>
    </row>
    <row r="65">
      <c r="A65" s="7">
        <f>'INPUT DAFTAR PESERTA'!A63</f>
        <v>60</v>
      </c>
      <c r="B65" s="25">
        <f>'INPUT DAFTAR PESERTA'!B63</f>
        <v>2509056049</v>
      </c>
      <c r="C65" s="26" t="str">
        <f>'INPUT DAFTAR PESERTA'!C63</f>
        <v>Kevin Angeliano Jonathan</v>
      </c>
      <c r="D65" s="63"/>
      <c r="E65" s="27">
        <v>100.0</v>
      </c>
      <c r="F65" s="27">
        <v>100.0</v>
      </c>
      <c r="G65" s="27">
        <v>100.0</v>
      </c>
      <c r="H65" s="27">
        <v>100.0</v>
      </c>
      <c r="I65" s="27">
        <v>100.0</v>
      </c>
      <c r="J65" s="27">
        <v>100.0</v>
      </c>
      <c r="K65" s="27">
        <v>100.0</v>
      </c>
      <c r="L65" s="70">
        <f t="shared" si="1"/>
        <v>87.5</v>
      </c>
      <c r="M65" s="28">
        <f>'PENULISAN LAPORAN'!N64</f>
        <v>60.375</v>
      </c>
      <c r="N65" s="27">
        <v>92.0</v>
      </c>
      <c r="O65" s="27">
        <v>92.0</v>
      </c>
      <c r="P65" s="27">
        <v>92.0</v>
      </c>
      <c r="Q65" s="27">
        <v>92.0</v>
      </c>
      <c r="R65" s="27">
        <v>92.0</v>
      </c>
      <c r="S65" s="27">
        <v>92.0</v>
      </c>
      <c r="T65" s="27">
        <v>92.0</v>
      </c>
      <c r="U65" s="27">
        <v>92.0</v>
      </c>
      <c r="V65" s="28">
        <f t="shared" si="2"/>
        <v>92</v>
      </c>
      <c r="W65" s="27">
        <v>80.0</v>
      </c>
      <c r="X65" s="27">
        <v>60.0</v>
      </c>
      <c r="Y65" s="27">
        <v>70.0</v>
      </c>
      <c r="Z65" s="27">
        <v>70.0</v>
      </c>
      <c r="AA65" s="27">
        <v>80.0</v>
      </c>
      <c r="AB65" s="27">
        <v>70.0</v>
      </c>
      <c r="AC65" s="63"/>
      <c r="AD65" s="27">
        <v>80.0</v>
      </c>
      <c r="AE65" s="63">
        <f t="shared" si="3"/>
        <v>63.75</v>
      </c>
      <c r="AF65" s="62">
        <f>'KEMAMPUAN PRAKTIKUM'!H65</f>
        <v>54</v>
      </c>
      <c r="AG65" s="62">
        <f>'KEMAMPUAN PRAKTIKUM'!M65</f>
        <v>60</v>
      </c>
      <c r="AH65" s="62">
        <f>'KEMAMPUAN PRAKTIKUM'!R65</f>
        <v>60</v>
      </c>
      <c r="AI65" s="62">
        <f>'KEMAMPUAN PRAKTIKUM'!W65</f>
        <v>90</v>
      </c>
      <c r="AJ65" s="62">
        <f>'KEMAMPUAN PRAKTIKUM'!AB65</f>
        <v>78</v>
      </c>
      <c r="AK65" s="62">
        <f>'KEMAMPUAN PRAKTIKUM'!AG65</f>
        <v>63</v>
      </c>
      <c r="AL65" s="62">
        <f>'KEMAMPUAN PRAKTIKUM'!AL65</f>
        <v>72</v>
      </c>
      <c r="AM65" s="62">
        <f>'KEMAMPUAN PRAKTIKUM'!AQ65</f>
        <v>57</v>
      </c>
      <c r="AN65" s="28">
        <f t="shared" si="4"/>
        <v>66.75</v>
      </c>
    </row>
    <row r="66">
      <c r="A66" s="7">
        <f>'INPUT DAFTAR PESERTA'!A64</f>
        <v>61</v>
      </c>
      <c r="B66" s="25">
        <f>'INPUT DAFTAR PESERTA'!B64</f>
        <v>2509056050</v>
      </c>
      <c r="C66" s="26" t="str">
        <f>'INPUT DAFTAR PESERTA'!C64</f>
        <v>Fajar Arif Suyanto</v>
      </c>
      <c r="D66" s="27">
        <v>100.0</v>
      </c>
      <c r="E66" s="27">
        <v>0.0</v>
      </c>
      <c r="F66" s="63"/>
      <c r="G66" s="63"/>
      <c r="H66" s="27">
        <v>100.0</v>
      </c>
      <c r="I66" s="27">
        <v>100.0</v>
      </c>
      <c r="J66" s="27">
        <v>100.0</v>
      </c>
      <c r="K66" s="63"/>
      <c r="L66" s="70">
        <f t="shared" si="1"/>
        <v>50</v>
      </c>
      <c r="M66" s="28">
        <f>'PENULISAN LAPORAN'!N65</f>
        <v>12.1875</v>
      </c>
      <c r="N66" s="27">
        <v>96.0</v>
      </c>
      <c r="O66" s="27">
        <v>96.0</v>
      </c>
      <c r="P66" s="27">
        <v>96.0</v>
      </c>
      <c r="Q66" s="27">
        <v>96.0</v>
      </c>
      <c r="R66" s="27">
        <v>96.0</v>
      </c>
      <c r="S66" s="27">
        <v>96.0</v>
      </c>
      <c r="T66" s="27">
        <v>96.0</v>
      </c>
      <c r="U66" s="27">
        <v>96.0</v>
      </c>
      <c r="V66" s="28">
        <f t="shared" si="2"/>
        <v>96</v>
      </c>
      <c r="W66" s="63"/>
      <c r="X66" s="27">
        <v>0.0</v>
      </c>
      <c r="Y66" s="63"/>
      <c r="Z66" s="63"/>
      <c r="AA66" s="27">
        <v>0.0</v>
      </c>
      <c r="AB66" s="63"/>
      <c r="AC66" s="63"/>
      <c r="AD66" s="63"/>
      <c r="AE66" s="63">
        <f t="shared" si="3"/>
        <v>0</v>
      </c>
      <c r="AF66" s="62">
        <f>'KEMAMPUAN PRAKTIKUM'!H66</f>
        <v>54</v>
      </c>
      <c r="AG66" s="62">
        <f>'KEMAMPUAN PRAKTIKUM'!M66</f>
        <v>0</v>
      </c>
      <c r="AH66" s="62">
        <f>'KEMAMPUAN PRAKTIKUM'!R66</f>
        <v>0</v>
      </c>
      <c r="AI66" s="62">
        <f>'KEMAMPUAN PRAKTIKUM'!W66</f>
        <v>0</v>
      </c>
      <c r="AJ66" s="62">
        <f>'KEMAMPUAN PRAKTIKUM'!AB66</f>
        <v>84</v>
      </c>
      <c r="AK66" s="62">
        <f>'KEMAMPUAN PRAKTIKUM'!AG66</f>
        <v>63</v>
      </c>
      <c r="AL66" s="62">
        <f>'KEMAMPUAN PRAKTIKUM'!AL66</f>
        <v>72</v>
      </c>
      <c r="AM66" s="62">
        <f>'KEMAMPUAN PRAKTIKUM'!AQ66</f>
        <v>0</v>
      </c>
      <c r="AN66" s="28">
        <f t="shared" si="4"/>
        <v>34.125</v>
      </c>
    </row>
    <row r="67">
      <c r="A67" s="7">
        <f>'INPUT DAFTAR PESERTA'!A65</f>
        <v>62</v>
      </c>
      <c r="B67" s="25">
        <f>'INPUT DAFTAR PESERTA'!B65</f>
        <v>2509056051</v>
      </c>
      <c r="C67" s="26" t="str">
        <f>'INPUT DAFTAR PESERTA'!C65</f>
        <v>Satria Rizla Marlanata</v>
      </c>
      <c r="D67" s="27">
        <v>100.0</v>
      </c>
      <c r="E67" s="27">
        <v>100.0</v>
      </c>
      <c r="F67" s="27">
        <v>100.0</v>
      </c>
      <c r="G67" s="27">
        <v>80.0</v>
      </c>
      <c r="H67" s="27">
        <v>100.0</v>
      </c>
      <c r="I67" s="27">
        <v>100.0</v>
      </c>
      <c r="J67" s="27">
        <v>100.0</v>
      </c>
      <c r="K67" s="27">
        <v>100.0</v>
      </c>
      <c r="L67" s="70">
        <f t="shared" si="1"/>
        <v>97.5</v>
      </c>
      <c r="M67" s="28">
        <f>'PENULISAN LAPORAN'!N66</f>
        <v>79.4375</v>
      </c>
      <c r="N67" s="27">
        <v>86.0</v>
      </c>
      <c r="O67" s="27">
        <v>86.0</v>
      </c>
      <c r="P67" s="27">
        <v>86.0</v>
      </c>
      <c r="Q67" s="27">
        <v>86.0</v>
      </c>
      <c r="R67" s="27">
        <v>86.0</v>
      </c>
      <c r="S67" s="27">
        <v>86.0</v>
      </c>
      <c r="T67" s="27">
        <v>86.0</v>
      </c>
      <c r="U67" s="27">
        <v>86.0</v>
      </c>
      <c r="V67" s="28">
        <f t="shared" si="2"/>
        <v>86</v>
      </c>
      <c r="W67" s="27">
        <v>70.0</v>
      </c>
      <c r="X67" s="27">
        <v>60.0</v>
      </c>
      <c r="Y67" s="27">
        <v>80.0</v>
      </c>
      <c r="Z67" s="27">
        <v>70.0</v>
      </c>
      <c r="AA67" s="27">
        <v>80.0</v>
      </c>
      <c r="AB67" s="63"/>
      <c r="AC67" s="27">
        <v>70.0</v>
      </c>
      <c r="AD67" s="27">
        <v>80.0</v>
      </c>
      <c r="AE67" s="63">
        <f t="shared" si="3"/>
        <v>63.75</v>
      </c>
      <c r="AF67" s="62">
        <f>'KEMAMPUAN PRAKTIKUM'!H67</f>
        <v>78</v>
      </c>
      <c r="AG67" s="62">
        <f>'KEMAMPUAN PRAKTIKUM'!M67</f>
        <v>90</v>
      </c>
      <c r="AH67" s="62">
        <f>'KEMAMPUAN PRAKTIKUM'!R67</f>
        <v>90</v>
      </c>
      <c r="AI67" s="62">
        <f>'KEMAMPUAN PRAKTIKUM'!W67</f>
        <v>66</v>
      </c>
      <c r="AJ67" s="62">
        <f>'KEMAMPUAN PRAKTIKUM'!AB67</f>
        <v>75</v>
      </c>
      <c r="AK67" s="62">
        <f>'KEMAMPUAN PRAKTIKUM'!AG67</f>
        <v>63</v>
      </c>
      <c r="AL67" s="62">
        <f>'KEMAMPUAN PRAKTIKUM'!AL67</f>
        <v>87</v>
      </c>
      <c r="AM67" s="62">
        <f>'KEMAMPUAN PRAKTIKUM'!AQ67</f>
        <v>57</v>
      </c>
      <c r="AN67" s="28">
        <f t="shared" si="4"/>
        <v>75.75</v>
      </c>
    </row>
    <row r="68">
      <c r="A68" s="7">
        <f>'INPUT DAFTAR PESERTA'!A66</f>
        <v>63</v>
      </c>
      <c r="B68" s="25">
        <f>'INPUT DAFTAR PESERTA'!B66</f>
        <v>2509056052</v>
      </c>
      <c r="C68" s="26" t="str">
        <f>'INPUT DAFTAR PESERTA'!C66</f>
        <v>Aulya Azhari</v>
      </c>
      <c r="D68" s="63"/>
      <c r="E68" s="27">
        <v>0.0</v>
      </c>
      <c r="F68" s="63"/>
      <c r="G68" s="63"/>
      <c r="H68" s="27">
        <v>100.0</v>
      </c>
      <c r="I68" s="27">
        <v>100.0</v>
      </c>
      <c r="J68" s="27">
        <v>100.0</v>
      </c>
      <c r="K68" s="63"/>
      <c r="L68" s="70">
        <f t="shared" si="1"/>
        <v>37.5</v>
      </c>
      <c r="M68" s="28">
        <f>'PENULISAN LAPORAN'!N67</f>
        <v>10.75</v>
      </c>
      <c r="N68" s="27">
        <v>68.0</v>
      </c>
      <c r="O68" s="27">
        <v>68.0</v>
      </c>
      <c r="P68" s="27">
        <v>68.0</v>
      </c>
      <c r="Q68" s="27">
        <v>68.0</v>
      </c>
      <c r="R68" s="27">
        <v>68.0</v>
      </c>
      <c r="S68" s="27">
        <v>68.0</v>
      </c>
      <c r="T68" s="27">
        <v>68.0</v>
      </c>
      <c r="U68" s="27">
        <v>68.0</v>
      </c>
      <c r="V68" s="28">
        <f t="shared" si="2"/>
        <v>68</v>
      </c>
      <c r="W68" s="63"/>
      <c r="X68" s="27">
        <v>0.0</v>
      </c>
      <c r="Y68" s="63"/>
      <c r="Z68" s="63"/>
      <c r="AA68" s="27">
        <v>0.0</v>
      </c>
      <c r="AB68" s="63"/>
      <c r="AC68" s="63"/>
      <c r="AD68" s="63"/>
      <c r="AE68" s="63">
        <f t="shared" si="3"/>
        <v>0</v>
      </c>
      <c r="AF68" s="62">
        <f>'KEMAMPUAN PRAKTIKUM'!H68</f>
        <v>0</v>
      </c>
      <c r="AG68" s="62">
        <f>'KEMAMPUAN PRAKTIKUM'!M68</f>
        <v>0</v>
      </c>
      <c r="AH68" s="62">
        <f>'KEMAMPUAN PRAKTIKUM'!R68</f>
        <v>0</v>
      </c>
      <c r="AI68" s="62">
        <f>'KEMAMPUAN PRAKTIKUM'!W68</f>
        <v>0</v>
      </c>
      <c r="AJ68" s="62">
        <f>'KEMAMPUAN PRAKTIKUM'!AB68</f>
        <v>75</v>
      </c>
      <c r="AK68" s="62">
        <f>'KEMAMPUAN PRAKTIKUM'!AG68</f>
        <v>63</v>
      </c>
      <c r="AL68" s="62">
        <f>'KEMAMPUAN PRAKTIKUM'!AL68</f>
        <v>87</v>
      </c>
      <c r="AM68" s="62">
        <f>'KEMAMPUAN PRAKTIKUM'!AQ68</f>
        <v>0</v>
      </c>
      <c r="AN68" s="28">
        <f t="shared" si="4"/>
        <v>28.125</v>
      </c>
    </row>
    <row r="69">
      <c r="A69" s="7">
        <f>'INPUT DAFTAR PESERTA'!A67</f>
        <v>64</v>
      </c>
      <c r="B69" s="25">
        <f>'INPUT DAFTAR PESERTA'!B67</f>
        <v>2509056053</v>
      </c>
      <c r="C69" s="26" t="str">
        <f>'INPUT DAFTAR PESERTA'!C67</f>
        <v>Muhammad Farrel Ardiano</v>
      </c>
      <c r="D69" s="27">
        <v>100.0</v>
      </c>
      <c r="E69" s="27">
        <v>100.0</v>
      </c>
      <c r="F69" s="27">
        <v>100.0</v>
      </c>
      <c r="G69" s="27">
        <v>80.0</v>
      </c>
      <c r="H69" s="27">
        <v>100.0</v>
      </c>
      <c r="I69" s="27">
        <v>100.0</v>
      </c>
      <c r="J69" s="27">
        <v>100.0</v>
      </c>
      <c r="K69" s="27">
        <v>100.0</v>
      </c>
      <c r="L69" s="70">
        <f t="shared" si="1"/>
        <v>97.5</v>
      </c>
      <c r="M69" s="28">
        <f>'PENULISAN LAPORAN'!N68</f>
        <v>71.4375</v>
      </c>
      <c r="N69" s="27">
        <v>96.0</v>
      </c>
      <c r="O69" s="27">
        <v>96.0</v>
      </c>
      <c r="P69" s="27">
        <v>96.0</v>
      </c>
      <c r="Q69" s="27">
        <v>96.0</v>
      </c>
      <c r="R69" s="27">
        <v>96.0</v>
      </c>
      <c r="S69" s="27">
        <v>96.0</v>
      </c>
      <c r="T69" s="27">
        <v>96.0</v>
      </c>
      <c r="U69" s="27">
        <v>96.0</v>
      </c>
      <c r="V69" s="28">
        <f t="shared" si="2"/>
        <v>96</v>
      </c>
      <c r="W69" s="27">
        <v>70.0</v>
      </c>
      <c r="X69" s="27">
        <v>70.0</v>
      </c>
      <c r="Y69" s="27">
        <v>70.0</v>
      </c>
      <c r="Z69" s="27">
        <v>70.0</v>
      </c>
      <c r="AA69" s="27">
        <v>80.0</v>
      </c>
      <c r="AB69" s="27">
        <v>80.0</v>
      </c>
      <c r="AC69" s="27">
        <v>80.0</v>
      </c>
      <c r="AD69" s="27">
        <v>80.0</v>
      </c>
      <c r="AE69" s="63">
        <f t="shared" si="3"/>
        <v>75</v>
      </c>
      <c r="AF69" s="62">
        <f>'KEMAMPUAN PRAKTIKUM'!H69</f>
        <v>57</v>
      </c>
      <c r="AG69" s="62">
        <f>'KEMAMPUAN PRAKTIKUM'!M69</f>
        <v>60</v>
      </c>
      <c r="AH69" s="62">
        <f>'KEMAMPUAN PRAKTIKUM'!R69</f>
        <v>72</v>
      </c>
      <c r="AI69" s="62">
        <f>'KEMAMPUAN PRAKTIKUM'!W69</f>
        <v>51</v>
      </c>
      <c r="AJ69" s="62">
        <f>'KEMAMPUAN PRAKTIKUM'!AB69</f>
        <v>90</v>
      </c>
      <c r="AK69" s="62">
        <f>'KEMAMPUAN PRAKTIKUM'!AG69</f>
        <v>63</v>
      </c>
      <c r="AL69" s="62">
        <f>'KEMAMPUAN PRAKTIKUM'!AL69</f>
        <v>87</v>
      </c>
      <c r="AM69" s="62">
        <f>'KEMAMPUAN PRAKTIKUM'!AQ69</f>
        <v>75</v>
      </c>
      <c r="AN69" s="28">
        <f t="shared" si="4"/>
        <v>69.375</v>
      </c>
    </row>
    <row r="70">
      <c r="A70" s="7">
        <f>'INPUT DAFTAR PESERTA'!A68</f>
        <v>65</v>
      </c>
      <c r="B70" s="25">
        <f>'INPUT DAFTAR PESERTA'!B68</f>
        <v>2509056054</v>
      </c>
      <c r="C70" s="26" t="str">
        <f>'INPUT DAFTAR PESERTA'!C68</f>
        <v>Arlan Candra Antholyn</v>
      </c>
      <c r="D70" s="27">
        <v>100.0</v>
      </c>
      <c r="E70" s="27">
        <v>100.0</v>
      </c>
      <c r="F70" s="27">
        <v>100.0</v>
      </c>
      <c r="G70" s="27">
        <v>100.0</v>
      </c>
      <c r="H70" s="27">
        <v>100.0</v>
      </c>
      <c r="I70" s="27">
        <v>100.0</v>
      </c>
      <c r="J70" s="27">
        <v>100.0</v>
      </c>
      <c r="K70" s="27">
        <v>100.0</v>
      </c>
      <c r="L70" s="70">
        <f t="shared" si="1"/>
        <v>100</v>
      </c>
      <c r="M70" s="28">
        <f>'PENULISAN LAPORAN'!N69</f>
        <v>67.75</v>
      </c>
      <c r="N70" s="27">
        <v>0.0</v>
      </c>
      <c r="O70" s="27">
        <v>0.0</v>
      </c>
      <c r="P70" s="27">
        <v>0.0</v>
      </c>
      <c r="Q70" s="27">
        <v>0.0</v>
      </c>
      <c r="R70" s="27">
        <v>0.0</v>
      </c>
      <c r="S70" s="27">
        <v>0.0</v>
      </c>
      <c r="T70" s="27">
        <v>0.0</v>
      </c>
      <c r="U70" s="27">
        <v>0.0</v>
      </c>
      <c r="V70" s="28">
        <f t="shared" si="2"/>
        <v>0</v>
      </c>
      <c r="W70" s="27">
        <v>70.0</v>
      </c>
      <c r="X70" s="27">
        <v>70.0</v>
      </c>
      <c r="Y70" s="27">
        <v>80.0</v>
      </c>
      <c r="Z70" s="27">
        <v>70.0</v>
      </c>
      <c r="AA70" s="27">
        <v>70.0</v>
      </c>
      <c r="AB70" s="27">
        <v>30.0</v>
      </c>
      <c r="AC70" s="27">
        <v>70.0</v>
      </c>
      <c r="AD70" s="27">
        <v>80.0</v>
      </c>
      <c r="AE70" s="63">
        <f t="shared" si="3"/>
        <v>67.5</v>
      </c>
      <c r="AF70" s="62">
        <f>'KEMAMPUAN PRAKTIKUM'!H70</f>
        <v>57</v>
      </c>
      <c r="AG70" s="62">
        <f>'KEMAMPUAN PRAKTIKUM'!M70</f>
        <v>60</v>
      </c>
      <c r="AH70" s="62">
        <f>'KEMAMPUAN PRAKTIKUM'!R70</f>
        <v>72</v>
      </c>
      <c r="AI70" s="62">
        <f>'KEMAMPUAN PRAKTIKUM'!W70</f>
        <v>60</v>
      </c>
      <c r="AJ70" s="62">
        <f>'KEMAMPUAN PRAKTIKUM'!AB70</f>
        <v>75</v>
      </c>
      <c r="AK70" s="62">
        <f>'KEMAMPUAN PRAKTIKUM'!AG70</f>
        <v>63</v>
      </c>
      <c r="AL70" s="62">
        <f>'KEMAMPUAN PRAKTIKUM'!AL70</f>
        <v>87</v>
      </c>
      <c r="AM70" s="62">
        <f>'KEMAMPUAN PRAKTIKUM'!AQ70</f>
        <v>57</v>
      </c>
      <c r="AN70" s="28">
        <f t="shared" si="4"/>
        <v>66.375</v>
      </c>
    </row>
    <row r="71">
      <c r="A71" s="7">
        <f>'INPUT DAFTAR PESERTA'!A69</f>
        <v>66</v>
      </c>
      <c r="B71" s="25">
        <f>'INPUT DAFTAR PESERTA'!B69</f>
        <v>2509056055</v>
      </c>
      <c r="C71" s="26" t="str">
        <f>'INPUT DAFTAR PESERTA'!C69</f>
        <v>Taufan Akbar Bunawan</v>
      </c>
      <c r="D71" s="27">
        <v>100.0</v>
      </c>
      <c r="E71" s="27">
        <v>100.0</v>
      </c>
      <c r="F71" s="27">
        <v>100.0</v>
      </c>
      <c r="G71" s="27">
        <v>100.0</v>
      </c>
      <c r="H71" s="27">
        <v>100.0</v>
      </c>
      <c r="I71" s="27">
        <v>100.0</v>
      </c>
      <c r="J71" s="27">
        <v>100.0</v>
      </c>
      <c r="K71" s="27">
        <v>100.0</v>
      </c>
      <c r="L71" s="70">
        <f t="shared" si="1"/>
        <v>100</v>
      </c>
      <c r="M71" s="28">
        <f>'PENULISAN LAPORAN'!N70</f>
        <v>46.1875</v>
      </c>
      <c r="N71" s="27">
        <v>90.0</v>
      </c>
      <c r="O71" s="27">
        <v>90.0</v>
      </c>
      <c r="P71" s="27">
        <v>90.0</v>
      </c>
      <c r="Q71" s="27">
        <v>90.0</v>
      </c>
      <c r="R71" s="27">
        <v>90.0</v>
      </c>
      <c r="S71" s="27">
        <v>90.0</v>
      </c>
      <c r="T71" s="27">
        <v>90.0</v>
      </c>
      <c r="U71" s="27">
        <v>90.0</v>
      </c>
      <c r="V71" s="28">
        <f t="shared" si="2"/>
        <v>90</v>
      </c>
      <c r="W71" s="27">
        <v>60.0</v>
      </c>
      <c r="X71" s="27">
        <v>60.0</v>
      </c>
      <c r="Y71" s="27">
        <v>70.0</v>
      </c>
      <c r="Z71" s="27">
        <v>70.0</v>
      </c>
      <c r="AA71" s="27">
        <v>80.0</v>
      </c>
      <c r="AB71" s="27">
        <v>80.0</v>
      </c>
      <c r="AC71" s="27">
        <v>80.0</v>
      </c>
      <c r="AD71" s="27">
        <v>80.0</v>
      </c>
      <c r="AE71" s="63">
        <f t="shared" si="3"/>
        <v>72.5</v>
      </c>
      <c r="AF71" s="62">
        <f>'KEMAMPUAN PRAKTIKUM'!H71</f>
        <v>60</v>
      </c>
      <c r="AG71" s="62">
        <f>'KEMAMPUAN PRAKTIKUM'!M71</f>
        <v>57</v>
      </c>
      <c r="AH71" s="62">
        <f>'KEMAMPUAN PRAKTIKUM'!R71</f>
        <v>72</v>
      </c>
      <c r="AI71" s="62">
        <f>'KEMAMPUAN PRAKTIKUM'!W71</f>
        <v>45</v>
      </c>
      <c r="AJ71" s="62">
        <f>'KEMAMPUAN PRAKTIKUM'!AB71</f>
        <v>57</v>
      </c>
      <c r="AK71" s="62">
        <f>'KEMAMPUAN PRAKTIKUM'!AG71</f>
        <v>63</v>
      </c>
      <c r="AL71" s="62">
        <f>'KEMAMPUAN PRAKTIKUM'!AL71</f>
        <v>51</v>
      </c>
      <c r="AM71" s="62">
        <f>'KEMAMPUAN PRAKTIKUM'!AQ71</f>
        <v>72</v>
      </c>
      <c r="AN71" s="28">
        <f t="shared" si="4"/>
        <v>59.625</v>
      </c>
    </row>
    <row r="72">
      <c r="A72" s="7">
        <f>'INPUT DAFTAR PESERTA'!A70</f>
        <v>67</v>
      </c>
      <c r="B72" s="25">
        <f>'INPUT DAFTAR PESERTA'!B70</f>
        <v>2509056056</v>
      </c>
      <c r="C72" s="26" t="str">
        <f>'INPUT DAFTAR PESERTA'!C70</f>
        <v>Mario Wildhan Wibisono</v>
      </c>
      <c r="D72" s="63"/>
      <c r="E72" s="27">
        <v>0.0</v>
      </c>
      <c r="F72" s="63"/>
      <c r="G72" s="63"/>
      <c r="H72" s="27">
        <v>0.0</v>
      </c>
      <c r="I72" s="27">
        <v>0.0</v>
      </c>
      <c r="J72" s="63"/>
      <c r="K72" s="63"/>
      <c r="L72" s="70">
        <f t="shared" si="1"/>
        <v>0</v>
      </c>
      <c r="M72" s="28">
        <f>'PENULISAN LAPORAN'!N71</f>
        <v>0</v>
      </c>
      <c r="N72" s="27">
        <v>92.0</v>
      </c>
      <c r="O72" s="27">
        <v>92.0</v>
      </c>
      <c r="P72" s="27">
        <v>92.0</v>
      </c>
      <c r="Q72" s="27">
        <v>92.0</v>
      </c>
      <c r="R72" s="27">
        <v>92.0</v>
      </c>
      <c r="S72" s="27">
        <v>92.0</v>
      </c>
      <c r="T72" s="27">
        <v>92.0</v>
      </c>
      <c r="U72" s="27">
        <v>92.0</v>
      </c>
      <c r="V72" s="28">
        <f t="shared" si="2"/>
        <v>92</v>
      </c>
      <c r="W72" s="63"/>
      <c r="X72" s="27">
        <v>0.0</v>
      </c>
      <c r="Y72" s="63"/>
      <c r="Z72" s="63"/>
      <c r="AA72" s="27">
        <v>0.0</v>
      </c>
      <c r="AB72" s="63"/>
      <c r="AC72" s="63"/>
      <c r="AD72" s="63"/>
      <c r="AE72" s="63">
        <f t="shared" si="3"/>
        <v>0</v>
      </c>
      <c r="AF72" s="62">
        <f>'KEMAMPUAN PRAKTIKUM'!H72</f>
        <v>0</v>
      </c>
      <c r="AG72" s="62">
        <f>'KEMAMPUAN PRAKTIKUM'!M72</f>
        <v>0</v>
      </c>
      <c r="AH72" s="62">
        <f>'KEMAMPUAN PRAKTIKUM'!R72</f>
        <v>0</v>
      </c>
      <c r="AI72" s="62">
        <f>'KEMAMPUAN PRAKTIKUM'!W72</f>
        <v>0</v>
      </c>
      <c r="AJ72" s="62">
        <f>'KEMAMPUAN PRAKTIKUM'!AB72</f>
        <v>30</v>
      </c>
      <c r="AK72" s="62">
        <f>'KEMAMPUAN PRAKTIKUM'!AG72</f>
        <v>0</v>
      </c>
      <c r="AL72" s="62">
        <f>'KEMAMPUAN PRAKTIKUM'!AL72</f>
        <v>0</v>
      </c>
      <c r="AM72" s="62">
        <f>'KEMAMPUAN PRAKTIKUM'!AQ72</f>
        <v>0</v>
      </c>
      <c r="AN72" s="28">
        <f t="shared" si="4"/>
        <v>3.75</v>
      </c>
    </row>
    <row r="73">
      <c r="A73" s="7">
        <f>'INPUT DAFTAR PESERTA'!A71</f>
        <v>68</v>
      </c>
      <c r="B73" s="25">
        <f>'INPUT DAFTAR PESERTA'!B71</f>
        <v>2509056057</v>
      </c>
      <c r="C73" s="26" t="str">
        <f>'INPUT DAFTAR PESERTA'!C71</f>
        <v>Immanuel Wisnu Siahaan</v>
      </c>
      <c r="D73" s="27">
        <v>100.0</v>
      </c>
      <c r="E73" s="27">
        <v>100.0</v>
      </c>
      <c r="F73" s="27">
        <v>100.0</v>
      </c>
      <c r="G73" s="27">
        <v>100.0</v>
      </c>
      <c r="H73" s="27">
        <v>100.0</v>
      </c>
      <c r="I73" s="27">
        <v>100.0</v>
      </c>
      <c r="J73" s="27">
        <v>100.0</v>
      </c>
      <c r="K73" s="27">
        <v>100.0</v>
      </c>
      <c r="L73" s="70">
        <f t="shared" si="1"/>
        <v>100</v>
      </c>
      <c r="M73" s="28">
        <f>'PENULISAN LAPORAN'!N72</f>
        <v>92.8125</v>
      </c>
      <c r="N73" s="27">
        <v>94.0</v>
      </c>
      <c r="O73" s="27">
        <v>94.0</v>
      </c>
      <c r="P73" s="27">
        <v>94.0</v>
      </c>
      <c r="Q73" s="27">
        <v>94.0</v>
      </c>
      <c r="R73" s="27">
        <v>94.0</v>
      </c>
      <c r="S73" s="27">
        <v>94.0</v>
      </c>
      <c r="T73" s="27">
        <v>94.0</v>
      </c>
      <c r="U73" s="27">
        <v>94.0</v>
      </c>
      <c r="V73" s="28">
        <f t="shared" si="2"/>
        <v>94</v>
      </c>
      <c r="W73" s="27">
        <v>80.0</v>
      </c>
      <c r="X73" s="27">
        <v>80.0</v>
      </c>
      <c r="Y73" s="27">
        <v>80.0</v>
      </c>
      <c r="Z73" s="27">
        <v>70.0</v>
      </c>
      <c r="AA73" s="27">
        <v>80.0</v>
      </c>
      <c r="AB73" s="27">
        <v>80.0</v>
      </c>
      <c r="AC73" s="27">
        <v>80.0</v>
      </c>
      <c r="AD73" s="27">
        <v>80.0</v>
      </c>
      <c r="AE73" s="63">
        <f t="shared" si="3"/>
        <v>78.75</v>
      </c>
      <c r="AF73" s="62">
        <f>'KEMAMPUAN PRAKTIKUM'!H73</f>
        <v>90</v>
      </c>
      <c r="AG73" s="62">
        <f>'KEMAMPUAN PRAKTIKUM'!M73</f>
        <v>90</v>
      </c>
      <c r="AH73" s="62">
        <f>'KEMAMPUAN PRAKTIKUM'!R73</f>
        <v>90</v>
      </c>
      <c r="AI73" s="62">
        <f>'KEMAMPUAN PRAKTIKUM'!W73</f>
        <v>75</v>
      </c>
      <c r="AJ73" s="62">
        <f>'KEMAMPUAN PRAKTIKUM'!AB73</f>
        <v>87</v>
      </c>
      <c r="AK73" s="62">
        <f>'KEMAMPUAN PRAKTIKUM'!AG73</f>
        <v>78</v>
      </c>
      <c r="AL73" s="62">
        <f>'KEMAMPUAN PRAKTIKUM'!AL73</f>
        <v>87</v>
      </c>
      <c r="AM73" s="62">
        <f>'KEMAMPUAN PRAKTIKUM'!AQ73</f>
        <v>90</v>
      </c>
      <c r="AN73" s="28">
        <f t="shared" si="4"/>
        <v>85.875</v>
      </c>
    </row>
    <row r="74">
      <c r="A74" s="7">
        <f>'INPUT DAFTAR PESERTA'!A72</f>
        <v>69</v>
      </c>
      <c r="B74" s="25">
        <f>'INPUT DAFTAR PESERTA'!B72</f>
        <v>2509056058</v>
      </c>
      <c r="C74" s="26" t="str">
        <f>'INPUT DAFTAR PESERTA'!C72</f>
        <v>Hebron Ketter Pagalla'</v>
      </c>
      <c r="D74" s="63"/>
      <c r="E74" s="27">
        <v>100.0</v>
      </c>
      <c r="F74" s="27">
        <v>100.0</v>
      </c>
      <c r="G74" s="27">
        <v>100.0</v>
      </c>
      <c r="H74" s="27">
        <v>100.0</v>
      </c>
      <c r="I74" s="27">
        <v>100.0</v>
      </c>
      <c r="J74" s="27">
        <v>100.0</v>
      </c>
      <c r="K74" s="27">
        <v>100.0</v>
      </c>
      <c r="L74" s="70">
        <f t="shared" si="1"/>
        <v>87.5</v>
      </c>
      <c r="M74" s="28">
        <f>'PENULISAN LAPORAN'!N73</f>
        <v>33.6875</v>
      </c>
      <c r="N74" s="27">
        <v>0.0</v>
      </c>
      <c r="O74" s="27">
        <v>0.0</v>
      </c>
      <c r="P74" s="27">
        <v>0.0</v>
      </c>
      <c r="Q74" s="27">
        <v>0.0</v>
      </c>
      <c r="R74" s="27">
        <v>0.0</v>
      </c>
      <c r="S74" s="27">
        <v>0.0</v>
      </c>
      <c r="T74" s="27">
        <v>0.0</v>
      </c>
      <c r="U74" s="27">
        <v>0.0</v>
      </c>
      <c r="V74" s="28">
        <f t="shared" si="2"/>
        <v>0</v>
      </c>
      <c r="W74" s="27">
        <v>70.0</v>
      </c>
      <c r="X74" s="27">
        <v>30.0</v>
      </c>
      <c r="Y74" s="27">
        <v>30.0</v>
      </c>
      <c r="Z74" s="27">
        <v>30.0</v>
      </c>
      <c r="AA74" s="27">
        <v>60.0</v>
      </c>
      <c r="AB74" s="27">
        <v>0.0</v>
      </c>
      <c r="AC74" s="27">
        <v>30.0</v>
      </c>
      <c r="AD74" s="27">
        <v>30.0</v>
      </c>
      <c r="AE74" s="63">
        <f t="shared" si="3"/>
        <v>35</v>
      </c>
      <c r="AF74" s="62">
        <f>'KEMAMPUAN PRAKTIKUM'!H74</f>
        <v>45</v>
      </c>
      <c r="AG74" s="62">
        <f>'KEMAMPUAN PRAKTIKUM'!M74</f>
        <v>51</v>
      </c>
      <c r="AH74" s="62">
        <f>'KEMAMPUAN PRAKTIKUM'!R74</f>
        <v>51</v>
      </c>
      <c r="AI74" s="62">
        <f>'KEMAMPUAN PRAKTIKUM'!W74</f>
        <v>60</v>
      </c>
      <c r="AJ74" s="62">
        <f>'KEMAMPUAN PRAKTIKUM'!AB74</f>
        <v>60</v>
      </c>
      <c r="AK74" s="62">
        <f>'KEMAMPUAN PRAKTIKUM'!AG74</f>
        <v>0</v>
      </c>
      <c r="AL74" s="62">
        <f>'KEMAMPUAN PRAKTIKUM'!AL74</f>
        <v>57</v>
      </c>
      <c r="AM74" s="62">
        <f>'KEMAMPUAN PRAKTIKUM'!AQ74</f>
        <v>75</v>
      </c>
      <c r="AN74" s="28">
        <f t="shared" si="4"/>
        <v>49.875</v>
      </c>
    </row>
    <row r="75">
      <c r="A75" s="7">
        <f>'INPUT DAFTAR PESERTA'!A73</f>
        <v>70</v>
      </c>
      <c r="B75" s="25">
        <f>'INPUT DAFTAR PESERTA'!B73</f>
        <v>2509056059</v>
      </c>
      <c r="C75" s="26" t="str">
        <f>'INPUT DAFTAR PESERTA'!C73</f>
        <v>Wildan Akmal Zaky</v>
      </c>
      <c r="D75" s="27">
        <v>100.0</v>
      </c>
      <c r="E75" s="27">
        <v>100.0</v>
      </c>
      <c r="F75" s="27">
        <v>100.0</v>
      </c>
      <c r="G75" s="27">
        <v>100.0</v>
      </c>
      <c r="H75" s="27">
        <v>100.0</v>
      </c>
      <c r="I75" s="27">
        <v>100.0</v>
      </c>
      <c r="J75" s="27">
        <v>100.0</v>
      </c>
      <c r="K75" s="27">
        <v>100.0</v>
      </c>
      <c r="L75" s="70">
        <f t="shared" si="1"/>
        <v>100</v>
      </c>
      <c r="M75" s="28">
        <f>'PENULISAN LAPORAN'!N74</f>
        <v>59.28125</v>
      </c>
      <c r="N75" s="27">
        <v>90.0</v>
      </c>
      <c r="O75" s="27">
        <v>90.0</v>
      </c>
      <c r="P75" s="27">
        <v>90.0</v>
      </c>
      <c r="Q75" s="27">
        <v>90.0</v>
      </c>
      <c r="R75" s="27">
        <v>90.0</v>
      </c>
      <c r="S75" s="27">
        <v>90.0</v>
      </c>
      <c r="T75" s="27">
        <v>90.0</v>
      </c>
      <c r="U75" s="27">
        <v>90.0</v>
      </c>
      <c r="V75" s="28">
        <f t="shared" si="2"/>
        <v>90</v>
      </c>
      <c r="W75" s="27">
        <v>70.0</v>
      </c>
      <c r="X75" s="27">
        <v>60.0</v>
      </c>
      <c r="Y75" s="27">
        <v>80.0</v>
      </c>
      <c r="Z75" s="27">
        <v>70.0</v>
      </c>
      <c r="AA75" s="27">
        <v>80.0</v>
      </c>
      <c r="AB75" s="27">
        <v>70.0</v>
      </c>
      <c r="AC75" s="27">
        <v>30.0</v>
      </c>
      <c r="AD75" s="27">
        <v>80.0</v>
      </c>
      <c r="AE75" s="63">
        <f t="shared" si="3"/>
        <v>67.5</v>
      </c>
      <c r="AF75" s="62">
        <f>'KEMAMPUAN PRAKTIKUM'!H75</f>
        <v>90</v>
      </c>
      <c r="AG75" s="62">
        <f>'KEMAMPUAN PRAKTIKUM'!M75</f>
        <v>75</v>
      </c>
      <c r="AH75" s="62">
        <f>'KEMAMPUAN PRAKTIKUM'!R75</f>
        <v>57</v>
      </c>
      <c r="AI75" s="62">
        <f>'KEMAMPUAN PRAKTIKUM'!W75</f>
        <v>72</v>
      </c>
      <c r="AJ75" s="62">
        <f>'KEMAMPUAN PRAKTIKUM'!AB75</f>
        <v>45</v>
      </c>
      <c r="AK75" s="62">
        <f>'KEMAMPUAN PRAKTIKUM'!AG75</f>
        <v>75</v>
      </c>
      <c r="AL75" s="62">
        <f>'KEMAMPUAN PRAKTIKUM'!AL75</f>
        <v>57</v>
      </c>
      <c r="AM75" s="62">
        <f>'KEMAMPUAN PRAKTIKUM'!AQ75</f>
        <v>57</v>
      </c>
      <c r="AN75" s="28">
        <f t="shared" si="4"/>
        <v>66</v>
      </c>
    </row>
    <row r="76">
      <c r="A76" s="7">
        <f>'INPUT DAFTAR PESERTA'!A74</f>
        <v>71</v>
      </c>
      <c r="B76" s="25">
        <f>'INPUT DAFTAR PESERTA'!B74</f>
        <v>2509056060</v>
      </c>
      <c r="C76" s="26" t="str">
        <f>'INPUT DAFTAR PESERTA'!C74</f>
        <v>Daglish Santos Peke Deku</v>
      </c>
      <c r="D76" s="63"/>
      <c r="E76" s="27">
        <v>0.0</v>
      </c>
      <c r="F76" s="63"/>
      <c r="G76" s="63"/>
      <c r="H76" s="27">
        <v>0.0</v>
      </c>
      <c r="I76" s="27">
        <v>0.0</v>
      </c>
      <c r="J76" s="63"/>
      <c r="K76" s="63"/>
      <c r="L76" s="70">
        <f t="shared" si="1"/>
        <v>0</v>
      </c>
      <c r="M76" s="28">
        <f>'PENULISAN LAPORAN'!N75</f>
        <v>0</v>
      </c>
      <c r="N76" s="27">
        <v>0.0</v>
      </c>
      <c r="O76" s="27">
        <v>0.0</v>
      </c>
      <c r="P76" s="27">
        <v>0.0</v>
      </c>
      <c r="Q76" s="27">
        <v>0.0</v>
      </c>
      <c r="R76" s="27">
        <v>0.0</v>
      </c>
      <c r="S76" s="27">
        <v>0.0</v>
      </c>
      <c r="T76" s="27">
        <v>0.0</v>
      </c>
      <c r="U76" s="27">
        <v>0.0</v>
      </c>
      <c r="V76" s="28">
        <f t="shared" si="2"/>
        <v>0</v>
      </c>
      <c r="W76" s="63"/>
      <c r="X76" s="27">
        <v>0.0</v>
      </c>
      <c r="Y76" s="63"/>
      <c r="Z76" s="63"/>
      <c r="AA76" s="27">
        <v>0.0</v>
      </c>
      <c r="AB76" s="27">
        <v>0.0</v>
      </c>
      <c r="AC76" s="63"/>
      <c r="AD76" s="63"/>
      <c r="AE76" s="63">
        <f t="shared" si="3"/>
        <v>0</v>
      </c>
      <c r="AF76" s="62">
        <f>'KEMAMPUAN PRAKTIKUM'!H76</f>
        <v>0</v>
      </c>
      <c r="AG76" s="62">
        <f>'KEMAMPUAN PRAKTIKUM'!M76</f>
        <v>0</v>
      </c>
      <c r="AH76" s="62">
        <f>'KEMAMPUAN PRAKTIKUM'!R76</f>
        <v>0</v>
      </c>
      <c r="AI76" s="62">
        <f>'KEMAMPUAN PRAKTIKUM'!W76</f>
        <v>0</v>
      </c>
      <c r="AJ76" s="62">
        <f>'KEMAMPUAN PRAKTIKUM'!AB76</f>
        <v>30</v>
      </c>
      <c r="AK76" s="62">
        <f>'KEMAMPUAN PRAKTIKUM'!AG76</f>
        <v>0</v>
      </c>
      <c r="AL76" s="62">
        <f>'KEMAMPUAN PRAKTIKUM'!AL76</f>
        <v>0</v>
      </c>
      <c r="AM76" s="62">
        <f>'KEMAMPUAN PRAKTIKUM'!AQ76</f>
        <v>0</v>
      </c>
      <c r="AN76" s="28">
        <f t="shared" si="4"/>
        <v>3.75</v>
      </c>
    </row>
    <row r="77">
      <c r="A77" s="7">
        <f>'INPUT DAFTAR PESERTA'!A75</f>
        <v>72</v>
      </c>
      <c r="B77" s="25">
        <f>'INPUT DAFTAR PESERTA'!B75</f>
        <v>2509056061</v>
      </c>
      <c r="C77" s="26" t="str">
        <f>'INPUT DAFTAR PESERTA'!C75</f>
        <v>Muhammad Yazid Ilmani</v>
      </c>
      <c r="D77" s="63"/>
      <c r="E77" s="27">
        <v>100.0</v>
      </c>
      <c r="F77" s="27">
        <v>100.0</v>
      </c>
      <c r="G77" s="27">
        <v>100.0</v>
      </c>
      <c r="H77" s="27">
        <v>100.0</v>
      </c>
      <c r="I77" s="27">
        <v>100.0</v>
      </c>
      <c r="J77" s="27">
        <v>100.0</v>
      </c>
      <c r="K77" s="27">
        <v>100.0</v>
      </c>
      <c r="L77" s="70">
        <f t="shared" si="1"/>
        <v>87.5</v>
      </c>
      <c r="M77" s="28">
        <f>'PENULISAN LAPORAN'!N76</f>
        <v>62.6875</v>
      </c>
      <c r="N77" s="27">
        <v>90.0</v>
      </c>
      <c r="O77" s="27">
        <v>90.0</v>
      </c>
      <c r="P77" s="27">
        <v>90.0</v>
      </c>
      <c r="Q77" s="27">
        <v>90.0</v>
      </c>
      <c r="R77" s="27">
        <v>90.0</v>
      </c>
      <c r="S77" s="27">
        <v>90.0</v>
      </c>
      <c r="T77" s="27">
        <v>90.0</v>
      </c>
      <c r="U77" s="27">
        <v>90.0</v>
      </c>
      <c r="V77" s="28">
        <f t="shared" si="2"/>
        <v>90</v>
      </c>
      <c r="W77" s="27">
        <v>70.0</v>
      </c>
      <c r="X77" s="27">
        <v>70.0</v>
      </c>
      <c r="Y77" s="27">
        <v>80.0</v>
      </c>
      <c r="Z77" s="27">
        <v>70.0</v>
      </c>
      <c r="AA77" s="27">
        <v>80.0</v>
      </c>
      <c r="AB77" s="27">
        <v>80.0</v>
      </c>
      <c r="AC77" s="27">
        <v>60.0</v>
      </c>
      <c r="AD77" s="27">
        <v>80.0</v>
      </c>
      <c r="AE77" s="63">
        <f t="shared" si="3"/>
        <v>73.75</v>
      </c>
      <c r="AF77" s="62">
        <f>'KEMAMPUAN PRAKTIKUM'!H77</f>
        <v>60</v>
      </c>
      <c r="AG77" s="62">
        <f>'KEMAMPUAN PRAKTIKUM'!M77</f>
        <v>60</v>
      </c>
      <c r="AH77" s="62">
        <f>'KEMAMPUAN PRAKTIKUM'!R77</f>
        <v>51</v>
      </c>
      <c r="AI77" s="62">
        <f>'KEMAMPUAN PRAKTIKUM'!W77</f>
        <v>72</v>
      </c>
      <c r="AJ77" s="62">
        <f>'KEMAMPUAN PRAKTIKUM'!AB77</f>
        <v>57</v>
      </c>
      <c r="AK77" s="62">
        <f>'KEMAMPUAN PRAKTIKUM'!AG77</f>
        <v>75</v>
      </c>
      <c r="AL77" s="62">
        <f>'KEMAMPUAN PRAKTIKUM'!AL77</f>
        <v>87</v>
      </c>
      <c r="AM77" s="62">
        <f>'KEMAMPUAN PRAKTIKUM'!AQ77</f>
        <v>72</v>
      </c>
      <c r="AN77" s="28">
        <f t="shared" si="4"/>
        <v>66.75</v>
      </c>
    </row>
    <row r="78">
      <c r="A78" s="7">
        <f>'INPUT DAFTAR PESERTA'!A76</f>
        <v>73</v>
      </c>
      <c r="B78" s="25">
        <f>'INPUT DAFTAR PESERTA'!B76</f>
        <v>2509056062</v>
      </c>
      <c r="C78" s="26" t="str">
        <f>'INPUT DAFTAR PESERTA'!C76</f>
        <v>Reyhan Feryand Tandililing</v>
      </c>
      <c r="D78" s="27">
        <v>100.0</v>
      </c>
      <c r="E78" s="27">
        <v>100.0</v>
      </c>
      <c r="F78" s="27">
        <v>100.0</v>
      </c>
      <c r="G78" s="27">
        <v>100.0</v>
      </c>
      <c r="H78" s="27">
        <v>100.0</v>
      </c>
      <c r="I78" s="27">
        <v>100.0</v>
      </c>
      <c r="J78" s="27">
        <v>100.0</v>
      </c>
      <c r="K78" s="27">
        <v>100.0</v>
      </c>
      <c r="L78" s="70">
        <f t="shared" si="1"/>
        <v>100</v>
      </c>
      <c r="M78" s="28">
        <f>'PENULISAN LAPORAN'!N77</f>
        <v>39.5625</v>
      </c>
      <c r="N78" s="27">
        <v>94.0</v>
      </c>
      <c r="O78" s="27">
        <v>94.0</v>
      </c>
      <c r="P78" s="27">
        <v>94.0</v>
      </c>
      <c r="Q78" s="27">
        <v>94.0</v>
      </c>
      <c r="R78" s="27">
        <v>94.0</v>
      </c>
      <c r="S78" s="27">
        <v>94.0</v>
      </c>
      <c r="T78" s="27">
        <v>94.0</v>
      </c>
      <c r="U78" s="27">
        <v>94.0</v>
      </c>
      <c r="V78" s="28">
        <f t="shared" si="2"/>
        <v>94</v>
      </c>
      <c r="W78" s="27">
        <v>30.0</v>
      </c>
      <c r="X78" s="27">
        <v>30.0</v>
      </c>
      <c r="Y78" s="63"/>
      <c r="Z78" s="27">
        <v>30.0</v>
      </c>
      <c r="AA78" s="27">
        <v>70.0</v>
      </c>
      <c r="AB78" s="27">
        <v>30.0</v>
      </c>
      <c r="AC78" s="27">
        <v>30.0</v>
      </c>
      <c r="AD78" s="27">
        <v>70.0</v>
      </c>
      <c r="AE78" s="63">
        <f t="shared" si="3"/>
        <v>36.25</v>
      </c>
      <c r="AF78" s="62">
        <f>'KEMAMPUAN PRAKTIKUM'!H78</f>
        <v>75</v>
      </c>
      <c r="AG78" s="62">
        <f>'KEMAMPUAN PRAKTIKUM'!M78</f>
        <v>75</v>
      </c>
      <c r="AH78" s="62">
        <f>'KEMAMPUAN PRAKTIKUM'!R78</f>
        <v>57</v>
      </c>
      <c r="AI78" s="62">
        <f>'KEMAMPUAN PRAKTIKUM'!W78</f>
        <v>87</v>
      </c>
      <c r="AJ78" s="62">
        <f>'KEMAMPUAN PRAKTIKUM'!AB78</f>
        <v>45</v>
      </c>
      <c r="AK78" s="62">
        <f>'KEMAMPUAN PRAKTIKUM'!AG78</f>
        <v>75</v>
      </c>
      <c r="AL78" s="62">
        <f>'KEMAMPUAN PRAKTIKUM'!AL78</f>
        <v>72</v>
      </c>
      <c r="AM78" s="62">
        <f>'KEMAMPUAN PRAKTIKUM'!AQ78</f>
        <v>87</v>
      </c>
      <c r="AN78" s="28">
        <f t="shared" si="4"/>
        <v>71.625</v>
      </c>
    </row>
    <row r="79">
      <c r="A79" s="7">
        <f>'INPUT DAFTAR PESERTA'!A77</f>
        <v>74</v>
      </c>
      <c r="B79" s="25">
        <f>'INPUT DAFTAR PESERTA'!B77</f>
        <v>2509056063</v>
      </c>
      <c r="C79" s="26" t="str">
        <f>'INPUT DAFTAR PESERTA'!C77</f>
        <v>Riski Apryanto</v>
      </c>
      <c r="D79" s="63"/>
      <c r="E79" s="27">
        <v>0.0</v>
      </c>
      <c r="F79" s="63"/>
      <c r="G79" s="63"/>
      <c r="H79" s="27">
        <v>100.0</v>
      </c>
      <c r="I79" s="27">
        <v>100.0</v>
      </c>
      <c r="J79" s="27">
        <v>100.0</v>
      </c>
      <c r="K79" s="63"/>
      <c r="L79" s="70">
        <f t="shared" si="1"/>
        <v>37.5</v>
      </c>
      <c r="M79" s="28">
        <f>'PENULISAN LAPORAN'!N78</f>
        <v>0</v>
      </c>
      <c r="N79" s="27">
        <v>92.0</v>
      </c>
      <c r="O79" s="27">
        <v>92.0</v>
      </c>
      <c r="P79" s="27">
        <v>92.0</v>
      </c>
      <c r="Q79" s="27">
        <v>92.0</v>
      </c>
      <c r="R79" s="27">
        <v>92.0</v>
      </c>
      <c r="S79" s="27">
        <v>92.0</v>
      </c>
      <c r="T79" s="27">
        <v>92.0</v>
      </c>
      <c r="U79" s="27">
        <v>92.0</v>
      </c>
      <c r="V79" s="28">
        <f t="shared" si="2"/>
        <v>92</v>
      </c>
      <c r="W79" s="63"/>
      <c r="X79" s="27">
        <v>0.0</v>
      </c>
      <c r="Y79" s="63"/>
      <c r="Z79" s="63"/>
      <c r="AA79" s="27">
        <v>0.0</v>
      </c>
      <c r="AB79" s="27">
        <v>0.0</v>
      </c>
      <c r="AC79" s="63"/>
      <c r="AD79" s="63"/>
      <c r="AE79" s="63">
        <f t="shared" si="3"/>
        <v>0</v>
      </c>
      <c r="AF79" s="62">
        <f>'KEMAMPUAN PRAKTIKUM'!H79</f>
        <v>0</v>
      </c>
      <c r="AG79" s="62">
        <f>'KEMAMPUAN PRAKTIKUM'!M79</f>
        <v>0</v>
      </c>
      <c r="AH79" s="62">
        <f>'KEMAMPUAN PRAKTIKUM'!R79</f>
        <v>0</v>
      </c>
      <c r="AI79" s="62">
        <f>'KEMAMPUAN PRAKTIKUM'!W79</f>
        <v>0</v>
      </c>
      <c r="AJ79" s="62">
        <f>'KEMAMPUAN PRAKTIKUM'!AB79</f>
        <v>30</v>
      </c>
      <c r="AK79" s="62">
        <f>'KEMAMPUAN PRAKTIKUM'!AG79</f>
        <v>75</v>
      </c>
      <c r="AL79" s="62">
        <f>'KEMAMPUAN PRAKTIKUM'!AL79</f>
        <v>0</v>
      </c>
      <c r="AM79" s="62">
        <f>'KEMAMPUAN PRAKTIKUM'!AQ79</f>
        <v>0</v>
      </c>
      <c r="AN79" s="28">
        <f t="shared" si="4"/>
        <v>13.125</v>
      </c>
    </row>
    <row r="80">
      <c r="A80" s="7">
        <f>'INPUT DAFTAR PESERTA'!A78</f>
        <v>75</v>
      </c>
      <c r="B80" s="25">
        <f>'INPUT DAFTAR PESERTA'!B78</f>
        <v>2509056064</v>
      </c>
      <c r="C80" s="26" t="str">
        <f>'INPUT DAFTAR PESERTA'!C78</f>
        <v>Dina Molitha Dwi Manggarani</v>
      </c>
      <c r="D80" s="63"/>
      <c r="E80" s="27">
        <v>100.0</v>
      </c>
      <c r="F80" s="27">
        <v>100.0</v>
      </c>
      <c r="G80" s="27">
        <v>100.0</v>
      </c>
      <c r="H80" s="27">
        <v>100.0</v>
      </c>
      <c r="I80" s="27">
        <v>100.0</v>
      </c>
      <c r="J80" s="27">
        <v>100.0</v>
      </c>
      <c r="K80" s="27">
        <v>100.0</v>
      </c>
      <c r="L80" s="70">
        <f t="shared" si="1"/>
        <v>87.5</v>
      </c>
      <c r="M80" s="28">
        <f>'PENULISAN LAPORAN'!N79</f>
        <v>81</v>
      </c>
      <c r="N80" s="27">
        <v>96.0</v>
      </c>
      <c r="O80" s="27">
        <v>96.0</v>
      </c>
      <c r="P80" s="27">
        <v>96.0</v>
      </c>
      <c r="Q80" s="27">
        <v>96.0</v>
      </c>
      <c r="R80" s="27">
        <v>96.0</v>
      </c>
      <c r="S80" s="27">
        <v>96.0</v>
      </c>
      <c r="T80" s="27">
        <v>96.0</v>
      </c>
      <c r="U80" s="27">
        <v>96.0</v>
      </c>
      <c r="V80" s="28">
        <f t="shared" si="2"/>
        <v>96</v>
      </c>
      <c r="W80" s="27">
        <v>70.0</v>
      </c>
      <c r="X80" s="27">
        <v>80.0</v>
      </c>
      <c r="Y80" s="63"/>
      <c r="Z80" s="27">
        <v>80.0</v>
      </c>
      <c r="AA80" s="27">
        <v>70.0</v>
      </c>
      <c r="AB80" s="27">
        <v>80.0</v>
      </c>
      <c r="AC80" s="27">
        <v>80.0</v>
      </c>
      <c r="AD80" s="27">
        <v>80.0</v>
      </c>
      <c r="AE80" s="63">
        <f t="shared" si="3"/>
        <v>67.5</v>
      </c>
      <c r="AF80" s="62">
        <f>'KEMAMPUAN PRAKTIKUM'!H80</f>
        <v>57</v>
      </c>
      <c r="AG80" s="62">
        <f>'KEMAMPUAN PRAKTIKUM'!M80</f>
        <v>90</v>
      </c>
      <c r="AH80" s="62">
        <f>'KEMAMPUAN PRAKTIKUM'!R80</f>
        <v>90</v>
      </c>
      <c r="AI80" s="62">
        <f>'KEMAMPUAN PRAKTIKUM'!W80</f>
        <v>87</v>
      </c>
      <c r="AJ80" s="62">
        <f>'KEMAMPUAN PRAKTIKUM'!AB80</f>
        <v>75</v>
      </c>
      <c r="AK80" s="62">
        <f>'KEMAMPUAN PRAKTIKUM'!AG80</f>
        <v>75</v>
      </c>
      <c r="AL80" s="62">
        <f>'KEMAMPUAN PRAKTIKUM'!AL80</f>
        <v>57</v>
      </c>
      <c r="AM80" s="62">
        <f>'KEMAMPUAN PRAKTIKUM'!AQ80</f>
        <v>87</v>
      </c>
      <c r="AN80" s="28">
        <f t="shared" si="4"/>
        <v>77.25</v>
      </c>
    </row>
    <row r="81">
      <c r="A81" s="7">
        <f>'INPUT DAFTAR PESERTA'!A79</f>
        <v>76</v>
      </c>
      <c r="B81" s="25">
        <f>'INPUT DAFTAR PESERTA'!B79</f>
        <v>2509056065</v>
      </c>
      <c r="C81" s="26" t="str">
        <f>'INPUT DAFTAR PESERTA'!C79</f>
        <v>Ahmad Dival Halim</v>
      </c>
      <c r="D81" s="63"/>
      <c r="E81" s="27">
        <v>100.0</v>
      </c>
      <c r="F81" s="63"/>
      <c r="G81" s="27">
        <v>100.0</v>
      </c>
      <c r="H81" s="27">
        <v>100.0</v>
      </c>
      <c r="I81" s="27">
        <v>100.0</v>
      </c>
      <c r="J81" s="27">
        <v>100.0</v>
      </c>
      <c r="K81" s="27">
        <v>100.0</v>
      </c>
      <c r="L81" s="70">
        <f t="shared" si="1"/>
        <v>75</v>
      </c>
      <c r="M81" s="28">
        <f>'PENULISAN LAPORAN'!N80</f>
        <v>64.8125</v>
      </c>
      <c r="N81" s="27">
        <v>94.0</v>
      </c>
      <c r="O81" s="27">
        <v>94.0</v>
      </c>
      <c r="P81" s="27">
        <v>94.0</v>
      </c>
      <c r="Q81" s="27">
        <v>94.0</v>
      </c>
      <c r="R81" s="27">
        <v>94.0</v>
      </c>
      <c r="S81" s="27">
        <v>94.0</v>
      </c>
      <c r="T81" s="27">
        <v>94.0</v>
      </c>
      <c r="U81" s="27">
        <v>94.0</v>
      </c>
      <c r="V81" s="28">
        <f t="shared" si="2"/>
        <v>94</v>
      </c>
      <c r="W81" s="27">
        <v>60.0</v>
      </c>
      <c r="X81" s="27">
        <v>70.0</v>
      </c>
      <c r="Y81" s="63"/>
      <c r="Z81" s="27">
        <v>70.0</v>
      </c>
      <c r="AA81" s="27">
        <v>70.0</v>
      </c>
      <c r="AB81" s="27">
        <v>80.0</v>
      </c>
      <c r="AC81" s="27">
        <v>0.0</v>
      </c>
      <c r="AD81" s="27">
        <v>80.0</v>
      </c>
      <c r="AE81" s="63">
        <f t="shared" si="3"/>
        <v>53.75</v>
      </c>
      <c r="AF81" s="62">
        <f>'KEMAMPUAN PRAKTIKUM'!H81</f>
        <v>0</v>
      </c>
      <c r="AG81" s="62">
        <f>'KEMAMPUAN PRAKTIKUM'!M81</f>
        <v>90</v>
      </c>
      <c r="AH81" s="62">
        <f>'KEMAMPUAN PRAKTIKUM'!R81</f>
        <v>66</v>
      </c>
      <c r="AI81" s="62">
        <f>'KEMAMPUAN PRAKTIKUM'!W81</f>
        <v>57</v>
      </c>
      <c r="AJ81" s="62">
        <f>'KEMAMPUAN PRAKTIKUM'!AB81</f>
        <v>45</v>
      </c>
      <c r="AK81" s="62">
        <f>'KEMAMPUAN PRAKTIKUM'!AG81</f>
        <v>75</v>
      </c>
      <c r="AL81" s="62">
        <f>'KEMAMPUAN PRAKTIKUM'!AL81</f>
        <v>57</v>
      </c>
      <c r="AM81" s="62">
        <f>'KEMAMPUAN PRAKTIKUM'!AQ81</f>
        <v>57</v>
      </c>
      <c r="AN81" s="28">
        <f t="shared" si="4"/>
        <v>55.875</v>
      </c>
    </row>
    <row r="82">
      <c r="A82" s="7">
        <f>'INPUT DAFTAR PESERTA'!A80</f>
        <v>77</v>
      </c>
      <c r="B82" s="25">
        <f>'INPUT DAFTAR PESERTA'!B80</f>
        <v>2509056066</v>
      </c>
      <c r="C82" s="26" t="str">
        <f>'INPUT DAFTAR PESERTA'!C80</f>
        <v>Sultan Islamy Pasha</v>
      </c>
      <c r="D82" s="63"/>
      <c r="E82" s="27">
        <v>100.0</v>
      </c>
      <c r="F82" s="27">
        <v>100.0</v>
      </c>
      <c r="G82" s="27">
        <v>100.0</v>
      </c>
      <c r="H82" s="27">
        <v>100.0</v>
      </c>
      <c r="I82" s="27">
        <v>100.0</v>
      </c>
      <c r="J82" s="27">
        <v>100.0</v>
      </c>
      <c r="K82" s="27">
        <v>100.0</v>
      </c>
      <c r="L82" s="70">
        <f t="shared" si="1"/>
        <v>87.5</v>
      </c>
      <c r="M82" s="28">
        <f>'PENULISAN LAPORAN'!N81</f>
        <v>64.6875</v>
      </c>
      <c r="N82" s="27">
        <v>88.0</v>
      </c>
      <c r="O82" s="27">
        <v>88.0</v>
      </c>
      <c r="P82" s="27">
        <v>88.0</v>
      </c>
      <c r="Q82" s="27">
        <v>88.0</v>
      </c>
      <c r="R82" s="27">
        <v>88.0</v>
      </c>
      <c r="S82" s="27">
        <v>88.0</v>
      </c>
      <c r="T82" s="27">
        <v>88.0</v>
      </c>
      <c r="U82" s="27">
        <v>88.0</v>
      </c>
      <c r="V82" s="28">
        <f t="shared" si="2"/>
        <v>88</v>
      </c>
      <c r="W82" s="27">
        <v>60.0</v>
      </c>
      <c r="X82" s="27">
        <v>70.0</v>
      </c>
      <c r="Y82" s="27">
        <v>80.0</v>
      </c>
      <c r="Z82" s="27">
        <v>70.0</v>
      </c>
      <c r="AA82" s="27">
        <v>70.0</v>
      </c>
      <c r="AB82" s="27">
        <v>60.0</v>
      </c>
      <c r="AC82" s="27">
        <v>60.0</v>
      </c>
      <c r="AD82" s="27">
        <v>80.0</v>
      </c>
      <c r="AE82" s="63">
        <f t="shared" si="3"/>
        <v>68.75</v>
      </c>
      <c r="AF82" s="62">
        <f>'KEMAMPUAN PRAKTIKUM'!H82</f>
        <v>75</v>
      </c>
      <c r="AG82" s="62">
        <f>'KEMAMPUAN PRAKTIKUM'!M82</f>
        <v>75</v>
      </c>
      <c r="AH82" s="62">
        <f>'KEMAMPUAN PRAKTIKUM'!R82</f>
        <v>57</v>
      </c>
      <c r="AI82" s="62">
        <f>'KEMAMPUAN PRAKTIKUM'!W82</f>
        <v>57</v>
      </c>
      <c r="AJ82" s="62">
        <f>'KEMAMPUAN PRAKTIKUM'!AB82</f>
        <v>75</v>
      </c>
      <c r="AK82" s="62">
        <f>'KEMAMPUAN PRAKTIKUM'!AG82</f>
        <v>75</v>
      </c>
      <c r="AL82" s="62">
        <f>'KEMAMPUAN PRAKTIKUM'!AL82</f>
        <v>0</v>
      </c>
      <c r="AM82" s="62">
        <f>'KEMAMPUAN PRAKTIKUM'!AQ82</f>
        <v>57</v>
      </c>
      <c r="AN82" s="28">
        <f t="shared" si="4"/>
        <v>58.875</v>
      </c>
    </row>
    <row r="83">
      <c r="A83" s="7">
        <f>'INPUT DAFTAR PESERTA'!A81</f>
        <v>78</v>
      </c>
      <c r="B83" s="25">
        <f>'INPUT DAFTAR PESERTA'!B81</f>
        <v>2509056069</v>
      </c>
      <c r="C83" s="26" t="str">
        <f>'INPUT DAFTAR PESERTA'!C81</f>
        <v>Reyhan Resqy Pratama</v>
      </c>
      <c r="D83" s="63"/>
      <c r="E83" s="27">
        <v>0.0</v>
      </c>
      <c r="F83" s="63"/>
      <c r="G83" s="63"/>
      <c r="H83" s="27">
        <v>0.0</v>
      </c>
      <c r="I83" s="27">
        <v>0.0</v>
      </c>
      <c r="J83" s="63"/>
      <c r="K83" s="63"/>
      <c r="L83" s="70">
        <f t="shared" si="1"/>
        <v>0</v>
      </c>
      <c r="M83" s="28">
        <f>'PENULISAN LAPORAN'!N82</f>
        <v>9.15625</v>
      </c>
      <c r="N83" s="27">
        <v>0.0</v>
      </c>
      <c r="O83" s="27">
        <v>0.0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0.0</v>
      </c>
      <c r="V83" s="28">
        <f t="shared" si="2"/>
        <v>0</v>
      </c>
      <c r="W83" s="63"/>
      <c r="X83" s="27">
        <v>0.0</v>
      </c>
      <c r="Y83" s="63"/>
      <c r="Z83" s="63"/>
      <c r="AA83" s="27">
        <v>0.0</v>
      </c>
      <c r="AB83" s="27">
        <v>0.0</v>
      </c>
      <c r="AC83" s="63"/>
      <c r="AD83" s="27">
        <v>80.0</v>
      </c>
      <c r="AE83" s="63">
        <f t="shared" si="3"/>
        <v>10</v>
      </c>
      <c r="AF83" s="62">
        <f>'KEMAMPUAN PRAKTIKUM'!H83</f>
        <v>0</v>
      </c>
      <c r="AG83" s="62">
        <f>'KEMAMPUAN PRAKTIKUM'!M83</f>
        <v>0</v>
      </c>
      <c r="AH83" s="62">
        <f>'KEMAMPUAN PRAKTIKUM'!R83</f>
        <v>0</v>
      </c>
      <c r="AI83" s="62">
        <f>'KEMAMPUAN PRAKTIKUM'!W83</f>
        <v>0</v>
      </c>
      <c r="AJ83" s="62">
        <f>'KEMAMPUAN PRAKTIKUM'!AB83</f>
        <v>30</v>
      </c>
      <c r="AK83" s="62">
        <f>'KEMAMPUAN PRAKTIKUM'!AG83</f>
        <v>75</v>
      </c>
      <c r="AL83" s="62">
        <f>'KEMAMPUAN PRAKTIKUM'!AL83</f>
        <v>0</v>
      </c>
      <c r="AM83" s="62">
        <f>'KEMAMPUAN PRAKTIKUM'!AQ83</f>
        <v>87</v>
      </c>
      <c r="AN83" s="28">
        <f t="shared" si="4"/>
        <v>24</v>
      </c>
    </row>
    <row r="84">
      <c r="A84" s="7">
        <f>'INPUT DAFTAR PESERTA'!A82</f>
        <v>79</v>
      </c>
      <c r="B84" s="25">
        <f>'INPUT DAFTAR PESERTA'!B82</f>
        <v>2509056070</v>
      </c>
      <c r="C84" s="26" t="str">
        <f>'INPUT DAFTAR PESERTA'!C82</f>
        <v>Riendri Novtrianto Luden</v>
      </c>
      <c r="D84" s="63"/>
      <c r="E84" s="27">
        <v>0.0</v>
      </c>
      <c r="F84" s="63"/>
      <c r="G84" s="63"/>
      <c r="H84" s="27">
        <v>0.0</v>
      </c>
      <c r="I84" s="27">
        <v>0.0</v>
      </c>
      <c r="J84" s="63"/>
      <c r="K84" s="63"/>
      <c r="L84" s="70">
        <f t="shared" si="1"/>
        <v>0</v>
      </c>
      <c r="M84" s="28">
        <f>'PENULISAN LAPORAN'!N83</f>
        <v>0</v>
      </c>
      <c r="N84" s="27">
        <v>76.0</v>
      </c>
      <c r="O84" s="27">
        <v>76.0</v>
      </c>
      <c r="P84" s="27">
        <v>76.0</v>
      </c>
      <c r="Q84" s="27">
        <v>76.0</v>
      </c>
      <c r="R84" s="27">
        <v>76.0</v>
      </c>
      <c r="S84" s="27">
        <v>76.0</v>
      </c>
      <c r="T84" s="27">
        <v>76.0</v>
      </c>
      <c r="U84" s="27">
        <v>76.0</v>
      </c>
      <c r="V84" s="28">
        <f t="shared" si="2"/>
        <v>76</v>
      </c>
      <c r="W84" s="63"/>
      <c r="X84" s="27">
        <v>0.0</v>
      </c>
      <c r="Y84" s="63"/>
      <c r="Z84" s="63"/>
      <c r="AA84" s="27">
        <v>0.0</v>
      </c>
      <c r="AB84" s="27">
        <v>0.0</v>
      </c>
      <c r="AC84" s="63"/>
      <c r="AD84" s="63"/>
      <c r="AE84" s="63">
        <f t="shared" si="3"/>
        <v>0</v>
      </c>
      <c r="AF84" s="62">
        <f>'KEMAMPUAN PRAKTIKUM'!H84</f>
        <v>0</v>
      </c>
      <c r="AG84" s="62">
        <f>'KEMAMPUAN PRAKTIKUM'!M84</f>
        <v>0</v>
      </c>
      <c r="AH84" s="62">
        <f>'KEMAMPUAN PRAKTIKUM'!R84</f>
        <v>0</v>
      </c>
      <c r="AI84" s="62">
        <f>'KEMAMPUAN PRAKTIKUM'!W84</f>
        <v>0</v>
      </c>
      <c r="AJ84" s="62">
        <f>'KEMAMPUAN PRAKTIKUM'!AB84</f>
        <v>30</v>
      </c>
      <c r="AK84" s="62">
        <f>'KEMAMPUAN PRAKTIKUM'!AG84</f>
        <v>0</v>
      </c>
      <c r="AL84" s="62">
        <f>'KEMAMPUAN PRAKTIKUM'!AL84</f>
        <v>0</v>
      </c>
      <c r="AM84" s="62">
        <f>'KEMAMPUAN PRAKTIKUM'!AQ84</f>
        <v>0</v>
      </c>
      <c r="AN84" s="28">
        <f t="shared" si="4"/>
        <v>3.75</v>
      </c>
    </row>
    <row r="85">
      <c r="A85" s="7">
        <f>'INPUT DAFTAR PESERTA'!A83</f>
        <v>80</v>
      </c>
      <c r="B85" s="25">
        <f>'INPUT DAFTAR PESERTA'!B83</f>
        <v>2509056071</v>
      </c>
      <c r="C85" s="26" t="str">
        <f>'INPUT DAFTAR PESERTA'!C83</f>
        <v>Ergie Yehezkiel Simanjuntak</v>
      </c>
      <c r="D85" s="63"/>
      <c r="E85" s="27">
        <v>0.0</v>
      </c>
      <c r="F85" s="63"/>
      <c r="G85" s="63"/>
      <c r="H85" s="27">
        <v>0.0</v>
      </c>
      <c r="I85" s="27">
        <v>0.0</v>
      </c>
      <c r="J85" s="63"/>
      <c r="K85" s="63"/>
      <c r="L85" s="70">
        <f t="shared" si="1"/>
        <v>0</v>
      </c>
      <c r="M85" s="28">
        <f>'PENULISAN LAPORAN'!N84</f>
        <v>0</v>
      </c>
      <c r="N85" s="27">
        <v>82.0</v>
      </c>
      <c r="O85" s="27">
        <v>82.0</v>
      </c>
      <c r="P85" s="27">
        <v>82.0</v>
      </c>
      <c r="Q85" s="27">
        <v>82.0</v>
      </c>
      <c r="R85" s="27">
        <v>82.0</v>
      </c>
      <c r="S85" s="27">
        <v>82.0</v>
      </c>
      <c r="T85" s="27">
        <v>82.0</v>
      </c>
      <c r="U85" s="27">
        <v>82.0</v>
      </c>
      <c r="V85" s="28">
        <f t="shared" si="2"/>
        <v>82</v>
      </c>
      <c r="W85" s="63"/>
      <c r="X85" s="27">
        <v>0.0</v>
      </c>
      <c r="Y85" s="63"/>
      <c r="Z85" s="63"/>
      <c r="AA85" s="27">
        <v>0.0</v>
      </c>
      <c r="AB85" s="27">
        <v>0.0</v>
      </c>
      <c r="AC85" s="63"/>
      <c r="AD85" s="63"/>
      <c r="AE85" s="63">
        <f t="shared" si="3"/>
        <v>0</v>
      </c>
      <c r="AF85" s="62">
        <f>'KEMAMPUAN PRAKTIKUM'!H85</f>
        <v>0</v>
      </c>
      <c r="AG85" s="62">
        <f>'KEMAMPUAN PRAKTIKUM'!M85</f>
        <v>0</v>
      </c>
      <c r="AH85" s="62">
        <f>'KEMAMPUAN PRAKTIKUM'!R85</f>
        <v>0</v>
      </c>
      <c r="AI85" s="62">
        <f>'KEMAMPUAN PRAKTIKUM'!W85</f>
        <v>0</v>
      </c>
      <c r="AJ85" s="62">
        <f>'KEMAMPUAN PRAKTIKUM'!AB85</f>
        <v>30</v>
      </c>
      <c r="AK85" s="62">
        <f>'KEMAMPUAN PRAKTIKUM'!AG85</f>
        <v>0</v>
      </c>
      <c r="AL85" s="62">
        <f>'KEMAMPUAN PRAKTIKUM'!AL85</f>
        <v>0</v>
      </c>
      <c r="AM85" s="62">
        <f>'KEMAMPUAN PRAKTIKUM'!AQ85</f>
        <v>0</v>
      </c>
      <c r="AN85" s="28">
        <f t="shared" si="4"/>
        <v>3.75</v>
      </c>
    </row>
    <row r="86">
      <c r="A86" s="7">
        <f>'INPUT DAFTAR PESERTA'!A84</f>
        <v>81</v>
      </c>
      <c r="B86" s="25">
        <f>'INPUT DAFTAR PESERTA'!B84</f>
        <v>2509056072</v>
      </c>
      <c r="C86" s="26" t="str">
        <f>'INPUT DAFTAR PESERTA'!C84</f>
        <v>Nobergotardo .A</v>
      </c>
      <c r="D86" s="63"/>
      <c r="E86" s="27">
        <v>0.0</v>
      </c>
      <c r="F86" s="63"/>
      <c r="G86" s="63"/>
      <c r="H86" s="27">
        <v>0.0</v>
      </c>
      <c r="I86" s="27">
        <v>0.0</v>
      </c>
      <c r="J86" s="63"/>
      <c r="K86" s="63"/>
      <c r="L86" s="70">
        <f t="shared" si="1"/>
        <v>0</v>
      </c>
      <c r="M86" s="28">
        <f>'PENULISAN LAPORAN'!N85</f>
        <v>0</v>
      </c>
      <c r="N86" s="27">
        <v>0.0</v>
      </c>
      <c r="O86" s="27">
        <v>0.0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8">
        <f t="shared" si="2"/>
        <v>0</v>
      </c>
      <c r="W86" s="63"/>
      <c r="X86" s="27">
        <v>0.0</v>
      </c>
      <c r="Y86" s="63"/>
      <c r="Z86" s="63"/>
      <c r="AA86" s="27">
        <v>0.0</v>
      </c>
      <c r="AB86" s="27">
        <v>0.0</v>
      </c>
      <c r="AC86" s="63"/>
      <c r="AD86" s="63"/>
      <c r="AE86" s="63">
        <f t="shared" si="3"/>
        <v>0</v>
      </c>
      <c r="AF86" s="62">
        <f>'KEMAMPUAN PRAKTIKUM'!H86</f>
        <v>0</v>
      </c>
      <c r="AG86" s="62">
        <f>'KEMAMPUAN PRAKTIKUM'!M86</f>
        <v>0</v>
      </c>
      <c r="AH86" s="62">
        <f>'KEMAMPUAN PRAKTIKUM'!R86</f>
        <v>0</v>
      </c>
      <c r="AI86" s="62">
        <f>'KEMAMPUAN PRAKTIKUM'!W86</f>
        <v>0</v>
      </c>
      <c r="AJ86" s="62">
        <f>'KEMAMPUAN PRAKTIKUM'!AB86</f>
        <v>30</v>
      </c>
      <c r="AK86" s="62">
        <f>'KEMAMPUAN PRAKTIKUM'!AG86</f>
        <v>0</v>
      </c>
      <c r="AL86" s="62">
        <f>'KEMAMPUAN PRAKTIKUM'!AL86</f>
        <v>0</v>
      </c>
      <c r="AM86" s="62">
        <f>'KEMAMPUAN PRAKTIKUM'!AQ86</f>
        <v>0</v>
      </c>
      <c r="AN86" s="28">
        <f t="shared" si="4"/>
        <v>3.75</v>
      </c>
    </row>
    <row r="87">
      <c r="A87" s="7">
        <f>'INPUT DAFTAR PESERTA'!A85</f>
        <v>82</v>
      </c>
      <c r="B87" s="25">
        <f>'INPUT DAFTAR PESERTA'!B85</f>
        <v>2509056073</v>
      </c>
      <c r="C87" s="26" t="str">
        <f>'INPUT DAFTAR PESERTA'!C85</f>
        <v>Rasikhah Fitri</v>
      </c>
      <c r="D87" s="63"/>
      <c r="E87" s="27">
        <v>0.0</v>
      </c>
      <c r="F87" s="63"/>
      <c r="G87" s="63"/>
      <c r="H87" s="27">
        <v>0.0</v>
      </c>
      <c r="I87" s="27">
        <v>0.0</v>
      </c>
      <c r="J87" s="63"/>
      <c r="K87" s="63"/>
      <c r="L87" s="70">
        <f t="shared" si="1"/>
        <v>0</v>
      </c>
      <c r="M87" s="28">
        <f>'PENULISAN LAPORAN'!N86</f>
        <v>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8">
        <f t="shared" si="2"/>
        <v>0</v>
      </c>
      <c r="W87" s="63"/>
      <c r="X87" s="27">
        <v>0.0</v>
      </c>
      <c r="Y87" s="63"/>
      <c r="Z87" s="63"/>
      <c r="AA87" s="27">
        <v>0.0</v>
      </c>
      <c r="AB87" s="27">
        <v>0.0</v>
      </c>
      <c r="AC87" s="63"/>
      <c r="AD87" s="63"/>
      <c r="AE87" s="63">
        <f t="shared" si="3"/>
        <v>0</v>
      </c>
      <c r="AF87" s="62">
        <f>'KEMAMPUAN PRAKTIKUM'!H87</f>
        <v>0</v>
      </c>
      <c r="AG87" s="62">
        <f>'KEMAMPUAN PRAKTIKUM'!M87</f>
        <v>0</v>
      </c>
      <c r="AH87" s="62">
        <f>'KEMAMPUAN PRAKTIKUM'!R87</f>
        <v>0</v>
      </c>
      <c r="AI87" s="62">
        <f>'KEMAMPUAN PRAKTIKUM'!W87</f>
        <v>0</v>
      </c>
      <c r="AJ87" s="62">
        <f>'KEMAMPUAN PRAKTIKUM'!AB87</f>
        <v>30</v>
      </c>
      <c r="AK87" s="62">
        <f>'KEMAMPUAN PRAKTIKUM'!AG87</f>
        <v>0</v>
      </c>
      <c r="AL87" s="62">
        <f>'KEMAMPUAN PRAKTIKUM'!AL87</f>
        <v>0</v>
      </c>
      <c r="AM87" s="62">
        <f>'KEMAMPUAN PRAKTIKUM'!AQ87</f>
        <v>0</v>
      </c>
      <c r="AN87" s="28">
        <f t="shared" si="4"/>
        <v>3.75</v>
      </c>
    </row>
    <row r="88">
      <c r="A88" s="7">
        <f>'INPUT DAFTAR PESERTA'!A86</f>
        <v>83</v>
      </c>
      <c r="B88" s="25">
        <f>'INPUT DAFTAR PESERTA'!B86</f>
        <v>2509056075</v>
      </c>
      <c r="C88" s="26" t="str">
        <f>'INPUT DAFTAR PESERTA'!C86</f>
        <v>Cantika Salwa Hanifa</v>
      </c>
      <c r="D88" s="63"/>
      <c r="E88" s="27">
        <v>0.0</v>
      </c>
      <c r="F88" s="63"/>
      <c r="G88" s="63"/>
      <c r="H88" s="27">
        <v>100.0</v>
      </c>
      <c r="I88" s="27">
        <v>100.0</v>
      </c>
      <c r="J88" s="27">
        <v>100.0</v>
      </c>
      <c r="K88" s="27">
        <v>100.0</v>
      </c>
      <c r="L88" s="70">
        <f t="shared" si="1"/>
        <v>50</v>
      </c>
      <c r="M88" s="28">
        <f>'PENULISAN LAPORAN'!N87</f>
        <v>9.1875</v>
      </c>
      <c r="N88" s="27">
        <v>70.0</v>
      </c>
      <c r="O88" s="27">
        <v>70.0</v>
      </c>
      <c r="P88" s="27">
        <v>70.0</v>
      </c>
      <c r="Q88" s="27">
        <v>70.0</v>
      </c>
      <c r="R88" s="27">
        <v>70.0</v>
      </c>
      <c r="S88" s="27">
        <v>70.0</v>
      </c>
      <c r="T88" s="27">
        <v>70.0</v>
      </c>
      <c r="U88" s="27">
        <v>70.0</v>
      </c>
      <c r="V88" s="28">
        <f t="shared" si="2"/>
        <v>70</v>
      </c>
      <c r="W88" s="63"/>
      <c r="X88" s="27">
        <v>0.0</v>
      </c>
      <c r="Y88" s="63"/>
      <c r="Z88" s="63"/>
      <c r="AA88" s="27">
        <v>0.0</v>
      </c>
      <c r="AB88" s="27">
        <v>30.0</v>
      </c>
      <c r="AC88" s="63"/>
      <c r="AD88" s="63"/>
      <c r="AE88" s="63">
        <f t="shared" si="3"/>
        <v>3.75</v>
      </c>
      <c r="AF88" s="62">
        <f>'KEMAMPUAN PRAKTIKUM'!H88</f>
        <v>0</v>
      </c>
      <c r="AG88" s="62">
        <f>'KEMAMPUAN PRAKTIKUM'!M88</f>
        <v>0</v>
      </c>
      <c r="AH88" s="62">
        <f>'KEMAMPUAN PRAKTIKUM'!R88</f>
        <v>0</v>
      </c>
      <c r="AI88" s="62">
        <f>'KEMAMPUAN PRAKTIKUM'!W88</f>
        <v>60</v>
      </c>
      <c r="AJ88" s="62">
        <f>'KEMAMPUAN PRAKTIKUM'!AB88</f>
        <v>87</v>
      </c>
      <c r="AK88" s="62">
        <f>'KEMAMPUAN PRAKTIKUM'!AG88</f>
        <v>75</v>
      </c>
      <c r="AL88" s="62">
        <f>'KEMAMPUAN PRAKTIKUM'!AL88</f>
        <v>57</v>
      </c>
      <c r="AM88" s="62">
        <f>'KEMAMPUAN PRAKTIKUM'!AQ88</f>
        <v>0</v>
      </c>
      <c r="AN88" s="28">
        <f t="shared" si="4"/>
        <v>34.875</v>
      </c>
    </row>
    <row r="89">
      <c r="A89" s="7">
        <f>'INPUT DAFTAR PESERTA'!A87</f>
        <v>84</v>
      </c>
      <c r="B89" s="25">
        <f>'INPUT DAFTAR PESERTA'!B87</f>
        <v>2509056076</v>
      </c>
      <c r="C89" s="26" t="str">
        <f>'INPUT DAFTAR PESERTA'!C87</f>
        <v>Andi Arief Bintang</v>
      </c>
      <c r="D89" s="27">
        <v>100.0</v>
      </c>
      <c r="E89" s="27">
        <v>100.0</v>
      </c>
      <c r="F89" s="27">
        <v>100.0</v>
      </c>
      <c r="G89" s="27">
        <v>100.0</v>
      </c>
      <c r="H89" s="27">
        <v>100.0</v>
      </c>
      <c r="I89" s="27">
        <v>100.0</v>
      </c>
      <c r="J89" s="27">
        <v>100.0</v>
      </c>
      <c r="K89" s="27">
        <v>100.0</v>
      </c>
      <c r="L89" s="70">
        <f t="shared" si="1"/>
        <v>100</v>
      </c>
      <c r="M89" s="28">
        <f>'PENULISAN LAPORAN'!N88</f>
        <v>53</v>
      </c>
      <c r="N89" s="27">
        <v>92.0</v>
      </c>
      <c r="O89" s="27">
        <v>92.0</v>
      </c>
      <c r="P89" s="27">
        <v>92.0</v>
      </c>
      <c r="Q89" s="27">
        <v>92.0</v>
      </c>
      <c r="R89" s="27">
        <v>90.0</v>
      </c>
      <c r="S89" s="27">
        <v>90.0</v>
      </c>
      <c r="T89" s="27">
        <v>90.0</v>
      </c>
      <c r="U89" s="27">
        <v>98.0</v>
      </c>
      <c r="V89" s="28">
        <f t="shared" si="2"/>
        <v>92</v>
      </c>
      <c r="W89" s="27">
        <v>70.0</v>
      </c>
      <c r="X89" s="27">
        <v>30.0</v>
      </c>
      <c r="Y89" s="27">
        <v>70.0</v>
      </c>
      <c r="Z89" s="27">
        <v>70.0</v>
      </c>
      <c r="AA89" s="27">
        <v>30.0</v>
      </c>
      <c r="AB89" s="27">
        <v>70.0</v>
      </c>
      <c r="AC89" s="27">
        <v>0.0</v>
      </c>
      <c r="AD89" s="27">
        <v>98.0</v>
      </c>
      <c r="AE89" s="63">
        <f t="shared" si="3"/>
        <v>54.75</v>
      </c>
      <c r="AF89" s="62">
        <f>'KEMAMPUAN PRAKTIKUM'!H89</f>
        <v>60</v>
      </c>
      <c r="AG89" s="62">
        <f>'KEMAMPUAN PRAKTIKUM'!M89</f>
        <v>60</v>
      </c>
      <c r="AH89" s="62">
        <f>'KEMAMPUAN PRAKTIKUM'!R89</f>
        <v>60</v>
      </c>
      <c r="AI89" s="62">
        <f>'KEMAMPUAN PRAKTIKUM'!W89</f>
        <v>60</v>
      </c>
      <c r="AJ89" s="62">
        <f>'KEMAMPUAN PRAKTIKUM'!AB89</f>
        <v>87</v>
      </c>
      <c r="AK89" s="62">
        <f>'KEMAMPUAN PRAKTIKUM'!AG89</f>
        <v>75</v>
      </c>
      <c r="AL89" s="62">
        <f>'KEMAMPUAN PRAKTIKUM'!AL89</f>
        <v>57</v>
      </c>
      <c r="AM89" s="62">
        <f>'KEMAMPUAN PRAKTIKUM'!AQ89</f>
        <v>90</v>
      </c>
      <c r="AN89" s="28">
        <f t="shared" si="4"/>
        <v>68.625</v>
      </c>
    </row>
    <row r="90">
      <c r="A90" s="7">
        <f>'INPUT DAFTAR PESERTA'!A88</f>
        <v>85</v>
      </c>
      <c r="B90" s="25">
        <f>'INPUT DAFTAR PESERTA'!B88</f>
        <v>2509056077</v>
      </c>
      <c r="C90" s="26" t="str">
        <f>'INPUT DAFTAR PESERTA'!C88</f>
        <v>Al Hamdan</v>
      </c>
      <c r="D90" s="63"/>
      <c r="E90" s="27">
        <v>0.0</v>
      </c>
      <c r="F90" s="63"/>
      <c r="G90" s="63"/>
      <c r="H90" s="27">
        <v>100.0</v>
      </c>
      <c r="I90" s="27">
        <v>100.0</v>
      </c>
      <c r="J90" s="27">
        <v>100.0</v>
      </c>
      <c r="K90" s="63"/>
      <c r="L90" s="70">
        <f t="shared" si="1"/>
        <v>37.5</v>
      </c>
      <c r="M90" s="28">
        <f>'PENULISAN LAPORAN'!N89</f>
        <v>0</v>
      </c>
      <c r="N90" s="27">
        <v>0.0</v>
      </c>
      <c r="O90" s="27">
        <v>0.0</v>
      </c>
      <c r="P90" s="27">
        <v>0.0</v>
      </c>
      <c r="Q90" s="27">
        <v>0.0</v>
      </c>
      <c r="R90" s="27">
        <v>0.0</v>
      </c>
      <c r="S90" s="27">
        <v>0.0</v>
      </c>
      <c r="T90" s="27">
        <v>0.0</v>
      </c>
      <c r="U90" s="27">
        <v>0.0</v>
      </c>
      <c r="V90" s="28">
        <f t="shared" si="2"/>
        <v>0</v>
      </c>
      <c r="W90" s="63"/>
      <c r="X90" s="27">
        <v>0.0</v>
      </c>
      <c r="Y90" s="63"/>
      <c r="Z90" s="63"/>
      <c r="AA90" s="27">
        <v>0.0</v>
      </c>
      <c r="AB90" s="27">
        <v>0.0</v>
      </c>
      <c r="AC90" s="63"/>
      <c r="AD90" s="63"/>
      <c r="AE90" s="63">
        <f t="shared" si="3"/>
        <v>0</v>
      </c>
      <c r="AF90" s="62">
        <f>'KEMAMPUAN PRAKTIKUM'!H90</f>
        <v>0</v>
      </c>
      <c r="AG90" s="62">
        <f>'KEMAMPUAN PRAKTIKUM'!M90</f>
        <v>0</v>
      </c>
      <c r="AH90" s="62">
        <f>'KEMAMPUAN PRAKTIKUM'!R90</f>
        <v>0</v>
      </c>
      <c r="AI90" s="62">
        <f>'KEMAMPUAN PRAKTIKUM'!W90</f>
        <v>0</v>
      </c>
      <c r="AJ90" s="62">
        <f>'KEMAMPUAN PRAKTIKUM'!AB90</f>
        <v>30</v>
      </c>
      <c r="AK90" s="62">
        <f>'KEMAMPUAN PRAKTIKUM'!AG90</f>
        <v>75</v>
      </c>
      <c r="AL90" s="62">
        <f>'KEMAMPUAN PRAKTIKUM'!AL90</f>
        <v>0</v>
      </c>
      <c r="AM90" s="62">
        <f>'KEMAMPUAN PRAKTIKUM'!AQ90</f>
        <v>0</v>
      </c>
      <c r="AN90" s="28">
        <f t="shared" si="4"/>
        <v>13.125</v>
      </c>
    </row>
    <row r="91">
      <c r="A91" s="7">
        <f>'INPUT DAFTAR PESERTA'!A89</f>
        <v>86</v>
      </c>
      <c r="B91" s="7">
        <f>'INPUT DAFTAR PESERTA'!B89</f>
        <v>2509056074</v>
      </c>
      <c r="C91" s="71" t="str">
        <f>'INPUT DAFTAR PESERTA'!C89</f>
        <v>Andi Muhammad Caeril Irfan</v>
      </c>
      <c r="D91" s="63"/>
      <c r="E91" s="27">
        <v>0.0</v>
      </c>
      <c r="F91" s="63"/>
      <c r="G91" s="63"/>
      <c r="H91" s="27">
        <v>100.0</v>
      </c>
      <c r="I91" s="27">
        <v>100.0</v>
      </c>
      <c r="J91" s="27">
        <v>100.0</v>
      </c>
      <c r="K91" s="63"/>
      <c r="L91" s="70">
        <f t="shared" si="1"/>
        <v>37.5</v>
      </c>
      <c r="M91" s="28">
        <f>'PENULISAN LAPORAN'!N90</f>
        <v>2.4375</v>
      </c>
      <c r="N91" s="27">
        <v>86.0</v>
      </c>
      <c r="O91" s="27">
        <v>86.0</v>
      </c>
      <c r="P91" s="27">
        <v>86.0</v>
      </c>
      <c r="Q91" s="27">
        <v>86.0</v>
      </c>
      <c r="R91" s="27">
        <v>86.0</v>
      </c>
      <c r="S91" s="27">
        <v>86.0</v>
      </c>
      <c r="T91" s="27">
        <v>86.0</v>
      </c>
      <c r="U91" s="27">
        <v>86.0</v>
      </c>
      <c r="V91" s="28">
        <f t="shared" si="2"/>
        <v>86</v>
      </c>
      <c r="W91" s="63"/>
      <c r="X91" s="27">
        <v>0.0</v>
      </c>
      <c r="Y91" s="63"/>
      <c r="Z91" s="63"/>
      <c r="AA91" s="27">
        <v>0.0</v>
      </c>
      <c r="AB91" s="27">
        <v>0.0</v>
      </c>
      <c r="AC91" s="63"/>
      <c r="AD91" s="63"/>
      <c r="AE91" s="63">
        <f t="shared" si="3"/>
        <v>0</v>
      </c>
      <c r="AF91" s="62">
        <f>'KEMAMPUAN PRAKTIKUM'!H91</f>
        <v>0</v>
      </c>
      <c r="AG91" s="62">
        <f>'KEMAMPUAN PRAKTIKUM'!M91</f>
        <v>0</v>
      </c>
      <c r="AH91" s="62">
        <f>'KEMAMPUAN PRAKTIKUM'!R91</f>
        <v>0</v>
      </c>
      <c r="AI91" s="62">
        <f>'KEMAMPUAN PRAKTIKUM'!W91</f>
        <v>0</v>
      </c>
      <c r="AJ91" s="62">
        <f>'KEMAMPUAN PRAKTIKUM'!AB91</f>
        <v>30</v>
      </c>
      <c r="AK91" s="62">
        <f>'KEMAMPUAN PRAKTIKUM'!AG91</f>
        <v>0</v>
      </c>
      <c r="AL91" s="62">
        <f>'KEMAMPUAN PRAKTIKUM'!AL91</f>
        <v>57</v>
      </c>
      <c r="AM91" s="62">
        <f>'KEMAMPUAN PRAKTIKUM'!AQ91</f>
        <v>0</v>
      </c>
      <c r="AN91" s="28">
        <f t="shared" si="4"/>
        <v>10.875</v>
      </c>
    </row>
    <row r="92">
      <c r="A92" s="48" t="str">
        <f>'INPUT DAFTAR PESERTA'!A90</f>
        <v/>
      </c>
      <c r="B92" s="48" t="str">
        <f>'INPUT DAFTAR PESERTA'!B90</f>
        <v/>
      </c>
      <c r="C92" s="48" t="str">
        <f>'INPUT DAFTAR PESERTA'!C90</f>
        <v/>
      </c>
      <c r="D92" s="48" t="str">
        <f>'INPUT DAFTAR PESERTA'!D90</f>
        <v/>
      </c>
      <c r="E92" s="48" t="str">
        <f>'INPUT DAFTAR PESERTA'!E90</f>
        <v/>
      </c>
      <c r="F92" s="48" t="str">
        <f>'INPUT DAFTAR PESERTA'!F90</f>
        <v/>
      </c>
      <c r="G92" s="48" t="str">
        <f>'INPUT DAFTAR PESERTA'!G90</f>
        <v/>
      </c>
      <c r="H92" s="48" t="str">
        <f>'INPUT DAFTAR PESERTA'!H90</f>
        <v/>
      </c>
      <c r="I92" s="48" t="str">
        <f>'INPUT DAFTAR PESERTA'!I90</f>
        <v/>
      </c>
      <c r="J92" s="48" t="str">
        <f>'INPUT DAFTAR PESERTA'!J90</f>
        <v/>
      </c>
      <c r="K92" s="48" t="str">
        <f>'INPUT DAFTAR PESERTA'!K90</f>
        <v/>
      </c>
      <c r="L92" s="48" t="str">
        <f>'INPUT DAFTAR PESERTA'!L90</f>
        <v/>
      </c>
      <c r="M92" s="48" t="str">
        <f>'INPUT DAFTAR PESERTA'!M90</f>
        <v/>
      </c>
      <c r="N92" s="48" t="str">
        <f>'INPUT DAFTAR PESERTA'!N90</f>
        <v/>
      </c>
      <c r="O92" s="48" t="str">
        <f>'INPUT DAFTAR PESERTA'!O90</f>
        <v/>
      </c>
      <c r="P92" s="48" t="str">
        <f>'INPUT DAFTAR PESERTA'!P90</f>
        <v/>
      </c>
      <c r="Q92" s="48" t="str">
        <f>'INPUT DAFTAR PESERTA'!Q90</f>
        <v/>
      </c>
      <c r="R92" s="48" t="str">
        <f>'INPUT DAFTAR PESERTA'!R90</f>
        <v/>
      </c>
      <c r="S92" s="48" t="str">
        <f>'INPUT DAFTAR PESERTA'!S90</f>
        <v/>
      </c>
      <c r="T92" s="48" t="str">
        <f>'INPUT DAFTAR PESERTA'!T90</f>
        <v/>
      </c>
      <c r="U92" s="48" t="str">
        <f>'INPUT DAFTAR PESERTA'!U90</f>
        <v/>
      </c>
      <c r="V92" s="48" t="str">
        <f>'INPUT DAFTAR PESERTA'!V90</f>
        <v/>
      </c>
      <c r="W92" s="48" t="str">
        <f>'INPUT DAFTAR PESERTA'!W90</f>
        <v/>
      </c>
      <c r="X92" s="48" t="str">
        <f>'INPUT DAFTAR PESERTA'!X90</f>
        <v/>
      </c>
      <c r="Y92" s="48" t="str">
        <f>'INPUT DAFTAR PESERTA'!Y90</f>
        <v/>
      </c>
      <c r="Z92" s="48" t="str">
        <f>'INPUT DAFTAR PESERTA'!Z90</f>
        <v/>
      </c>
      <c r="AA92" s="48" t="str">
        <f>'INPUT DAFTAR PESERTA'!AA90</f>
        <v/>
      </c>
      <c r="AB92" s="48" t="str">
        <f>'INPUT DAFTAR PESERTA'!AB90</f>
        <v/>
      </c>
      <c r="AC92" s="48" t="str">
        <f>'INPUT DAFTAR PESERTA'!AC90</f>
        <v/>
      </c>
      <c r="AD92" s="48" t="str">
        <f>'INPUT DAFTAR PESERTA'!AD90</f>
        <v/>
      </c>
      <c r="AE92" s="48" t="str">
        <f>'INPUT DAFTAR PESERTA'!AE90</f>
        <v/>
      </c>
      <c r="AF92" s="48" t="str">
        <f>'INPUT DAFTAR PESERTA'!AF90</f>
        <v/>
      </c>
      <c r="AG92" s="48" t="str">
        <f>'INPUT DAFTAR PESERTA'!AG90</f>
        <v/>
      </c>
      <c r="AH92" s="48" t="str">
        <f>'INPUT DAFTAR PESERTA'!AH90</f>
        <v/>
      </c>
      <c r="AI92" s="48" t="str">
        <f>'INPUT DAFTAR PESERTA'!AI90</f>
        <v/>
      </c>
      <c r="AJ92" s="48" t="str">
        <f>'INPUT DAFTAR PESERTA'!AJ90</f>
        <v/>
      </c>
      <c r="AK92" s="48" t="str">
        <f>'INPUT DAFTAR PESERTA'!AK90</f>
        <v/>
      </c>
      <c r="AL92" s="48" t="str">
        <f>'INPUT DAFTAR PESERTA'!AL90</f>
        <v/>
      </c>
      <c r="AM92" s="48" t="str">
        <f>'INPUT DAFTAR PESERTA'!AM90</f>
        <v/>
      </c>
      <c r="AN92" s="72" t="str">
        <f>'INPUT DAFTAR PESERTA'!AN90</f>
        <v/>
      </c>
    </row>
    <row r="93">
      <c r="A93" s="48" t="str">
        <f>'INPUT DAFTAR PESERTA'!A91</f>
        <v/>
      </c>
      <c r="B93" s="48" t="str">
        <f>'INPUT DAFTAR PESERTA'!B91</f>
        <v/>
      </c>
      <c r="C93" s="48" t="str">
        <f>'INPUT DAFTAR PESERTA'!C91</f>
        <v/>
      </c>
      <c r="D93" s="48" t="str">
        <f>'INPUT DAFTAR PESERTA'!D91</f>
        <v/>
      </c>
      <c r="E93" s="48" t="str">
        <f>'INPUT DAFTAR PESERTA'!E91</f>
        <v/>
      </c>
      <c r="F93" s="48" t="str">
        <f>'INPUT DAFTAR PESERTA'!F91</f>
        <v/>
      </c>
      <c r="G93" s="48" t="str">
        <f>'INPUT DAFTAR PESERTA'!G91</f>
        <v/>
      </c>
      <c r="H93" s="48" t="str">
        <f>'INPUT DAFTAR PESERTA'!H91</f>
        <v/>
      </c>
      <c r="I93" s="48" t="str">
        <f>'INPUT DAFTAR PESERTA'!I91</f>
        <v/>
      </c>
      <c r="J93" s="48" t="str">
        <f>'INPUT DAFTAR PESERTA'!J91</f>
        <v/>
      </c>
      <c r="K93" s="48" t="str">
        <f>'INPUT DAFTAR PESERTA'!K91</f>
        <v/>
      </c>
      <c r="L93" s="48" t="str">
        <f>'INPUT DAFTAR PESERTA'!L91</f>
        <v/>
      </c>
      <c r="M93" s="48" t="str">
        <f>'INPUT DAFTAR PESERTA'!M91</f>
        <v/>
      </c>
      <c r="N93" s="48" t="str">
        <f>'INPUT DAFTAR PESERTA'!N91</f>
        <v/>
      </c>
      <c r="O93" s="48" t="str">
        <f>'INPUT DAFTAR PESERTA'!O91</f>
        <v/>
      </c>
      <c r="P93" s="48" t="str">
        <f>'INPUT DAFTAR PESERTA'!P91</f>
        <v/>
      </c>
      <c r="Q93" s="48" t="str">
        <f>'INPUT DAFTAR PESERTA'!Q91</f>
        <v/>
      </c>
      <c r="R93" s="48" t="str">
        <f>'INPUT DAFTAR PESERTA'!R91</f>
        <v/>
      </c>
      <c r="S93" s="48" t="str">
        <f>'INPUT DAFTAR PESERTA'!S91</f>
        <v/>
      </c>
      <c r="T93" s="48" t="str">
        <f>'INPUT DAFTAR PESERTA'!T91</f>
        <v/>
      </c>
      <c r="U93" s="48" t="str">
        <f>'INPUT DAFTAR PESERTA'!U91</f>
        <v/>
      </c>
      <c r="V93" s="48" t="str">
        <f>'INPUT DAFTAR PESERTA'!V91</f>
        <v/>
      </c>
      <c r="W93" s="48" t="str">
        <f>'INPUT DAFTAR PESERTA'!W91</f>
        <v/>
      </c>
      <c r="X93" s="48" t="str">
        <f>'INPUT DAFTAR PESERTA'!X91</f>
        <v/>
      </c>
      <c r="Y93" s="48" t="str">
        <f>'INPUT DAFTAR PESERTA'!Y91</f>
        <v/>
      </c>
      <c r="Z93" s="48" t="str">
        <f>'INPUT DAFTAR PESERTA'!Z91</f>
        <v/>
      </c>
      <c r="AA93" s="48" t="str">
        <f>'INPUT DAFTAR PESERTA'!AA91</f>
        <v/>
      </c>
      <c r="AB93" s="48" t="str">
        <f>'INPUT DAFTAR PESERTA'!AB91</f>
        <v/>
      </c>
      <c r="AC93" s="48" t="str">
        <f>'INPUT DAFTAR PESERTA'!AC91</f>
        <v/>
      </c>
      <c r="AD93" s="48" t="str">
        <f>'INPUT DAFTAR PESERTA'!AD91</f>
        <v/>
      </c>
      <c r="AE93" s="48" t="str">
        <f>'INPUT DAFTAR PESERTA'!AE91</f>
        <v/>
      </c>
      <c r="AF93" s="48" t="str">
        <f>'INPUT DAFTAR PESERTA'!AF91</f>
        <v/>
      </c>
      <c r="AG93" s="48" t="str">
        <f>'INPUT DAFTAR PESERTA'!AG91</f>
        <v/>
      </c>
      <c r="AH93" s="48" t="str">
        <f>'INPUT DAFTAR PESERTA'!AH91</f>
        <v/>
      </c>
      <c r="AI93" s="48" t="str">
        <f>'INPUT DAFTAR PESERTA'!AI91</f>
        <v/>
      </c>
      <c r="AJ93" s="48" t="str">
        <f>'INPUT DAFTAR PESERTA'!AJ91</f>
        <v/>
      </c>
      <c r="AK93" s="48" t="str">
        <f>'INPUT DAFTAR PESERTA'!AK91</f>
        <v/>
      </c>
      <c r="AL93" s="48" t="str">
        <f>'INPUT DAFTAR PESERTA'!AL91</f>
        <v/>
      </c>
      <c r="AM93" s="48" t="str">
        <f>'INPUT DAFTAR PESERTA'!AM91</f>
        <v/>
      </c>
      <c r="AN93" s="72" t="str">
        <f>'INPUT DAFTAR PESERTA'!AN91</f>
        <v/>
      </c>
    </row>
    <row r="94">
      <c r="A94" s="48" t="str">
        <f>'INPUT DAFTAR PESERTA'!A92</f>
        <v/>
      </c>
      <c r="B94" s="48" t="str">
        <f>'INPUT DAFTAR PESERTA'!B92</f>
        <v/>
      </c>
      <c r="C94" s="48" t="str">
        <f>'INPUT DAFTAR PESERTA'!C92</f>
        <v/>
      </c>
      <c r="D94" s="48" t="str">
        <f>'INPUT DAFTAR PESERTA'!D92</f>
        <v/>
      </c>
      <c r="E94" s="48" t="str">
        <f>'INPUT DAFTAR PESERTA'!E92</f>
        <v/>
      </c>
      <c r="F94" s="48" t="str">
        <f>'INPUT DAFTAR PESERTA'!F92</f>
        <v/>
      </c>
      <c r="G94" s="48" t="str">
        <f>'INPUT DAFTAR PESERTA'!G92</f>
        <v/>
      </c>
      <c r="H94" s="48" t="str">
        <f>'INPUT DAFTAR PESERTA'!H92</f>
        <v/>
      </c>
      <c r="I94" s="48" t="str">
        <f>'INPUT DAFTAR PESERTA'!I92</f>
        <v/>
      </c>
      <c r="J94" s="48" t="str">
        <f>'INPUT DAFTAR PESERTA'!J92</f>
        <v/>
      </c>
      <c r="K94" s="48" t="str">
        <f>'INPUT DAFTAR PESERTA'!K92</f>
        <v/>
      </c>
      <c r="L94" s="48" t="str">
        <f>'INPUT DAFTAR PESERTA'!L92</f>
        <v/>
      </c>
      <c r="M94" s="48" t="str">
        <f>'INPUT DAFTAR PESERTA'!M92</f>
        <v/>
      </c>
      <c r="N94" s="48" t="str">
        <f>'INPUT DAFTAR PESERTA'!N92</f>
        <v/>
      </c>
      <c r="O94" s="48" t="str">
        <f>'INPUT DAFTAR PESERTA'!O92</f>
        <v/>
      </c>
      <c r="P94" s="48" t="str">
        <f>'INPUT DAFTAR PESERTA'!P92</f>
        <v/>
      </c>
      <c r="Q94" s="48" t="str">
        <f>'INPUT DAFTAR PESERTA'!Q92</f>
        <v/>
      </c>
      <c r="R94" s="48" t="str">
        <f>'INPUT DAFTAR PESERTA'!R92</f>
        <v/>
      </c>
      <c r="S94" s="48" t="str">
        <f>'INPUT DAFTAR PESERTA'!S92</f>
        <v/>
      </c>
      <c r="T94" s="48" t="str">
        <f>'INPUT DAFTAR PESERTA'!T92</f>
        <v/>
      </c>
      <c r="U94" s="48" t="str">
        <f>'INPUT DAFTAR PESERTA'!U92</f>
        <v/>
      </c>
      <c r="V94" s="48" t="str">
        <f>'INPUT DAFTAR PESERTA'!V92</f>
        <v/>
      </c>
      <c r="W94" s="48" t="str">
        <f>'INPUT DAFTAR PESERTA'!W92</f>
        <v/>
      </c>
      <c r="X94" s="48" t="str">
        <f>'INPUT DAFTAR PESERTA'!X92</f>
        <v/>
      </c>
      <c r="Y94" s="48" t="str">
        <f>'INPUT DAFTAR PESERTA'!Y92</f>
        <v/>
      </c>
      <c r="Z94" s="48" t="str">
        <f>'INPUT DAFTAR PESERTA'!Z92</f>
        <v/>
      </c>
      <c r="AA94" s="48" t="str">
        <f>'INPUT DAFTAR PESERTA'!AA92</f>
        <v/>
      </c>
      <c r="AB94" s="48" t="str">
        <f>'INPUT DAFTAR PESERTA'!AB92</f>
        <v/>
      </c>
      <c r="AC94" s="48" t="str">
        <f>'INPUT DAFTAR PESERTA'!AC92</f>
        <v/>
      </c>
      <c r="AD94" s="48" t="str">
        <f>'INPUT DAFTAR PESERTA'!AD92</f>
        <v/>
      </c>
      <c r="AE94" s="48" t="str">
        <f>'INPUT DAFTAR PESERTA'!AE92</f>
        <v/>
      </c>
      <c r="AF94" s="48" t="str">
        <f>'INPUT DAFTAR PESERTA'!AF92</f>
        <v/>
      </c>
      <c r="AG94" s="48" t="str">
        <f>'INPUT DAFTAR PESERTA'!AG92</f>
        <v/>
      </c>
      <c r="AH94" s="48" t="str">
        <f>'INPUT DAFTAR PESERTA'!AH92</f>
        <v/>
      </c>
      <c r="AI94" s="48" t="str">
        <f>'INPUT DAFTAR PESERTA'!AI92</f>
        <v/>
      </c>
      <c r="AJ94" s="48" t="str">
        <f>'INPUT DAFTAR PESERTA'!AJ92</f>
        <v/>
      </c>
      <c r="AK94" s="48" t="str">
        <f>'INPUT DAFTAR PESERTA'!AK92</f>
        <v/>
      </c>
      <c r="AL94" s="48" t="str">
        <f>'INPUT DAFTAR PESERTA'!AL92</f>
        <v/>
      </c>
      <c r="AM94" s="48" t="str">
        <f>'INPUT DAFTAR PESERTA'!AM92</f>
        <v/>
      </c>
      <c r="AN94" s="72" t="str">
        <f>'INPUT DAFTAR PESERTA'!AN92</f>
        <v/>
      </c>
    </row>
    <row r="95">
      <c r="A95" s="48" t="str">
        <f>'INPUT DAFTAR PESERTA'!A93</f>
        <v/>
      </c>
      <c r="B95" s="48" t="str">
        <f>'INPUT DAFTAR PESERTA'!B93</f>
        <v/>
      </c>
      <c r="C95" s="48" t="str">
        <f>'INPUT DAFTAR PESERTA'!C93</f>
        <v/>
      </c>
      <c r="D95" s="48" t="str">
        <f>'INPUT DAFTAR PESERTA'!D93</f>
        <v/>
      </c>
      <c r="E95" s="48" t="str">
        <f>'INPUT DAFTAR PESERTA'!E93</f>
        <v/>
      </c>
      <c r="F95" s="48" t="str">
        <f>'INPUT DAFTAR PESERTA'!F93</f>
        <v/>
      </c>
      <c r="G95" s="48" t="str">
        <f>'INPUT DAFTAR PESERTA'!G93</f>
        <v/>
      </c>
      <c r="H95" s="48" t="str">
        <f>'INPUT DAFTAR PESERTA'!H93</f>
        <v/>
      </c>
      <c r="I95" s="48" t="str">
        <f>'INPUT DAFTAR PESERTA'!I93</f>
        <v/>
      </c>
      <c r="J95" s="48" t="str">
        <f>'INPUT DAFTAR PESERTA'!J93</f>
        <v/>
      </c>
      <c r="K95" s="48" t="str">
        <f>'INPUT DAFTAR PESERTA'!K93</f>
        <v/>
      </c>
      <c r="L95" s="48" t="str">
        <f>'INPUT DAFTAR PESERTA'!L93</f>
        <v/>
      </c>
      <c r="M95" s="48" t="str">
        <f>'INPUT DAFTAR PESERTA'!M93</f>
        <v/>
      </c>
      <c r="N95" s="48" t="str">
        <f>'INPUT DAFTAR PESERTA'!N93</f>
        <v/>
      </c>
      <c r="O95" s="48" t="str">
        <f>'INPUT DAFTAR PESERTA'!O93</f>
        <v/>
      </c>
      <c r="P95" s="48" t="str">
        <f>'INPUT DAFTAR PESERTA'!P93</f>
        <v/>
      </c>
      <c r="Q95" s="48" t="str">
        <f>'INPUT DAFTAR PESERTA'!Q93</f>
        <v/>
      </c>
      <c r="R95" s="48" t="str">
        <f>'INPUT DAFTAR PESERTA'!R93</f>
        <v/>
      </c>
      <c r="S95" s="48" t="str">
        <f>'INPUT DAFTAR PESERTA'!S93</f>
        <v/>
      </c>
      <c r="T95" s="48" t="str">
        <f>'INPUT DAFTAR PESERTA'!T93</f>
        <v/>
      </c>
      <c r="U95" s="48" t="str">
        <f>'INPUT DAFTAR PESERTA'!U93</f>
        <v/>
      </c>
      <c r="V95" s="48" t="str">
        <f>'INPUT DAFTAR PESERTA'!V93</f>
        <v/>
      </c>
      <c r="W95" s="48" t="str">
        <f>'INPUT DAFTAR PESERTA'!W93</f>
        <v/>
      </c>
      <c r="X95" s="48" t="str">
        <f>'INPUT DAFTAR PESERTA'!X93</f>
        <v/>
      </c>
      <c r="Y95" s="48" t="str">
        <f>'INPUT DAFTAR PESERTA'!Y93</f>
        <v/>
      </c>
      <c r="Z95" s="48" t="str">
        <f>'INPUT DAFTAR PESERTA'!Z93</f>
        <v/>
      </c>
      <c r="AA95" s="48" t="str">
        <f>'INPUT DAFTAR PESERTA'!AA93</f>
        <v/>
      </c>
      <c r="AB95" s="48" t="str">
        <f>'INPUT DAFTAR PESERTA'!AB93</f>
        <v/>
      </c>
      <c r="AC95" s="48" t="str">
        <f>'INPUT DAFTAR PESERTA'!AC93</f>
        <v/>
      </c>
      <c r="AD95" s="48" t="str">
        <f>'INPUT DAFTAR PESERTA'!AD93</f>
        <v/>
      </c>
      <c r="AE95" s="48" t="str">
        <f>'INPUT DAFTAR PESERTA'!AE93</f>
        <v/>
      </c>
      <c r="AF95" s="48" t="str">
        <f>'INPUT DAFTAR PESERTA'!AF93</f>
        <v/>
      </c>
      <c r="AG95" s="48" t="str">
        <f>'INPUT DAFTAR PESERTA'!AG93</f>
        <v/>
      </c>
      <c r="AH95" s="48" t="str">
        <f>'INPUT DAFTAR PESERTA'!AH93</f>
        <v/>
      </c>
      <c r="AI95" s="48" t="str">
        <f>'INPUT DAFTAR PESERTA'!AI93</f>
        <v/>
      </c>
      <c r="AJ95" s="48" t="str">
        <f>'INPUT DAFTAR PESERTA'!AJ93</f>
        <v/>
      </c>
      <c r="AK95" s="48" t="str">
        <f>'INPUT DAFTAR PESERTA'!AK93</f>
        <v/>
      </c>
      <c r="AL95" s="48" t="str">
        <f>'INPUT DAFTAR PESERTA'!AL93</f>
        <v/>
      </c>
      <c r="AM95" s="48" t="str">
        <f>'INPUT DAFTAR PESERTA'!AM93</f>
        <v/>
      </c>
      <c r="AN95" s="72" t="str">
        <f>'INPUT DAFTAR PESERTA'!AN93</f>
        <v/>
      </c>
    </row>
    <row r="96">
      <c r="A96" s="48" t="str">
        <f>'INPUT DAFTAR PESERTA'!A94</f>
        <v/>
      </c>
      <c r="B96" s="48" t="str">
        <f>'INPUT DAFTAR PESERTA'!B94</f>
        <v/>
      </c>
      <c r="C96" s="48" t="str">
        <f>'INPUT DAFTAR PESERTA'!C94</f>
        <v/>
      </c>
      <c r="D96" s="48" t="str">
        <f>'INPUT DAFTAR PESERTA'!D94</f>
        <v/>
      </c>
      <c r="E96" s="48" t="str">
        <f>'INPUT DAFTAR PESERTA'!E94</f>
        <v/>
      </c>
      <c r="F96" s="48" t="str">
        <f>'INPUT DAFTAR PESERTA'!F94</f>
        <v/>
      </c>
      <c r="G96" s="48" t="str">
        <f>'INPUT DAFTAR PESERTA'!G94</f>
        <v/>
      </c>
      <c r="H96" s="48" t="str">
        <f>'INPUT DAFTAR PESERTA'!H94</f>
        <v/>
      </c>
      <c r="I96" s="48" t="str">
        <f>'INPUT DAFTAR PESERTA'!I94</f>
        <v/>
      </c>
      <c r="J96" s="48" t="str">
        <f>'INPUT DAFTAR PESERTA'!J94</f>
        <v/>
      </c>
      <c r="K96" s="48" t="str">
        <f>'INPUT DAFTAR PESERTA'!K94</f>
        <v/>
      </c>
      <c r="L96" s="48" t="str">
        <f>'INPUT DAFTAR PESERTA'!L94</f>
        <v/>
      </c>
      <c r="M96" s="48" t="str">
        <f>'INPUT DAFTAR PESERTA'!M94</f>
        <v/>
      </c>
      <c r="N96" s="48" t="str">
        <f>'INPUT DAFTAR PESERTA'!N94</f>
        <v/>
      </c>
      <c r="O96" s="48" t="str">
        <f>'INPUT DAFTAR PESERTA'!O94</f>
        <v/>
      </c>
      <c r="P96" s="48" t="str">
        <f>'INPUT DAFTAR PESERTA'!P94</f>
        <v/>
      </c>
      <c r="Q96" s="48" t="str">
        <f>'INPUT DAFTAR PESERTA'!Q94</f>
        <v/>
      </c>
      <c r="R96" s="48" t="str">
        <f>'INPUT DAFTAR PESERTA'!R94</f>
        <v/>
      </c>
      <c r="S96" s="48" t="str">
        <f>'INPUT DAFTAR PESERTA'!S94</f>
        <v/>
      </c>
      <c r="T96" s="48" t="str">
        <f>'INPUT DAFTAR PESERTA'!T94</f>
        <v/>
      </c>
      <c r="U96" s="48" t="str">
        <f>'INPUT DAFTAR PESERTA'!U94</f>
        <v/>
      </c>
      <c r="V96" s="48" t="str">
        <f>'INPUT DAFTAR PESERTA'!V94</f>
        <v/>
      </c>
      <c r="W96" s="48" t="str">
        <f>'INPUT DAFTAR PESERTA'!W94</f>
        <v/>
      </c>
      <c r="X96" s="48" t="str">
        <f>'INPUT DAFTAR PESERTA'!X94</f>
        <v/>
      </c>
      <c r="Y96" s="48" t="str">
        <f>'INPUT DAFTAR PESERTA'!Y94</f>
        <v/>
      </c>
      <c r="Z96" s="48" t="str">
        <f>'INPUT DAFTAR PESERTA'!Z94</f>
        <v/>
      </c>
      <c r="AA96" s="48" t="str">
        <f>'INPUT DAFTAR PESERTA'!AA94</f>
        <v/>
      </c>
      <c r="AB96" s="48" t="str">
        <f>'INPUT DAFTAR PESERTA'!AB94</f>
        <v/>
      </c>
      <c r="AC96" s="48" t="str">
        <f>'INPUT DAFTAR PESERTA'!AC94</f>
        <v/>
      </c>
      <c r="AD96" s="48" t="str">
        <f>'INPUT DAFTAR PESERTA'!AD94</f>
        <v/>
      </c>
      <c r="AE96" s="48" t="str">
        <f>'INPUT DAFTAR PESERTA'!AE94</f>
        <v/>
      </c>
      <c r="AF96" s="48" t="str">
        <f>'INPUT DAFTAR PESERTA'!AF94</f>
        <v/>
      </c>
      <c r="AG96" s="48" t="str">
        <f>'INPUT DAFTAR PESERTA'!AG94</f>
        <v/>
      </c>
      <c r="AH96" s="48" t="str">
        <f>'INPUT DAFTAR PESERTA'!AH94</f>
        <v/>
      </c>
      <c r="AI96" s="48" t="str">
        <f>'INPUT DAFTAR PESERTA'!AI94</f>
        <v/>
      </c>
      <c r="AJ96" s="48" t="str">
        <f>'INPUT DAFTAR PESERTA'!AJ94</f>
        <v/>
      </c>
      <c r="AK96" s="48" t="str">
        <f>'INPUT DAFTAR PESERTA'!AK94</f>
        <v/>
      </c>
      <c r="AL96" s="48" t="str">
        <f>'INPUT DAFTAR PESERTA'!AL94</f>
        <v/>
      </c>
      <c r="AM96" s="48" t="str">
        <f>'INPUT DAFTAR PESERTA'!AM94</f>
        <v/>
      </c>
      <c r="AN96" s="72" t="str">
        <f>'INPUT DAFTAR PESERTA'!AN94</f>
        <v/>
      </c>
    </row>
    <row r="97">
      <c r="A97" s="48" t="str">
        <f>'INPUT DAFTAR PESERTA'!A95</f>
        <v/>
      </c>
      <c r="B97" s="48" t="str">
        <f>'INPUT DAFTAR PESERTA'!B95</f>
        <v/>
      </c>
      <c r="C97" s="48" t="str">
        <f>'INPUT DAFTAR PESERTA'!C95</f>
        <v/>
      </c>
      <c r="D97" s="48" t="str">
        <f>'INPUT DAFTAR PESERTA'!D95</f>
        <v/>
      </c>
      <c r="E97" s="48" t="str">
        <f>'INPUT DAFTAR PESERTA'!E95</f>
        <v/>
      </c>
      <c r="F97" s="48" t="str">
        <f>'INPUT DAFTAR PESERTA'!F95</f>
        <v/>
      </c>
      <c r="G97" s="48" t="str">
        <f>'INPUT DAFTAR PESERTA'!G95</f>
        <v/>
      </c>
      <c r="H97" s="48" t="str">
        <f>'INPUT DAFTAR PESERTA'!H95</f>
        <v/>
      </c>
      <c r="I97" s="48" t="str">
        <f>'INPUT DAFTAR PESERTA'!I95</f>
        <v/>
      </c>
      <c r="J97" s="48" t="str">
        <f>'INPUT DAFTAR PESERTA'!J95</f>
        <v/>
      </c>
      <c r="K97" s="48" t="str">
        <f>'INPUT DAFTAR PESERTA'!K95</f>
        <v/>
      </c>
      <c r="L97" s="48" t="str">
        <f>'INPUT DAFTAR PESERTA'!L95</f>
        <v/>
      </c>
      <c r="M97" s="48" t="str">
        <f>'INPUT DAFTAR PESERTA'!M95</f>
        <v/>
      </c>
      <c r="N97" s="48" t="str">
        <f>'INPUT DAFTAR PESERTA'!N95</f>
        <v/>
      </c>
      <c r="O97" s="48" t="str">
        <f>'INPUT DAFTAR PESERTA'!O95</f>
        <v/>
      </c>
      <c r="P97" s="48" t="str">
        <f>'INPUT DAFTAR PESERTA'!P95</f>
        <v/>
      </c>
      <c r="Q97" s="48" t="str">
        <f>'INPUT DAFTAR PESERTA'!Q95</f>
        <v/>
      </c>
      <c r="R97" s="48" t="str">
        <f>'INPUT DAFTAR PESERTA'!R95</f>
        <v/>
      </c>
      <c r="S97" s="48" t="str">
        <f>'INPUT DAFTAR PESERTA'!S95</f>
        <v/>
      </c>
      <c r="T97" s="48" t="str">
        <f>'INPUT DAFTAR PESERTA'!T95</f>
        <v/>
      </c>
      <c r="U97" s="48" t="str">
        <f>'INPUT DAFTAR PESERTA'!U95</f>
        <v/>
      </c>
      <c r="V97" s="48" t="str">
        <f>'INPUT DAFTAR PESERTA'!V95</f>
        <v/>
      </c>
      <c r="W97" s="48" t="str">
        <f>'INPUT DAFTAR PESERTA'!W95</f>
        <v/>
      </c>
      <c r="X97" s="48" t="str">
        <f>'INPUT DAFTAR PESERTA'!X95</f>
        <v/>
      </c>
      <c r="Y97" s="48" t="str">
        <f>'INPUT DAFTAR PESERTA'!Y95</f>
        <v/>
      </c>
      <c r="Z97" s="48" t="str">
        <f>'INPUT DAFTAR PESERTA'!Z95</f>
        <v/>
      </c>
      <c r="AA97" s="48" t="str">
        <f>'INPUT DAFTAR PESERTA'!AA95</f>
        <v/>
      </c>
      <c r="AB97" s="48" t="str">
        <f>'INPUT DAFTAR PESERTA'!AB95</f>
        <v/>
      </c>
      <c r="AC97" s="48" t="str">
        <f>'INPUT DAFTAR PESERTA'!AC95</f>
        <v/>
      </c>
      <c r="AD97" s="48" t="str">
        <f>'INPUT DAFTAR PESERTA'!AD95</f>
        <v/>
      </c>
      <c r="AE97" s="48" t="str">
        <f>'INPUT DAFTAR PESERTA'!AE95</f>
        <v/>
      </c>
      <c r="AF97" s="48" t="str">
        <f>'INPUT DAFTAR PESERTA'!AF95</f>
        <v/>
      </c>
      <c r="AG97" s="48" t="str">
        <f>'INPUT DAFTAR PESERTA'!AG95</f>
        <v/>
      </c>
      <c r="AH97" s="48" t="str">
        <f>'INPUT DAFTAR PESERTA'!AH95</f>
        <v/>
      </c>
      <c r="AI97" s="48" t="str">
        <f>'INPUT DAFTAR PESERTA'!AI95</f>
        <v/>
      </c>
      <c r="AJ97" s="48" t="str">
        <f>'INPUT DAFTAR PESERTA'!AJ95</f>
        <v/>
      </c>
      <c r="AK97" s="48" t="str">
        <f>'INPUT DAFTAR PESERTA'!AK95</f>
        <v/>
      </c>
      <c r="AL97" s="48" t="str">
        <f>'INPUT DAFTAR PESERTA'!AL95</f>
        <v/>
      </c>
      <c r="AM97" s="48" t="str">
        <f>'INPUT DAFTAR PESERTA'!AM95</f>
        <v/>
      </c>
      <c r="AN97" s="72" t="str">
        <f>'INPUT DAFTAR PESERTA'!AN95</f>
        <v/>
      </c>
    </row>
    <row r="98">
      <c r="A98" s="48" t="str">
        <f>'INPUT DAFTAR PESERTA'!A96</f>
        <v/>
      </c>
      <c r="B98" s="48" t="str">
        <f>'INPUT DAFTAR PESERTA'!B96</f>
        <v/>
      </c>
      <c r="C98" s="48" t="str">
        <f>'INPUT DAFTAR PESERTA'!C96</f>
        <v/>
      </c>
      <c r="D98" s="48" t="str">
        <f>'INPUT DAFTAR PESERTA'!D96</f>
        <v/>
      </c>
      <c r="E98" s="48" t="str">
        <f>'INPUT DAFTAR PESERTA'!E96</f>
        <v/>
      </c>
      <c r="F98" s="48" t="str">
        <f>'INPUT DAFTAR PESERTA'!F96</f>
        <v/>
      </c>
      <c r="G98" s="48" t="str">
        <f>'INPUT DAFTAR PESERTA'!G96</f>
        <v/>
      </c>
      <c r="H98" s="48" t="str">
        <f>'INPUT DAFTAR PESERTA'!H96</f>
        <v/>
      </c>
      <c r="I98" s="48" t="str">
        <f>'INPUT DAFTAR PESERTA'!I96</f>
        <v/>
      </c>
      <c r="J98" s="48" t="str">
        <f>'INPUT DAFTAR PESERTA'!J96</f>
        <v/>
      </c>
      <c r="K98" s="48" t="str">
        <f>'INPUT DAFTAR PESERTA'!K96</f>
        <v/>
      </c>
      <c r="L98" s="48" t="str">
        <f>'INPUT DAFTAR PESERTA'!L96</f>
        <v/>
      </c>
      <c r="M98" s="48" t="str">
        <f>'INPUT DAFTAR PESERTA'!M96</f>
        <v/>
      </c>
      <c r="N98" s="48" t="str">
        <f>'INPUT DAFTAR PESERTA'!N96</f>
        <v/>
      </c>
      <c r="O98" s="48" t="str">
        <f>'INPUT DAFTAR PESERTA'!O96</f>
        <v/>
      </c>
      <c r="P98" s="48" t="str">
        <f>'INPUT DAFTAR PESERTA'!P96</f>
        <v/>
      </c>
      <c r="Q98" s="48" t="str">
        <f>'INPUT DAFTAR PESERTA'!Q96</f>
        <v/>
      </c>
      <c r="R98" s="48" t="str">
        <f>'INPUT DAFTAR PESERTA'!R96</f>
        <v/>
      </c>
      <c r="S98" s="48" t="str">
        <f>'INPUT DAFTAR PESERTA'!S96</f>
        <v/>
      </c>
      <c r="T98" s="48" t="str">
        <f>'INPUT DAFTAR PESERTA'!T96</f>
        <v/>
      </c>
      <c r="U98" s="48" t="str">
        <f>'INPUT DAFTAR PESERTA'!U96</f>
        <v/>
      </c>
      <c r="V98" s="48" t="str">
        <f>'INPUT DAFTAR PESERTA'!V96</f>
        <v/>
      </c>
      <c r="W98" s="48" t="str">
        <f>'INPUT DAFTAR PESERTA'!W96</f>
        <v/>
      </c>
      <c r="X98" s="48" t="str">
        <f>'INPUT DAFTAR PESERTA'!X96</f>
        <v/>
      </c>
      <c r="Y98" s="48" t="str">
        <f>'INPUT DAFTAR PESERTA'!Y96</f>
        <v/>
      </c>
      <c r="Z98" s="48" t="str">
        <f>'INPUT DAFTAR PESERTA'!Z96</f>
        <v/>
      </c>
      <c r="AA98" s="48" t="str">
        <f>'INPUT DAFTAR PESERTA'!AA96</f>
        <v/>
      </c>
      <c r="AB98" s="48" t="str">
        <f>'INPUT DAFTAR PESERTA'!AB96</f>
        <v/>
      </c>
      <c r="AC98" s="48" t="str">
        <f>'INPUT DAFTAR PESERTA'!AC96</f>
        <v/>
      </c>
      <c r="AD98" s="48" t="str">
        <f>'INPUT DAFTAR PESERTA'!AD96</f>
        <v/>
      </c>
      <c r="AE98" s="48" t="str">
        <f>'INPUT DAFTAR PESERTA'!AE96</f>
        <v/>
      </c>
      <c r="AF98" s="48" t="str">
        <f>'INPUT DAFTAR PESERTA'!AF96</f>
        <v/>
      </c>
      <c r="AG98" s="48" t="str">
        <f>'INPUT DAFTAR PESERTA'!AG96</f>
        <v/>
      </c>
      <c r="AH98" s="48" t="str">
        <f>'INPUT DAFTAR PESERTA'!AH96</f>
        <v/>
      </c>
      <c r="AI98" s="48" t="str">
        <f>'INPUT DAFTAR PESERTA'!AI96</f>
        <v/>
      </c>
      <c r="AJ98" s="48" t="str">
        <f>'INPUT DAFTAR PESERTA'!AJ96</f>
        <v/>
      </c>
      <c r="AK98" s="48" t="str">
        <f>'INPUT DAFTAR PESERTA'!AK96</f>
        <v/>
      </c>
      <c r="AL98" s="48" t="str">
        <f>'INPUT DAFTAR PESERTA'!AL96</f>
        <v/>
      </c>
      <c r="AM98" s="48" t="str">
        <f>'INPUT DAFTAR PESERTA'!AM96</f>
        <v/>
      </c>
      <c r="AN98" s="72" t="str">
        <f>'INPUT DAFTAR PESERTA'!AN96</f>
        <v/>
      </c>
    </row>
    <row r="99">
      <c r="A99" s="48" t="str">
        <f>'INPUT DAFTAR PESERTA'!A97</f>
        <v/>
      </c>
      <c r="B99" s="48" t="str">
        <f>'INPUT DAFTAR PESERTA'!B97</f>
        <v/>
      </c>
      <c r="C99" s="48" t="str">
        <f>'INPUT DAFTAR PESERTA'!C97</f>
        <v/>
      </c>
      <c r="D99" s="48" t="str">
        <f>'INPUT DAFTAR PESERTA'!D97</f>
        <v/>
      </c>
      <c r="E99" s="48" t="str">
        <f>'INPUT DAFTAR PESERTA'!E97</f>
        <v/>
      </c>
      <c r="F99" s="48" t="str">
        <f>'INPUT DAFTAR PESERTA'!F97</f>
        <v/>
      </c>
      <c r="G99" s="48" t="str">
        <f>'INPUT DAFTAR PESERTA'!G97</f>
        <v/>
      </c>
      <c r="H99" s="48" t="str">
        <f>'INPUT DAFTAR PESERTA'!H97</f>
        <v/>
      </c>
      <c r="I99" s="48" t="str">
        <f>'INPUT DAFTAR PESERTA'!I97</f>
        <v/>
      </c>
      <c r="J99" s="48" t="str">
        <f>'INPUT DAFTAR PESERTA'!J97</f>
        <v/>
      </c>
      <c r="K99" s="48" t="str">
        <f>'INPUT DAFTAR PESERTA'!K97</f>
        <v/>
      </c>
      <c r="L99" s="48" t="str">
        <f>'INPUT DAFTAR PESERTA'!L97</f>
        <v/>
      </c>
      <c r="M99" s="48" t="str">
        <f>'INPUT DAFTAR PESERTA'!M97</f>
        <v/>
      </c>
      <c r="N99" s="48" t="str">
        <f>'INPUT DAFTAR PESERTA'!N97</f>
        <v/>
      </c>
      <c r="O99" s="48" t="str">
        <f>'INPUT DAFTAR PESERTA'!O97</f>
        <v/>
      </c>
      <c r="P99" s="48" t="str">
        <f>'INPUT DAFTAR PESERTA'!P97</f>
        <v/>
      </c>
      <c r="Q99" s="48" t="str">
        <f>'INPUT DAFTAR PESERTA'!Q97</f>
        <v/>
      </c>
      <c r="R99" s="48" t="str">
        <f>'INPUT DAFTAR PESERTA'!R97</f>
        <v/>
      </c>
      <c r="S99" s="48" t="str">
        <f>'INPUT DAFTAR PESERTA'!S97</f>
        <v/>
      </c>
      <c r="T99" s="48" t="str">
        <f>'INPUT DAFTAR PESERTA'!T97</f>
        <v/>
      </c>
      <c r="U99" s="48" t="str">
        <f>'INPUT DAFTAR PESERTA'!U97</f>
        <v/>
      </c>
      <c r="V99" s="48" t="str">
        <f>'INPUT DAFTAR PESERTA'!V97</f>
        <v/>
      </c>
      <c r="W99" s="48" t="str">
        <f>'INPUT DAFTAR PESERTA'!W97</f>
        <v/>
      </c>
      <c r="X99" s="48" t="str">
        <f>'INPUT DAFTAR PESERTA'!X97</f>
        <v/>
      </c>
      <c r="Y99" s="48" t="str">
        <f>'INPUT DAFTAR PESERTA'!Y97</f>
        <v/>
      </c>
      <c r="Z99" s="48" t="str">
        <f>'INPUT DAFTAR PESERTA'!Z97</f>
        <v/>
      </c>
      <c r="AA99" s="48" t="str">
        <f>'INPUT DAFTAR PESERTA'!AA97</f>
        <v/>
      </c>
      <c r="AB99" s="48" t="str">
        <f>'INPUT DAFTAR PESERTA'!AB97</f>
        <v/>
      </c>
      <c r="AC99" s="48" t="str">
        <f>'INPUT DAFTAR PESERTA'!AC97</f>
        <v/>
      </c>
      <c r="AD99" s="48" t="str">
        <f>'INPUT DAFTAR PESERTA'!AD97</f>
        <v/>
      </c>
      <c r="AE99" s="48" t="str">
        <f>'INPUT DAFTAR PESERTA'!AE97</f>
        <v/>
      </c>
      <c r="AF99" s="48" t="str">
        <f>'INPUT DAFTAR PESERTA'!AF97</f>
        <v/>
      </c>
      <c r="AG99" s="48" t="str">
        <f>'INPUT DAFTAR PESERTA'!AG97</f>
        <v/>
      </c>
      <c r="AH99" s="48" t="str">
        <f>'INPUT DAFTAR PESERTA'!AH97</f>
        <v/>
      </c>
      <c r="AI99" s="48" t="str">
        <f>'INPUT DAFTAR PESERTA'!AI97</f>
        <v/>
      </c>
      <c r="AJ99" s="48" t="str">
        <f>'INPUT DAFTAR PESERTA'!AJ97</f>
        <v/>
      </c>
      <c r="AK99" s="48" t="str">
        <f>'INPUT DAFTAR PESERTA'!AK97</f>
        <v/>
      </c>
      <c r="AL99" s="48" t="str">
        <f>'INPUT DAFTAR PESERTA'!AL97</f>
        <v/>
      </c>
      <c r="AM99" s="48" t="str">
        <f>'INPUT DAFTAR PESERTA'!AM97</f>
        <v/>
      </c>
      <c r="AN99" s="72" t="str">
        <f>'INPUT DAFTAR PESERTA'!AN97</f>
        <v/>
      </c>
    </row>
    <row r="100">
      <c r="A100" s="48" t="str">
        <f>'INPUT DAFTAR PESERTA'!A98</f>
        <v/>
      </c>
      <c r="B100" s="48" t="str">
        <f>'INPUT DAFTAR PESERTA'!B98</f>
        <v/>
      </c>
      <c r="C100" s="48" t="str">
        <f>'INPUT DAFTAR PESERTA'!C98</f>
        <v/>
      </c>
      <c r="D100" s="48" t="str">
        <f>'INPUT DAFTAR PESERTA'!D98</f>
        <v/>
      </c>
      <c r="E100" s="48" t="str">
        <f>'INPUT DAFTAR PESERTA'!E98</f>
        <v/>
      </c>
      <c r="F100" s="48" t="str">
        <f>'INPUT DAFTAR PESERTA'!F98</f>
        <v/>
      </c>
      <c r="G100" s="48" t="str">
        <f>'INPUT DAFTAR PESERTA'!G98</f>
        <v/>
      </c>
      <c r="H100" s="48" t="str">
        <f>'INPUT DAFTAR PESERTA'!H98</f>
        <v/>
      </c>
      <c r="I100" s="48" t="str">
        <f>'INPUT DAFTAR PESERTA'!I98</f>
        <v/>
      </c>
      <c r="J100" s="48" t="str">
        <f>'INPUT DAFTAR PESERTA'!J98</f>
        <v/>
      </c>
      <c r="K100" s="48" t="str">
        <f>'INPUT DAFTAR PESERTA'!K98</f>
        <v/>
      </c>
      <c r="L100" s="48" t="str">
        <f>'INPUT DAFTAR PESERTA'!L98</f>
        <v/>
      </c>
      <c r="M100" s="48" t="str">
        <f>'INPUT DAFTAR PESERTA'!M98</f>
        <v/>
      </c>
      <c r="N100" s="48" t="str">
        <f>'INPUT DAFTAR PESERTA'!N98</f>
        <v/>
      </c>
      <c r="O100" s="48" t="str">
        <f>'INPUT DAFTAR PESERTA'!O98</f>
        <v/>
      </c>
      <c r="P100" s="48" t="str">
        <f>'INPUT DAFTAR PESERTA'!P98</f>
        <v/>
      </c>
      <c r="Q100" s="48" t="str">
        <f>'INPUT DAFTAR PESERTA'!Q98</f>
        <v/>
      </c>
      <c r="R100" s="48" t="str">
        <f>'INPUT DAFTAR PESERTA'!R98</f>
        <v/>
      </c>
      <c r="S100" s="48" t="str">
        <f>'INPUT DAFTAR PESERTA'!S98</f>
        <v/>
      </c>
      <c r="T100" s="48" t="str">
        <f>'INPUT DAFTAR PESERTA'!T98</f>
        <v/>
      </c>
      <c r="U100" s="48" t="str">
        <f>'INPUT DAFTAR PESERTA'!U98</f>
        <v/>
      </c>
      <c r="V100" s="48" t="str">
        <f>'INPUT DAFTAR PESERTA'!V98</f>
        <v/>
      </c>
      <c r="W100" s="48" t="str">
        <f>'INPUT DAFTAR PESERTA'!W98</f>
        <v/>
      </c>
      <c r="X100" s="48" t="str">
        <f>'INPUT DAFTAR PESERTA'!X98</f>
        <v/>
      </c>
      <c r="Y100" s="48" t="str">
        <f>'INPUT DAFTAR PESERTA'!Y98</f>
        <v/>
      </c>
      <c r="Z100" s="48" t="str">
        <f>'INPUT DAFTAR PESERTA'!Z98</f>
        <v/>
      </c>
      <c r="AA100" s="48" t="str">
        <f>'INPUT DAFTAR PESERTA'!AA98</f>
        <v/>
      </c>
      <c r="AB100" s="48" t="str">
        <f>'INPUT DAFTAR PESERTA'!AB98</f>
        <v/>
      </c>
      <c r="AC100" s="48" t="str">
        <f>'INPUT DAFTAR PESERTA'!AC98</f>
        <v/>
      </c>
      <c r="AD100" s="48" t="str">
        <f>'INPUT DAFTAR PESERTA'!AD98</f>
        <v/>
      </c>
      <c r="AE100" s="48" t="str">
        <f>'INPUT DAFTAR PESERTA'!AE98</f>
        <v/>
      </c>
      <c r="AF100" s="48" t="str">
        <f>'INPUT DAFTAR PESERTA'!AF98</f>
        <v/>
      </c>
      <c r="AG100" s="48" t="str">
        <f>'INPUT DAFTAR PESERTA'!AG98</f>
        <v/>
      </c>
      <c r="AH100" s="48" t="str">
        <f>'INPUT DAFTAR PESERTA'!AH98</f>
        <v/>
      </c>
      <c r="AI100" s="48" t="str">
        <f>'INPUT DAFTAR PESERTA'!AI98</f>
        <v/>
      </c>
      <c r="AJ100" s="48" t="str">
        <f>'INPUT DAFTAR PESERTA'!AJ98</f>
        <v/>
      </c>
      <c r="AK100" s="48" t="str">
        <f>'INPUT DAFTAR PESERTA'!AK98</f>
        <v/>
      </c>
      <c r="AL100" s="48" t="str">
        <f>'INPUT DAFTAR PESERTA'!AL98</f>
        <v/>
      </c>
      <c r="AM100" s="48" t="str">
        <f>'INPUT DAFTAR PESERTA'!AM98</f>
        <v/>
      </c>
      <c r="AN100" s="72" t="str">
        <f>'INPUT DAFTAR PESERTA'!AN98</f>
        <v/>
      </c>
    </row>
    <row r="101">
      <c r="A101" s="48" t="str">
        <f>'INPUT DAFTAR PESERTA'!A99</f>
        <v/>
      </c>
      <c r="B101" s="48" t="str">
        <f>'INPUT DAFTAR PESERTA'!B99</f>
        <v/>
      </c>
      <c r="C101" s="49" t="str">
        <f>'INPUT DAFTAR PESERTA'!C99</f>
        <v/>
      </c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64"/>
    </row>
    <row r="102">
      <c r="A102" s="48"/>
      <c r="B102" s="48" t="str">
        <f>'INPUT DAFTAR PESERTA'!B100</f>
        <v/>
      </c>
      <c r="C102" s="49" t="str">
        <f>'INPUT DAFTAR PESERTA'!C100</f>
        <v/>
      </c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64"/>
    </row>
    <row r="103">
      <c r="A103" s="48"/>
      <c r="B103" s="48" t="str">
        <f>'INPUT DAFTAR PESERTA'!B101</f>
        <v/>
      </c>
      <c r="C103" s="49" t="str">
        <f>'INPUT DAFTAR PESERTA'!C101</f>
        <v/>
      </c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64"/>
    </row>
    <row r="104">
      <c r="A104" s="48"/>
      <c r="B104" s="48" t="str">
        <f>'INPUT DAFTAR PESERTA'!B102</f>
        <v/>
      </c>
      <c r="C104" s="49" t="str">
        <f>'INPUT DAFTAR PESERTA'!C102</f>
        <v/>
      </c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64"/>
    </row>
    <row r="105">
      <c r="A105" s="48"/>
      <c r="B105" s="48" t="str">
        <f>'INPUT DAFTAR PESERTA'!B103</f>
        <v/>
      </c>
      <c r="C105" s="49" t="str">
        <f>'INPUT DAFTAR PESERTA'!C103</f>
        <v/>
      </c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64"/>
    </row>
    <row r="106">
      <c r="A106" s="48"/>
      <c r="B106" s="48" t="str">
        <f>'INPUT DAFTAR PESERTA'!B104</f>
        <v/>
      </c>
      <c r="C106" s="49" t="str">
        <f>'INPUT DAFTAR PESERTA'!C104</f>
        <v/>
      </c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64"/>
    </row>
    <row r="107">
      <c r="A107" s="48"/>
      <c r="B107" s="48" t="str">
        <f>'INPUT DAFTAR PESERTA'!B105</f>
        <v/>
      </c>
      <c r="C107" s="49" t="str">
        <f>'INPUT DAFTAR PESERTA'!C105</f>
        <v/>
      </c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64"/>
    </row>
    <row r="108">
      <c r="A108" s="48"/>
      <c r="B108" s="48" t="str">
        <f>'INPUT DAFTAR PESERTA'!B106</f>
        <v/>
      </c>
      <c r="C108" s="49" t="str">
        <f>'INPUT DAFTAR PESERTA'!C106</f>
        <v/>
      </c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64"/>
    </row>
    <row r="109">
      <c r="A109" s="48"/>
      <c r="B109" s="48" t="str">
        <f>'INPUT DAFTAR PESERTA'!B107</f>
        <v/>
      </c>
      <c r="C109" s="49" t="str">
        <f>'INPUT DAFTAR PESERTA'!C107</f>
        <v/>
      </c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64"/>
    </row>
    <row r="110">
      <c r="A110" s="48"/>
      <c r="B110" s="48" t="str">
        <f>'INPUT DAFTAR PESERTA'!B108</f>
        <v/>
      </c>
      <c r="C110" s="49" t="str">
        <f>'INPUT DAFTAR PESERTA'!C108</f>
        <v/>
      </c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64"/>
    </row>
    <row r="111">
      <c r="A111" s="48"/>
      <c r="B111" s="48" t="str">
        <f>'INPUT DAFTAR PESERTA'!B109</f>
        <v/>
      </c>
      <c r="C111" s="49" t="str">
        <f>'INPUT DAFTAR PESERTA'!C109</f>
        <v/>
      </c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64"/>
    </row>
    <row r="112">
      <c r="A112" s="48"/>
      <c r="B112" s="48" t="str">
        <f>'INPUT DAFTAR PESERTA'!B110</f>
        <v/>
      </c>
      <c r="C112" s="49" t="str">
        <f>'INPUT DAFTAR PESERTA'!C110</f>
        <v/>
      </c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64"/>
    </row>
    <row r="113">
      <c r="A113" s="48"/>
      <c r="B113" s="48" t="str">
        <f>'INPUT DAFTAR PESERTA'!B111</f>
        <v/>
      </c>
      <c r="C113" s="49" t="str">
        <f>'INPUT DAFTAR PESERTA'!C111</f>
        <v/>
      </c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64"/>
    </row>
    <row r="114">
      <c r="A114" s="48"/>
      <c r="B114" s="48" t="str">
        <f>'INPUT DAFTAR PESERTA'!B112</f>
        <v/>
      </c>
      <c r="C114" s="49" t="str">
        <f>'INPUT DAFTAR PESERTA'!C112</f>
        <v/>
      </c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64"/>
    </row>
    <row r="115">
      <c r="A115" s="48"/>
      <c r="B115" s="48" t="str">
        <f>'INPUT DAFTAR PESERTA'!B113</f>
        <v/>
      </c>
      <c r="C115" s="49" t="str">
        <f>'INPUT DAFTAR PESERTA'!C113</f>
        <v/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64"/>
    </row>
    <row r="116">
      <c r="A116" s="48"/>
      <c r="B116" s="48" t="str">
        <f>'INPUT DAFTAR PESERTA'!B114</f>
        <v/>
      </c>
      <c r="C116" s="49" t="str">
        <f>'INPUT DAFTAR PESERTA'!C114</f>
        <v/>
      </c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64"/>
    </row>
    <row r="117">
      <c r="A117" s="48"/>
      <c r="B117" s="48" t="str">
        <f>'INPUT DAFTAR PESERTA'!B115</f>
        <v/>
      </c>
      <c r="C117" s="49" t="str">
        <f>'INPUT DAFTAR PESERTA'!C115</f>
        <v/>
      </c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64"/>
    </row>
    <row r="118">
      <c r="A118" s="48"/>
      <c r="B118" s="48" t="str">
        <f>'INPUT DAFTAR PESERTA'!B116</f>
        <v/>
      </c>
      <c r="C118" s="49" t="str">
        <f>'INPUT DAFTAR PESERTA'!C116</f>
        <v/>
      </c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64"/>
    </row>
    <row r="119">
      <c r="A119" s="48"/>
      <c r="B119" s="48" t="str">
        <f>'INPUT DAFTAR PESERTA'!B117</f>
        <v/>
      </c>
      <c r="C119" s="49" t="str">
        <f>'INPUT DAFTAR PESERTA'!C117</f>
        <v/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64"/>
    </row>
    <row r="120">
      <c r="A120" s="48"/>
      <c r="B120" s="48" t="str">
        <f>'INPUT DAFTAR PESERTA'!B118</f>
        <v/>
      </c>
      <c r="C120" s="49" t="str">
        <f>'INPUT DAFTAR PESERTA'!C118</f>
        <v/>
      </c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64"/>
    </row>
    <row r="121">
      <c r="A121" s="48"/>
      <c r="B121" s="48" t="str">
        <f>'INPUT DAFTAR PESERTA'!B119</f>
        <v/>
      </c>
      <c r="C121" s="49" t="str">
        <f>'INPUT DAFTAR PESERTA'!C119</f>
        <v/>
      </c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64"/>
    </row>
    <row r="122">
      <c r="A122" s="48"/>
      <c r="B122" s="48" t="str">
        <f>'INPUT DAFTAR PESERTA'!B120</f>
        <v/>
      </c>
      <c r="C122" s="49" t="str">
        <f>'INPUT DAFTAR PESERTA'!C120</f>
        <v/>
      </c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64"/>
    </row>
    <row r="123">
      <c r="A123" s="48"/>
      <c r="B123" s="48" t="str">
        <f>'INPUT DAFTAR PESERTA'!B121</f>
        <v/>
      </c>
      <c r="C123" s="49" t="str">
        <f>'INPUT DAFTAR PESERTA'!C121</f>
        <v/>
      </c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64"/>
    </row>
    <row r="124">
      <c r="A124" s="48"/>
      <c r="B124" s="48" t="str">
        <f>'INPUT DAFTAR PESERTA'!B122</f>
        <v/>
      </c>
      <c r="C124" s="49" t="str">
        <f>'INPUT DAFTAR PESERTA'!C122</f>
        <v/>
      </c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64"/>
    </row>
    <row r="125">
      <c r="A125" s="48"/>
      <c r="B125" s="48" t="str">
        <f>'INPUT DAFTAR PESERTA'!B123</f>
        <v/>
      </c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64"/>
    </row>
    <row r="126">
      <c r="A126" s="48"/>
      <c r="B126" s="48" t="str">
        <f>'INPUT DAFTAR PESERTA'!B124</f>
        <v/>
      </c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64"/>
    </row>
    <row r="127">
      <c r="A127" s="48"/>
      <c r="B127" s="48" t="str">
        <f>'INPUT DAFTAR PESERTA'!B125</f>
        <v/>
      </c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64"/>
    </row>
    <row r="128">
      <c r="A128" s="48"/>
      <c r="B128" s="48" t="str">
        <f>'INPUT DAFTAR PESERTA'!B126</f>
        <v/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64"/>
    </row>
    <row r="129">
      <c r="A129" s="48"/>
      <c r="B129" s="48" t="str">
        <f>'INPUT DAFTAR PESERTA'!B127</f>
        <v/>
      </c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64"/>
    </row>
    <row r="130">
      <c r="A130" s="48"/>
      <c r="B130" s="48" t="str">
        <f>'INPUT DAFTAR PESERTA'!B128</f>
        <v/>
      </c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64"/>
    </row>
    <row r="131">
      <c r="A131" s="48"/>
      <c r="B131" s="48" t="str">
        <f>'INPUT DAFTAR PESERTA'!B129</f>
        <v/>
      </c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64"/>
    </row>
    <row r="132">
      <c r="A132" s="48"/>
      <c r="B132" s="48" t="str">
        <f>'INPUT DAFTAR PESERTA'!B130</f>
        <v/>
      </c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64"/>
    </row>
    <row r="133">
      <c r="A133" s="48"/>
      <c r="B133" s="48" t="str">
        <f>'INPUT DAFTAR PESERTA'!B131</f>
        <v/>
      </c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64"/>
    </row>
    <row r="134">
      <c r="A134" s="48"/>
      <c r="B134" s="48" t="str">
        <f>'INPUT DAFTAR PESERTA'!B132</f>
        <v/>
      </c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64"/>
    </row>
    <row r="135">
      <c r="A135" s="48"/>
      <c r="B135" s="48" t="str">
        <f>'INPUT DAFTAR PESERTA'!B133</f>
        <v/>
      </c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64"/>
    </row>
    <row r="136">
      <c r="A136" s="48"/>
      <c r="B136" s="48" t="str">
        <f>'INPUT DAFTAR PESERTA'!B134</f>
        <v/>
      </c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64"/>
    </row>
    <row r="137">
      <c r="A137" s="48"/>
      <c r="B137" s="48" t="str">
        <f>'INPUT DAFTAR PESERTA'!B135</f>
        <v/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64"/>
    </row>
    <row r="138">
      <c r="A138" s="48"/>
      <c r="B138" s="48" t="str">
        <f>'INPUT DAFTAR PESERTA'!B136</f>
        <v/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64"/>
    </row>
    <row r="139">
      <c r="A139" s="48"/>
      <c r="B139" s="48" t="str">
        <f>'INPUT DAFTAR PESERTA'!B137</f>
        <v/>
      </c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64"/>
    </row>
    <row r="140">
      <c r="A140" s="48"/>
      <c r="B140" s="48" t="str">
        <f>'INPUT DAFTAR PESERTA'!B138</f>
        <v/>
      </c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64"/>
    </row>
    <row r="141">
      <c r="A141" s="48"/>
      <c r="B141" s="48" t="str">
        <f>'INPUT DAFTAR PESERTA'!B139</f>
        <v/>
      </c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64"/>
    </row>
    <row r="142">
      <c r="A142" s="48"/>
      <c r="B142" s="48" t="str">
        <f>'INPUT DAFTAR PESERTA'!B140</f>
        <v/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64"/>
    </row>
    <row r="143">
      <c r="A143" s="48"/>
      <c r="B143" s="48" t="str">
        <f>'INPUT DAFTAR PESERTA'!B141</f>
        <v/>
      </c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64"/>
    </row>
    <row r="144">
      <c r="A144" s="48"/>
      <c r="B144" s="48" t="str">
        <f>'INPUT DAFTAR PESERTA'!B142</f>
        <v/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64"/>
    </row>
    <row r="145">
      <c r="A145" s="48"/>
      <c r="B145" s="48" t="str">
        <f>'INPUT DAFTAR PESERTA'!B143</f>
        <v/>
      </c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64"/>
    </row>
    <row r="146">
      <c r="A146" s="48"/>
      <c r="B146" s="48" t="str">
        <f>'INPUT DAFTAR PESERTA'!B144</f>
        <v/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64"/>
    </row>
    <row r="147">
      <c r="A147" s="48"/>
      <c r="B147" s="48" t="str">
        <f>'INPUT DAFTAR PESERTA'!B145</f>
        <v/>
      </c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64"/>
    </row>
    <row r="148">
      <c r="A148" s="48"/>
      <c r="B148" s="48" t="str">
        <f>'INPUT DAFTAR PESERTA'!B146</f>
        <v/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64"/>
    </row>
    <row r="149">
      <c r="A149" s="48"/>
      <c r="B149" s="48" t="str">
        <f>'INPUT DAFTAR PESERTA'!B147</f>
        <v/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64"/>
    </row>
    <row r="150">
      <c r="A150" s="48"/>
      <c r="B150" s="48" t="str">
        <f>'INPUT DAFTAR PESERTA'!B148</f>
        <v/>
      </c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64"/>
    </row>
    <row r="151">
      <c r="A151" s="48"/>
      <c r="B151" s="48" t="str">
        <f>'INPUT DAFTAR PESERTA'!B149</f>
        <v/>
      </c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64"/>
    </row>
    <row r="152">
      <c r="A152" s="48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64"/>
    </row>
    <row r="153">
      <c r="A153" s="48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64"/>
    </row>
    <row r="154">
      <c r="A154" s="48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64"/>
    </row>
    <row r="155">
      <c r="A155" s="48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64"/>
    </row>
    <row r="156">
      <c r="A156" s="48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64"/>
    </row>
    <row r="157">
      <c r="A157" s="48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64"/>
    </row>
    <row r="158">
      <c r="A158" s="48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64"/>
    </row>
    <row r="159">
      <c r="A159" s="48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64"/>
    </row>
    <row r="160">
      <c r="A160" s="48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64"/>
    </row>
    <row r="161">
      <c r="A161" s="48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64"/>
    </row>
    <row r="162">
      <c r="A162" s="48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64"/>
    </row>
    <row r="163">
      <c r="A163" s="48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64"/>
    </row>
    <row r="164">
      <c r="A164" s="48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64"/>
    </row>
    <row r="165">
      <c r="A165" s="48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64"/>
    </row>
    <row r="166">
      <c r="A166" s="48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64"/>
    </row>
    <row r="167">
      <c r="A167" s="48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64"/>
    </row>
    <row r="168">
      <c r="A168" s="48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64"/>
    </row>
    <row r="169">
      <c r="A169" s="48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64"/>
    </row>
    <row r="170">
      <c r="A170" s="48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64"/>
    </row>
    <row r="171">
      <c r="A171" s="48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64"/>
    </row>
    <row r="172">
      <c r="A172" s="48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64"/>
    </row>
    <row r="173">
      <c r="A173" s="48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64"/>
    </row>
    <row r="174">
      <c r="A174" s="48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64"/>
    </row>
    <row r="175">
      <c r="A175" s="48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64"/>
    </row>
    <row r="176">
      <c r="A176" s="48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64"/>
    </row>
    <row r="177">
      <c r="A177" s="48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64"/>
    </row>
    <row r="178">
      <c r="A178" s="48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64"/>
    </row>
    <row r="179">
      <c r="A179" s="48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64"/>
    </row>
    <row r="180">
      <c r="A180" s="48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64"/>
    </row>
    <row r="181">
      <c r="A181" s="48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64"/>
    </row>
    <row r="182">
      <c r="A182" s="48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64"/>
    </row>
    <row r="183">
      <c r="A183" s="48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64"/>
    </row>
    <row r="184">
      <c r="A184" s="48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64"/>
    </row>
    <row r="185">
      <c r="A185" s="48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64"/>
    </row>
    <row r="186">
      <c r="A186" s="48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64"/>
    </row>
    <row r="187">
      <c r="A187" s="48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64"/>
    </row>
    <row r="188">
      <c r="A188" s="48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64"/>
    </row>
    <row r="189">
      <c r="A189" s="48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64"/>
    </row>
    <row r="190">
      <c r="A190" s="48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64"/>
    </row>
    <row r="191">
      <c r="A191" s="48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64"/>
    </row>
    <row r="192">
      <c r="A192" s="48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64"/>
    </row>
    <row r="193">
      <c r="A193" s="48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64"/>
    </row>
    <row r="194">
      <c r="A194" s="48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64"/>
    </row>
    <row r="195">
      <c r="A195" s="48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64"/>
    </row>
    <row r="196">
      <c r="A196" s="48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64"/>
    </row>
    <row r="197">
      <c r="A197" s="48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64"/>
    </row>
    <row r="198">
      <c r="A198" s="48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64"/>
    </row>
    <row r="199">
      <c r="A199" s="48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64"/>
    </row>
    <row r="200">
      <c r="A200" s="48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64"/>
    </row>
    <row r="201">
      <c r="A201" s="48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64"/>
    </row>
    <row r="202">
      <c r="A202" s="48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64"/>
    </row>
    <row r="203">
      <c r="A203" s="48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64"/>
    </row>
    <row r="204">
      <c r="A204" s="48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64"/>
    </row>
    <row r="205">
      <c r="A205" s="48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64"/>
    </row>
    <row r="206">
      <c r="A206" s="48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64"/>
    </row>
    <row r="207">
      <c r="A207" s="48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64"/>
    </row>
    <row r="208">
      <c r="A208" s="48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64"/>
    </row>
    <row r="209">
      <c r="A209" s="48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64"/>
    </row>
    <row r="210">
      <c r="A210" s="48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64"/>
    </row>
    <row r="211">
      <c r="A211" s="48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64"/>
    </row>
    <row r="212">
      <c r="A212" s="48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64"/>
    </row>
    <row r="213">
      <c r="A213" s="48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64"/>
    </row>
    <row r="214">
      <c r="A214" s="48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64"/>
    </row>
    <row r="215">
      <c r="A215" s="48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64"/>
    </row>
    <row r="216">
      <c r="A216" s="48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64"/>
    </row>
    <row r="217">
      <c r="A217" s="48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64"/>
    </row>
    <row r="218">
      <c r="A218" s="48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64"/>
    </row>
    <row r="219">
      <c r="A219" s="48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64"/>
    </row>
    <row r="220">
      <c r="A220" s="48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64"/>
    </row>
    <row r="221">
      <c r="A221" s="48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64"/>
    </row>
    <row r="222">
      <c r="A222" s="48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64"/>
    </row>
    <row r="223">
      <c r="A223" s="48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64"/>
    </row>
    <row r="224">
      <c r="A224" s="48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64"/>
    </row>
    <row r="225">
      <c r="A225" s="48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64"/>
    </row>
    <row r="226">
      <c r="A226" s="48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64"/>
    </row>
    <row r="227">
      <c r="A227" s="48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64"/>
    </row>
    <row r="228">
      <c r="A228" s="48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64"/>
    </row>
    <row r="229">
      <c r="A229" s="48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64"/>
    </row>
    <row r="230">
      <c r="A230" s="48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64"/>
    </row>
    <row r="231">
      <c r="A231" s="48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64"/>
    </row>
    <row r="232">
      <c r="A232" s="48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64"/>
    </row>
    <row r="233">
      <c r="A233" s="48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64"/>
    </row>
    <row r="234">
      <c r="A234" s="48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64"/>
    </row>
    <row r="235">
      <c r="A235" s="48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64"/>
    </row>
    <row r="236">
      <c r="A236" s="48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64"/>
    </row>
    <row r="237">
      <c r="A237" s="48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64"/>
    </row>
    <row r="238">
      <c r="A238" s="48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64"/>
    </row>
    <row r="239">
      <c r="A239" s="48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64"/>
    </row>
    <row r="240">
      <c r="A240" s="48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64"/>
    </row>
    <row r="241">
      <c r="A241" s="48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64"/>
    </row>
    <row r="242">
      <c r="A242" s="48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64"/>
    </row>
    <row r="243">
      <c r="A243" s="48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64"/>
    </row>
    <row r="244">
      <c r="A244" s="48"/>
      <c r="B244" s="48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64"/>
    </row>
    <row r="245">
      <c r="A245" s="48"/>
      <c r="B245" s="48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64"/>
    </row>
    <row r="246">
      <c r="A246" s="48"/>
      <c r="B246" s="48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64"/>
    </row>
    <row r="247">
      <c r="A247" s="48"/>
      <c r="B247" s="48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64"/>
    </row>
    <row r="248">
      <c r="A248" s="48"/>
      <c r="B248" s="48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64"/>
    </row>
    <row r="249">
      <c r="A249" s="48"/>
      <c r="B249" s="48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64"/>
    </row>
    <row r="250">
      <c r="A250" s="48"/>
      <c r="B250" s="48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64"/>
    </row>
    <row r="251">
      <c r="A251" s="48"/>
      <c r="B251" s="48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64"/>
    </row>
    <row r="252">
      <c r="A252" s="48"/>
      <c r="B252" s="48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64"/>
    </row>
    <row r="253">
      <c r="A253" s="48"/>
      <c r="B253" s="48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64"/>
    </row>
    <row r="254">
      <c r="A254" s="48"/>
      <c r="B254" s="48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64"/>
    </row>
    <row r="255">
      <c r="A255" s="48"/>
      <c r="B255" s="48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64"/>
    </row>
    <row r="256">
      <c r="A256" s="48"/>
      <c r="B256" s="48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64"/>
    </row>
    <row r="257">
      <c r="A257" s="48"/>
      <c r="B257" s="48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64"/>
    </row>
    <row r="258">
      <c r="A258" s="48"/>
      <c r="B258" s="48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64"/>
    </row>
    <row r="259">
      <c r="A259" s="48"/>
      <c r="B259" s="48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64"/>
    </row>
    <row r="260">
      <c r="A260" s="48"/>
      <c r="B260" s="48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64"/>
    </row>
    <row r="261">
      <c r="A261" s="48"/>
      <c r="B261" s="48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64"/>
    </row>
    <row r="262">
      <c r="A262" s="48"/>
      <c r="B262" s="48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64"/>
    </row>
    <row r="263">
      <c r="A263" s="48"/>
      <c r="B263" s="48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64"/>
    </row>
    <row r="264">
      <c r="A264" s="48"/>
      <c r="B264" s="48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64"/>
    </row>
    <row r="265">
      <c r="A265" s="48"/>
      <c r="B265" s="48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64"/>
    </row>
    <row r="266">
      <c r="A266" s="48"/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64"/>
    </row>
    <row r="267">
      <c r="A267" s="48"/>
      <c r="B267" s="48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64"/>
    </row>
    <row r="268">
      <c r="A268" s="48"/>
      <c r="B268" s="48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64"/>
    </row>
    <row r="269">
      <c r="A269" s="48"/>
      <c r="B269" s="48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64"/>
    </row>
    <row r="270">
      <c r="A270" s="48"/>
      <c r="B270" s="48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64"/>
    </row>
    <row r="271">
      <c r="A271" s="48"/>
      <c r="B271" s="48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64"/>
    </row>
    <row r="272">
      <c r="A272" s="48"/>
      <c r="B272" s="48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64"/>
    </row>
    <row r="273">
      <c r="A273" s="48"/>
      <c r="B273" s="48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64"/>
    </row>
    <row r="274">
      <c r="A274" s="48"/>
      <c r="B274" s="48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64"/>
    </row>
    <row r="275">
      <c r="A275" s="48"/>
      <c r="B275" s="48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64"/>
    </row>
    <row r="276">
      <c r="A276" s="48"/>
      <c r="B276" s="48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64"/>
    </row>
    <row r="277">
      <c r="A277" s="48"/>
      <c r="B277" s="48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64"/>
    </row>
    <row r="278">
      <c r="A278" s="48"/>
      <c r="B278" s="48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64"/>
    </row>
    <row r="279">
      <c r="A279" s="48"/>
      <c r="B279" s="48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64"/>
    </row>
    <row r="280">
      <c r="A280" s="48"/>
      <c r="B280" s="48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64"/>
    </row>
    <row r="281">
      <c r="A281" s="48"/>
      <c r="B281" s="48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64"/>
    </row>
    <row r="282">
      <c r="A282" s="48"/>
      <c r="B282" s="48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64"/>
    </row>
    <row r="283">
      <c r="A283" s="48"/>
      <c r="B283" s="48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64"/>
    </row>
    <row r="284">
      <c r="A284" s="48"/>
      <c r="B284" s="48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64"/>
    </row>
    <row r="285">
      <c r="A285" s="48"/>
      <c r="B285" s="48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64"/>
    </row>
    <row r="286">
      <c r="A286" s="48"/>
      <c r="B286" s="48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64"/>
    </row>
    <row r="287">
      <c r="A287" s="48"/>
      <c r="B287" s="48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64"/>
    </row>
    <row r="288">
      <c r="A288" s="48"/>
      <c r="B288" s="48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64"/>
    </row>
    <row r="289">
      <c r="A289" s="48"/>
      <c r="B289" s="48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64"/>
    </row>
    <row r="290">
      <c r="A290" s="48"/>
      <c r="B290" s="48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64"/>
    </row>
    <row r="291">
      <c r="A291" s="48"/>
      <c r="B291" s="48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64"/>
    </row>
    <row r="292">
      <c r="A292" s="48"/>
      <c r="B292" s="48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64"/>
    </row>
    <row r="293">
      <c r="A293" s="48"/>
      <c r="B293" s="48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64"/>
    </row>
    <row r="294">
      <c r="A294" s="48"/>
      <c r="B294" s="48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64"/>
    </row>
    <row r="295">
      <c r="A295" s="48"/>
      <c r="B295" s="48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64"/>
    </row>
    <row r="296">
      <c r="A296" s="48"/>
      <c r="B296" s="48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64"/>
    </row>
    <row r="297">
      <c r="A297" s="48"/>
      <c r="B297" s="48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64"/>
    </row>
    <row r="298">
      <c r="A298" s="48"/>
      <c r="B298" s="48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64"/>
    </row>
    <row r="299">
      <c r="A299" s="48"/>
      <c r="B299" s="48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64"/>
    </row>
    <row r="300">
      <c r="A300" s="48"/>
      <c r="B300" s="48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64"/>
    </row>
    <row r="301">
      <c r="A301" s="48"/>
      <c r="B301" s="48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64"/>
    </row>
    <row r="302">
      <c r="A302" s="48"/>
      <c r="B302" s="48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64"/>
    </row>
    <row r="303">
      <c r="A303" s="48"/>
      <c r="B303" s="48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64"/>
    </row>
    <row r="304">
      <c r="A304" s="48"/>
      <c r="B304" s="48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64"/>
    </row>
    <row r="305">
      <c r="A305" s="48"/>
      <c r="B305" s="48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64"/>
    </row>
    <row r="306">
      <c r="A306" s="48"/>
      <c r="B306" s="48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64"/>
    </row>
    <row r="307">
      <c r="A307" s="48"/>
      <c r="B307" s="48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64"/>
    </row>
    <row r="308">
      <c r="A308" s="48"/>
      <c r="B308" s="48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64"/>
    </row>
    <row r="309">
      <c r="A309" s="48"/>
      <c r="B309" s="48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64"/>
    </row>
    <row r="310">
      <c r="A310" s="48"/>
      <c r="B310" s="48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64"/>
    </row>
    <row r="311">
      <c r="A311" s="48"/>
      <c r="B311" s="48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64"/>
    </row>
    <row r="312">
      <c r="A312" s="48"/>
      <c r="B312" s="48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64"/>
    </row>
    <row r="313">
      <c r="A313" s="48"/>
      <c r="B313" s="48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64"/>
    </row>
    <row r="314">
      <c r="A314" s="48"/>
      <c r="B314" s="48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64"/>
    </row>
    <row r="315">
      <c r="A315" s="48"/>
      <c r="B315" s="48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64"/>
    </row>
    <row r="316">
      <c r="A316" s="48"/>
      <c r="B316" s="48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64"/>
    </row>
    <row r="317">
      <c r="A317" s="48"/>
      <c r="B317" s="48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64"/>
    </row>
    <row r="318">
      <c r="A318" s="48"/>
      <c r="B318" s="48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64"/>
    </row>
    <row r="319">
      <c r="A319" s="48"/>
      <c r="B319" s="48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64"/>
    </row>
    <row r="320">
      <c r="A320" s="48"/>
      <c r="B320" s="48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64"/>
    </row>
    <row r="321">
      <c r="A321" s="48"/>
      <c r="B321" s="48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64"/>
    </row>
    <row r="322">
      <c r="A322" s="48"/>
      <c r="B322" s="48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64"/>
    </row>
    <row r="323">
      <c r="A323" s="48"/>
      <c r="B323" s="48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64"/>
    </row>
    <row r="324">
      <c r="A324" s="48"/>
      <c r="B324" s="48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64"/>
    </row>
    <row r="325">
      <c r="A325" s="48"/>
      <c r="B325" s="48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64"/>
    </row>
    <row r="326">
      <c r="A326" s="48"/>
      <c r="B326" s="48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64"/>
    </row>
    <row r="327">
      <c r="A327" s="48"/>
      <c r="B327" s="48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64"/>
    </row>
    <row r="328">
      <c r="A328" s="48"/>
      <c r="B328" s="48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64"/>
    </row>
    <row r="329">
      <c r="A329" s="48"/>
      <c r="B329" s="48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64"/>
    </row>
    <row r="330">
      <c r="A330" s="48"/>
      <c r="B330" s="48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64"/>
    </row>
    <row r="331">
      <c r="A331" s="48"/>
      <c r="B331" s="48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64"/>
    </row>
    <row r="332">
      <c r="A332" s="48"/>
      <c r="B332" s="48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64"/>
    </row>
    <row r="333">
      <c r="A333" s="48"/>
      <c r="B333" s="48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64"/>
    </row>
    <row r="334">
      <c r="A334" s="48"/>
      <c r="B334" s="48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64"/>
    </row>
    <row r="335">
      <c r="A335" s="48"/>
      <c r="B335" s="48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64"/>
    </row>
    <row r="336">
      <c r="A336" s="48"/>
      <c r="B336" s="48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64"/>
    </row>
    <row r="337">
      <c r="A337" s="48"/>
      <c r="B337" s="48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64"/>
    </row>
    <row r="338">
      <c r="A338" s="48"/>
      <c r="B338" s="48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64"/>
    </row>
    <row r="339">
      <c r="A339" s="48"/>
      <c r="B339" s="48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64"/>
    </row>
    <row r="340">
      <c r="A340" s="48"/>
      <c r="B340" s="48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64"/>
    </row>
    <row r="341">
      <c r="A341" s="48"/>
      <c r="B341" s="48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64"/>
    </row>
    <row r="342">
      <c r="A342" s="48"/>
      <c r="B342" s="48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64"/>
    </row>
    <row r="343">
      <c r="A343" s="48"/>
      <c r="B343" s="48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64"/>
    </row>
    <row r="344">
      <c r="A344" s="48"/>
      <c r="B344" s="48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64"/>
    </row>
    <row r="345">
      <c r="A345" s="48"/>
      <c r="B345" s="48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64"/>
    </row>
    <row r="346">
      <c r="A346" s="48"/>
      <c r="B346" s="48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64"/>
    </row>
    <row r="347">
      <c r="A347" s="48"/>
      <c r="B347" s="48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64"/>
    </row>
    <row r="348">
      <c r="A348" s="48"/>
      <c r="B348" s="48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64"/>
    </row>
    <row r="349">
      <c r="A349" s="48"/>
      <c r="B349" s="48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64"/>
    </row>
    <row r="350">
      <c r="A350" s="48"/>
      <c r="B350" s="48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64"/>
    </row>
    <row r="351">
      <c r="A351" s="48"/>
      <c r="B351" s="48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64"/>
    </row>
    <row r="352">
      <c r="A352" s="48"/>
      <c r="B352" s="48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64"/>
    </row>
    <row r="353">
      <c r="A353" s="48"/>
      <c r="B353" s="48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64"/>
    </row>
    <row r="354">
      <c r="A354" s="48"/>
      <c r="B354" s="48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64"/>
    </row>
    <row r="355">
      <c r="A355" s="48"/>
      <c r="B355" s="48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64"/>
    </row>
    <row r="356">
      <c r="A356" s="48"/>
      <c r="B356" s="48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64"/>
    </row>
    <row r="357">
      <c r="A357" s="48"/>
      <c r="B357" s="48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64"/>
    </row>
    <row r="358">
      <c r="A358" s="48"/>
      <c r="B358" s="48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64"/>
    </row>
    <row r="359">
      <c r="A359" s="48"/>
      <c r="B359" s="48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64"/>
    </row>
    <row r="360">
      <c r="A360" s="48"/>
      <c r="B360" s="48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64"/>
    </row>
    <row r="361">
      <c r="A361" s="48"/>
      <c r="B361" s="48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64"/>
    </row>
    <row r="362">
      <c r="A362" s="48"/>
      <c r="B362" s="48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64"/>
    </row>
    <row r="363">
      <c r="A363" s="48"/>
      <c r="B363" s="48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64"/>
    </row>
    <row r="364">
      <c r="A364" s="48"/>
      <c r="B364" s="48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64"/>
    </row>
    <row r="365">
      <c r="A365" s="48"/>
      <c r="B365" s="48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64"/>
    </row>
    <row r="366">
      <c r="A366" s="48"/>
      <c r="B366" s="48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64"/>
    </row>
    <row r="367">
      <c r="A367" s="48"/>
      <c r="B367" s="48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64"/>
    </row>
    <row r="368">
      <c r="A368" s="48"/>
      <c r="B368" s="48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64"/>
    </row>
    <row r="369">
      <c r="A369" s="48"/>
      <c r="B369" s="48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64"/>
    </row>
    <row r="370">
      <c r="A370" s="48"/>
      <c r="B370" s="48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64"/>
    </row>
    <row r="371">
      <c r="A371" s="48"/>
      <c r="B371" s="48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64"/>
    </row>
    <row r="372">
      <c r="A372" s="48"/>
      <c r="B372" s="48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64"/>
    </row>
    <row r="373">
      <c r="A373" s="48"/>
      <c r="B373" s="48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64"/>
    </row>
    <row r="374">
      <c r="A374" s="48"/>
      <c r="B374" s="48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64"/>
    </row>
    <row r="375">
      <c r="A375" s="48"/>
      <c r="B375" s="48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64"/>
    </row>
    <row r="376">
      <c r="A376" s="48"/>
      <c r="B376" s="48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64"/>
    </row>
    <row r="377">
      <c r="A377" s="48"/>
      <c r="B377" s="48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64"/>
    </row>
    <row r="378">
      <c r="A378" s="48"/>
      <c r="B378" s="48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64"/>
    </row>
    <row r="379">
      <c r="A379" s="48"/>
      <c r="B379" s="48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64"/>
    </row>
    <row r="380">
      <c r="A380" s="48"/>
      <c r="B380" s="48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64"/>
    </row>
    <row r="381">
      <c r="A381" s="48"/>
      <c r="B381" s="48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64"/>
    </row>
    <row r="382">
      <c r="A382" s="48"/>
      <c r="B382" s="48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64"/>
    </row>
    <row r="383">
      <c r="A383" s="48"/>
      <c r="B383" s="48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64"/>
    </row>
    <row r="384">
      <c r="A384" s="48"/>
      <c r="B384" s="48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64"/>
    </row>
    <row r="385">
      <c r="A385" s="48"/>
      <c r="B385" s="48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64"/>
    </row>
    <row r="386">
      <c r="A386" s="48"/>
      <c r="B386" s="48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64"/>
    </row>
    <row r="387">
      <c r="A387" s="48"/>
      <c r="B387" s="48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64"/>
    </row>
    <row r="388">
      <c r="A388" s="48"/>
      <c r="B388" s="48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64"/>
    </row>
    <row r="389">
      <c r="A389" s="48"/>
      <c r="B389" s="48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64"/>
    </row>
    <row r="390">
      <c r="A390" s="48"/>
      <c r="B390" s="48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64"/>
    </row>
    <row r="391">
      <c r="A391" s="48"/>
      <c r="B391" s="48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64"/>
    </row>
    <row r="392">
      <c r="A392" s="48"/>
      <c r="B392" s="48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64"/>
    </row>
    <row r="393">
      <c r="A393" s="48"/>
      <c r="B393" s="48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64"/>
    </row>
    <row r="394">
      <c r="A394" s="48"/>
      <c r="B394" s="48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64"/>
    </row>
    <row r="395">
      <c r="A395" s="48"/>
      <c r="B395" s="48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64"/>
    </row>
    <row r="396">
      <c r="A396" s="48"/>
      <c r="B396" s="48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64"/>
    </row>
    <row r="397">
      <c r="A397" s="48"/>
      <c r="B397" s="48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64"/>
    </row>
    <row r="398">
      <c r="A398" s="48"/>
      <c r="B398" s="48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64"/>
    </row>
    <row r="399">
      <c r="A399" s="48"/>
      <c r="B399" s="48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64"/>
    </row>
    <row r="400">
      <c r="A400" s="48"/>
      <c r="B400" s="48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64"/>
    </row>
    <row r="401">
      <c r="A401" s="48"/>
      <c r="B401" s="48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64"/>
    </row>
    <row r="402">
      <c r="A402" s="48"/>
      <c r="B402" s="48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64"/>
    </row>
    <row r="403">
      <c r="A403" s="48"/>
      <c r="B403" s="48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64"/>
    </row>
    <row r="404">
      <c r="A404" s="48"/>
      <c r="B404" s="48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64"/>
    </row>
    <row r="405">
      <c r="A405" s="48"/>
      <c r="B405" s="48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64"/>
    </row>
    <row r="406">
      <c r="A406" s="48"/>
      <c r="B406" s="48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64"/>
    </row>
    <row r="407">
      <c r="A407" s="48"/>
      <c r="B407" s="48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64"/>
    </row>
    <row r="408">
      <c r="A408" s="48"/>
      <c r="B408" s="48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64"/>
    </row>
    <row r="409">
      <c r="A409" s="48"/>
      <c r="B409" s="48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64"/>
    </row>
    <row r="410">
      <c r="A410" s="48"/>
      <c r="B410" s="48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64"/>
    </row>
    <row r="411">
      <c r="A411" s="48"/>
      <c r="B411" s="48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64"/>
    </row>
    <row r="412">
      <c r="A412" s="48"/>
      <c r="B412" s="48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64"/>
    </row>
    <row r="413">
      <c r="A413" s="48"/>
      <c r="B413" s="48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64"/>
    </row>
    <row r="414">
      <c r="A414" s="48"/>
      <c r="B414" s="48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64"/>
    </row>
    <row r="415">
      <c r="A415" s="48"/>
      <c r="B415" s="48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64"/>
    </row>
    <row r="416">
      <c r="A416" s="48"/>
      <c r="B416" s="48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64"/>
    </row>
    <row r="417">
      <c r="A417" s="48"/>
      <c r="B417" s="48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64"/>
    </row>
    <row r="418">
      <c r="A418" s="48"/>
      <c r="B418" s="48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64"/>
    </row>
    <row r="419">
      <c r="A419" s="48"/>
      <c r="B419" s="48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64"/>
    </row>
    <row r="420">
      <c r="A420" s="48"/>
      <c r="B420" s="48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64"/>
    </row>
    <row r="421">
      <c r="A421" s="48"/>
      <c r="B421" s="48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64"/>
    </row>
    <row r="422">
      <c r="A422" s="48"/>
      <c r="B422" s="48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64"/>
    </row>
    <row r="423">
      <c r="A423" s="48"/>
      <c r="B423" s="48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64"/>
    </row>
    <row r="424">
      <c r="A424" s="48"/>
      <c r="B424" s="48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64"/>
    </row>
    <row r="425">
      <c r="A425" s="48"/>
      <c r="B425" s="48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64"/>
    </row>
    <row r="426">
      <c r="A426" s="48"/>
      <c r="B426" s="48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64"/>
    </row>
    <row r="427">
      <c r="A427" s="48"/>
      <c r="B427" s="48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64"/>
    </row>
    <row r="428">
      <c r="A428" s="48"/>
      <c r="B428" s="48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64"/>
    </row>
    <row r="429">
      <c r="A429" s="48"/>
      <c r="B429" s="48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64"/>
    </row>
    <row r="430">
      <c r="A430" s="48"/>
      <c r="B430" s="48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64"/>
    </row>
    <row r="431">
      <c r="A431" s="48"/>
      <c r="B431" s="48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64"/>
    </row>
    <row r="432">
      <c r="A432" s="48"/>
      <c r="B432" s="48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64"/>
    </row>
    <row r="433">
      <c r="A433" s="48"/>
      <c r="B433" s="48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64"/>
    </row>
    <row r="434">
      <c r="A434" s="48"/>
      <c r="B434" s="48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64"/>
    </row>
    <row r="435">
      <c r="A435" s="48"/>
      <c r="B435" s="48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64"/>
    </row>
    <row r="436">
      <c r="A436" s="48"/>
      <c r="B436" s="48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64"/>
    </row>
    <row r="437">
      <c r="A437" s="48"/>
      <c r="B437" s="48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64"/>
    </row>
    <row r="438">
      <c r="A438" s="48"/>
      <c r="B438" s="48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64"/>
    </row>
    <row r="439">
      <c r="A439" s="48"/>
      <c r="B439" s="48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64"/>
    </row>
    <row r="440">
      <c r="A440" s="48"/>
      <c r="B440" s="48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64"/>
    </row>
    <row r="441">
      <c r="A441" s="48"/>
      <c r="B441" s="48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64"/>
    </row>
    <row r="442">
      <c r="A442" s="48"/>
      <c r="B442" s="48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64"/>
    </row>
    <row r="443">
      <c r="A443" s="48"/>
      <c r="B443" s="48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64"/>
    </row>
    <row r="444">
      <c r="A444" s="48"/>
      <c r="B444" s="48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64"/>
    </row>
    <row r="445">
      <c r="A445" s="48"/>
      <c r="B445" s="48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64"/>
    </row>
    <row r="446">
      <c r="A446" s="48"/>
      <c r="B446" s="48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64"/>
    </row>
    <row r="447">
      <c r="A447" s="48"/>
      <c r="B447" s="48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64"/>
    </row>
    <row r="448">
      <c r="A448" s="48"/>
      <c r="B448" s="48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64"/>
    </row>
    <row r="449">
      <c r="A449" s="48"/>
      <c r="B449" s="48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64"/>
    </row>
    <row r="450">
      <c r="A450" s="48"/>
      <c r="B450" s="48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64"/>
    </row>
    <row r="451">
      <c r="A451" s="48"/>
      <c r="B451" s="48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64"/>
    </row>
    <row r="452">
      <c r="A452" s="48"/>
      <c r="B452" s="48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64"/>
    </row>
    <row r="453">
      <c r="A453" s="48"/>
      <c r="B453" s="48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64"/>
    </row>
    <row r="454">
      <c r="A454" s="48"/>
      <c r="B454" s="48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64"/>
    </row>
    <row r="455">
      <c r="A455" s="48"/>
      <c r="B455" s="48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64"/>
    </row>
    <row r="456">
      <c r="A456" s="48"/>
      <c r="B456" s="48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64"/>
    </row>
    <row r="457">
      <c r="A457" s="48"/>
      <c r="B457" s="48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64"/>
    </row>
    <row r="458">
      <c r="A458" s="48"/>
      <c r="B458" s="48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64"/>
    </row>
    <row r="459">
      <c r="A459" s="48"/>
      <c r="B459" s="48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64"/>
    </row>
    <row r="460">
      <c r="A460" s="48"/>
      <c r="B460" s="48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64"/>
    </row>
    <row r="461">
      <c r="A461" s="48"/>
      <c r="B461" s="48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64"/>
    </row>
    <row r="462">
      <c r="A462" s="48"/>
      <c r="B462" s="48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64"/>
    </row>
    <row r="463">
      <c r="A463" s="48"/>
      <c r="B463" s="48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64"/>
    </row>
    <row r="464">
      <c r="A464" s="48"/>
      <c r="B464" s="48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64"/>
    </row>
    <row r="465">
      <c r="A465" s="48"/>
      <c r="B465" s="48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64"/>
    </row>
    <row r="466">
      <c r="A466" s="48"/>
      <c r="B466" s="48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64"/>
    </row>
    <row r="467">
      <c r="A467" s="48"/>
      <c r="B467" s="48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64"/>
    </row>
    <row r="468">
      <c r="A468" s="48"/>
      <c r="B468" s="48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64"/>
    </row>
    <row r="469">
      <c r="A469" s="48"/>
      <c r="B469" s="48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64"/>
    </row>
    <row r="470">
      <c r="A470" s="48"/>
      <c r="B470" s="48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64"/>
    </row>
    <row r="471">
      <c r="A471" s="48"/>
      <c r="B471" s="48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64"/>
    </row>
    <row r="472">
      <c r="A472" s="48"/>
      <c r="B472" s="48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64"/>
    </row>
    <row r="473">
      <c r="A473" s="48"/>
      <c r="B473" s="48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64"/>
    </row>
    <row r="474">
      <c r="A474" s="48"/>
      <c r="B474" s="48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64"/>
    </row>
    <row r="475">
      <c r="A475" s="48"/>
      <c r="B475" s="48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64"/>
    </row>
    <row r="476">
      <c r="A476" s="48"/>
      <c r="B476" s="48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64"/>
    </row>
    <row r="477">
      <c r="A477" s="48"/>
      <c r="B477" s="48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64"/>
    </row>
    <row r="478">
      <c r="A478" s="48"/>
      <c r="B478" s="48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64"/>
    </row>
    <row r="479">
      <c r="A479" s="48"/>
      <c r="B479" s="48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64"/>
    </row>
    <row r="480">
      <c r="A480" s="48"/>
      <c r="B480" s="48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64"/>
    </row>
    <row r="481">
      <c r="A481" s="48"/>
      <c r="B481" s="48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64"/>
    </row>
    <row r="482">
      <c r="A482" s="48"/>
      <c r="B482" s="48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64"/>
    </row>
    <row r="483">
      <c r="A483" s="48"/>
      <c r="B483" s="48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64"/>
    </row>
    <row r="484">
      <c r="A484" s="48"/>
      <c r="B484" s="48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64"/>
    </row>
    <row r="485">
      <c r="A485" s="48"/>
      <c r="B485" s="48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64"/>
    </row>
    <row r="486">
      <c r="A486" s="48"/>
      <c r="B486" s="48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64"/>
    </row>
    <row r="487">
      <c r="A487" s="48"/>
      <c r="B487" s="48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64"/>
    </row>
    <row r="488">
      <c r="A488" s="48"/>
      <c r="B488" s="48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64"/>
    </row>
    <row r="489">
      <c r="A489" s="48"/>
      <c r="B489" s="48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64"/>
    </row>
    <row r="490">
      <c r="A490" s="48"/>
      <c r="B490" s="48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64"/>
    </row>
    <row r="491">
      <c r="A491" s="48"/>
      <c r="B491" s="48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64"/>
    </row>
    <row r="492">
      <c r="A492" s="48"/>
      <c r="B492" s="48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64"/>
    </row>
    <row r="493">
      <c r="A493" s="48"/>
      <c r="B493" s="48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64"/>
    </row>
    <row r="494">
      <c r="A494" s="48"/>
      <c r="B494" s="48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64"/>
    </row>
    <row r="495">
      <c r="A495" s="48"/>
      <c r="B495" s="48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64"/>
    </row>
    <row r="496">
      <c r="A496" s="48"/>
      <c r="B496" s="48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64"/>
    </row>
    <row r="497">
      <c r="A497" s="48"/>
      <c r="B497" s="48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64"/>
    </row>
    <row r="498">
      <c r="A498" s="48"/>
      <c r="B498" s="48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64"/>
    </row>
    <row r="499">
      <c r="A499" s="48"/>
      <c r="B499" s="48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64"/>
    </row>
    <row r="500">
      <c r="A500" s="48"/>
      <c r="B500" s="48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64"/>
    </row>
    <row r="501">
      <c r="A501" s="48"/>
      <c r="B501" s="48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64"/>
    </row>
    <row r="502">
      <c r="A502" s="48"/>
      <c r="B502" s="48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64"/>
    </row>
    <row r="503">
      <c r="A503" s="48"/>
      <c r="B503" s="48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64"/>
    </row>
    <row r="504">
      <c r="A504" s="48"/>
      <c r="B504" s="48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64"/>
    </row>
    <row r="505">
      <c r="A505" s="48"/>
      <c r="B505" s="48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64"/>
    </row>
    <row r="506">
      <c r="A506" s="48"/>
      <c r="B506" s="48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64"/>
    </row>
    <row r="507">
      <c r="A507" s="48"/>
      <c r="B507" s="48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64"/>
    </row>
    <row r="508">
      <c r="A508" s="48"/>
      <c r="B508" s="48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64"/>
    </row>
    <row r="509">
      <c r="A509" s="48"/>
      <c r="B509" s="48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64"/>
    </row>
    <row r="510">
      <c r="A510" s="48"/>
      <c r="B510" s="48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64"/>
    </row>
    <row r="511">
      <c r="A511" s="48"/>
      <c r="B511" s="48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64"/>
    </row>
    <row r="512">
      <c r="A512" s="48"/>
      <c r="B512" s="48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64"/>
    </row>
    <row r="513">
      <c r="A513" s="48"/>
      <c r="B513" s="48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64"/>
    </row>
    <row r="514">
      <c r="A514" s="48"/>
      <c r="B514" s="48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64"/>
    </row>
    <row r="515">
      <c r="A515" s="48"/>
      <c r="B515" s="48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64"/>
    </row>
    <row r="516">
      <c r="A516" s="48"/>
      <c r="B516" s="48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64"/>
    </row>
    <row r="517">
      <c r="A517" s="48"/>
      <c r="B517" s="48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64"/>
    </row>
    <row r="518">
      <c r="A518" s="48"/>
      <c r="B518" s="48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64"/>
    </row>
    <row r="519">
      <c r="A519" s="48"/>
      <c r="B519" s="48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64"/>
    </row>
    <row r="520">
      <c r="A520" s="48"/>
      <c r="B520" s="48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64"/>
    </row>
    <row r="521">
      <c r="A521" s="48"/>
      <c r="B521" s="48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64"/>
    </row>
    <row r="522">
      <c r="A522" s="48"/>
      <c r="B522" s="48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64"/>
    </row>
    <row r="523">
      <c r="A523" s="48"/>
      <c r="B523" s="48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64"/>
    </row>
    <row r="524">
      <c r="A524" s="48"/>
      <c r="B524" s="48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64"/>
    </row>
    <row r="525">
      <c r="A525" s="48"/>
      <c r="B525" s="48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64"/>
    </row>
    <row r="526">
      <c r="A526" s="48"/>
      <c r="B526" s="48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64"/>
    </row>
    <row r="527">
      <c r="A527" s="48"/>
      <c r="B527" s="48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64"/>
    </row>
    <row r="528">
      <c r="A528" s="48"/>
      <c r="B528" s="48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64"/>
    </row>
    <row r="529">
      <c r="A529" s="48"/>
      <c r="B529" s="48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64"/>
    </row>
    <row r="530">
      <c r="A530" s="48"/>
      <c r="B530" s="48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64"/>
    </row>
    <row r="531">
      <c r="A531" s="48"/>
      <c r="B531" s="48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64"/>
    </row>
    <row r="532">
      <c r="A532" s="48"/>
      <c r="B532" s="48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64"/>
    </row>
    <row r="533">
      <c r="A533" s="48"/>
      <c r="B533" s="48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64"/>
    </row>
    <row r="534">
      <c r="A534" s="48"/>
      <c r="B534" s="48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64"/>
    </row>
    <row r="535">
      <c r="A535" s="48"/>
      <c r="B535" s="48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64"/>
    </row>
    <row r="536">
      <c r="A536" s="48"/>
      <c r="B536" s="48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64"/>
    </row>
    <row r="537">
      <c r="A537" s="48"/>
      <c r="B537" s="48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64"/>
    </row>
    <row r="538">
      <c r="A538" s="48"/>
      <c r="B538" s="48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64"/>
    </row>
    <row r="539">
      <c r="A539" s="48"/>
      <c r="B539" s="48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64"/>
    </row>
    <row r="540">
      <c r="A540" s="48"/>
      <c r="B540" s="48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64"/>
    </row>
    <row r="541">
      <c r="A541" s="48"/>
      <c r="B541" s="48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64"/>
    </row>
    <row r="542">
      <c r="A542" s="48"/>
      <c r="B542" s="48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64"/>
    </row>
    <row r="543">
      <c r="A543" s="48"/>
      <c r="B543" s="48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64"/>
    </row>
    <row r="544">
      <c r="A544" s="48"/>
      <c r="B544" s="48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64"/>
    </row>
    <row r="545">
      <c r="A545" s="48"/>
      <c r="B545" s="48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64"/>
    </row>
    <row r="546">
      <c r="A546" s="48"/>
      <c r="B546" s="48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64"/>
    </row>
    <row r="547">
      <c r="A547" s="48"/>
      <c r="B547" s="48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64"/>
    </row>
    <row r="548">
      <c r="A548" s="48"/>
      <c r="B548" s="48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64"/>
    </row>
    <row r="549">
      <c r="A549" s="48"/>
      <c r="B549" s="48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64"/>
    </row>
    <row r="550">
      <c r="A550" s="48"/>
      <c r="B550" s="48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64"/>
    </row>
    <row r="551">
      <c r="A551" s="48"/>
      <c r="B551" s="48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64"/>
    </row>
    <row r="552">
      <c r="A552" s="48"/>
      <c r="B552" s="48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64"/>
    </row>
    <row r="553">
      <c r="A553" s="48"/>
      <c r="B553" s="48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64"/>
    </row>
    <row r="554">
      <c r="A554" s="48"/>
      <c r="B554" s="48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64"/>
    </row>
    <row r="555">
      <c r="A555" s="48"/>
      <c r="B555" s="48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64"/>
    </row>
    <row r="556">
      <c r="A556" s="48"/>
      <c r="B556" s="48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64"/>
    </row>
    <row r="557">
      <c r="A557" s="48"/>
      <c r="B557" s="48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64"/>
    </row>
    <row r="558">
      <c r="A558" s="48"/>
      <c r="B558" s="48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64"/>
    </row>
    <row r="559">
      <c r="A559" s="48"/>
      <c r="B559" s="48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64"/>
    </row>
    <row r="560">
      <c r="A560" s="48"/>
      <c r="B560" s="48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64"/>
    </row>
    <row r="561">
      <c r="A561" s="48"/>
      <c r="B561" s="48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64"/>
    </row>
    <row r="562">
      <c r="A562" s="48"/>
      <c r="B562" s="48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64"/>
    </row>
    <row r="563">
      <c r="A563" s="48"/>
      <c r="B563" s="48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64"/>
    </row>
    <row r="564">
      <c r="A564" s="48"/>
      <c r="B564" s="48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64"/>
    </row>
    <row r="565">
      <c r="A565" s="48"/>
      <c r="B565" s="48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64"/>
    </row>
    <row r="566">
      <c r="A566" s="48"/>
      <c r="B566" s="48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64"/>
    </row>
    <row r="567">
      <c r="A567" s="48"/>
      <c r="B567" s="48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64"/>
    </row>
    <row r="568">
      <c r="A568" s="48"/>
      <c r="B568" s="48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64"/>
    </row>
    <row r="569">
      <c r="A569" s="48"/>
      <c r="B569" s="48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64"/>
    </row>
    <row r="570">
      <c r="A570" s="48"/>
      <c r="B570" s="48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64"/>
    </row>
    <row r="571">
      <c r="A571" s="48"/>
      <c r="B571" s="48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64"/>
    </row>
    <row r="572">
      <c r="A572" s="48"/>
      <c r="B572" s="48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64"/>
    </row>
    <row r="573">
      <c r="A573" s="48"/>
      <c r="B573" s="48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64"/>
    </row>
    <row r="574">
      <c r="A574" s="48"/>
      <c r="B574" s="48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64"/>
    </row>
    <row r="575">
      <c r="A575" s="48"/>
      <c r="B575" s="48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64"/>
    </row>
    <row r="576">
      <c r="A576" s="48"/>
      <c r="B576" s="48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64"/>
    </row>
    <row r="577">
      <c r="A577" s="48"/>
      <c r="B577" s="48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64"/>
    </row>
    <row r="578">
      <c r="A578" s="48"/>
      <c r="B578" s="48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64"/>
    </row>
    <row r="579">
      <c r="A579" s="48"/>
      <c r="B579" s="48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64"/>
    </row>
    <row r="580">
      <c r="A580" s="48"/>
      <c r="B580" s="48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64"/>
    </row>
    <row r="581">
      <c r="A581" s="48"/>
      <c r="B581" s="48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64"/>
    </row>
    <row r="582">
      <c r="A582" s="48"/>
      <c r="B582" s="48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64"/>
    </row>
    <row r="583">
      <c r="A583" s="48"/>
      <c r="B583" s="48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64"/>
    </row>
    <row r="584">
      <c r="A584" s="48"/>
      <c r="B584" s="48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64"/>
    </row>
    <row r="585">
      <c r="A585" s="48"/>
      <c r="B585" s="48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64"/>
    </row>
    <row r="586">
      <c r="A586" s="48"/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64"/>
    </row>
    <row r="587">
      <c r="A587" s="48"/>
      <c r="B587" s="48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64"/>
    </row>
    <row r="588">
      <c r="A588" s="48"/>
      <c r="B588" s="48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64"/>
    </row>
    <row r="589">
      <c r="A589" s="48"/>
      <c r="B589" s="48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64"/>
    </row>
    <row r="590">
      <c r="A590" s="48"/>
      <c r="B590" s="48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64"/>
    </row>
    <row r="591">
      <c r="A591" s="48"/>
      <c r="B591" s="48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64"/>
    </row>
    <row r="592">
      <c r="A592" s="48"/>
      <c r="B592" s="48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64"/>
    </row>
    <row r="593">
      <c r="A593" s="48"/>
      <c r="B593" s="48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64"/>
    </row>
    <row r="594">
      <c r="A594" s="48"/>
      <c r="B594" s="48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64"/>
    </row>
    <row r="595">
      <c r="A595" s="48"/>
      <c r="B595" s="48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64"/>
    </row>
    <row r="596">
      <c r="A596" s="48"/>
      <c r="B596" s="48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64"/>
    </row>
    <row r="597">
      <c r="A597" s="48"/>
      <c r="B597" s="48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64"/>
    </row>
    <row r="598">
      <c r="A598" s="48"/>
      <c r="B598" s="48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64"/>
    </row>
    <row r="599">
      <c r="A599" s="48"/>
      <c r="B599" s="48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64"/>
    </row>
    <row r="600">
      <c r="A600" s="48"/>
      <c r="B600" s="48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64"/>
    </row>
    <row r="601">
      <c r="A601" s="48"/>
      <c r="B601" s="48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64"/>
    </row>
    <row r="602">
      <c r="A602" s="48"/>
      <c r="B602" s="48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64"/>
    </row>
    <row r="603">
      <c r="A603" s="48"/>
      <c r="B603" s="48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64"/>
    </row>
    <row r="604">
      <c r="A604" s="48"/>
      <c r="B604" s="48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64"/>
    </row>
    <row r="605">
      <c r="A605" s="48"/>
      <c r="B605" s="48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64"/>
    </row>
    <row r="606">
      <c r="A606" s="48"/>
      <c r="B606" s="48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64"/>
    </row>
    <row r="607">
      <c r="A607" s="48"/>
      <c r="B607" s="48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64"/>
    </row>
    <row r="608">
      <c r="A608" s="48"/>
      <c r="B608" s="48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64"/>
    </row>
    <row r="609">
      <c r="A609" s="48"/>
      <c r="B609" s="48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64"/>
    </row>
    <row r="610">
      <c r="A610" s="48"/>
      <c r="B610" s="48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64"/>
    </row>
    <row r="611">
      <c r="A611" s="48"/>
      <c r="B611" s="48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64"/>
    </row>
    <row r="612">
      <c r="A612" s="48"/>
      <c r="B612" s="48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64"/>
    </row>
    <row r="613">
      <c r="A613" s="48"/>
      <c r="B613" s="48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64"/>
    </row>
    <row r="614">
      <c r="A614" s="48"/>
      <c r="B614" s="48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64"/>
    </row>
    <row r="615">
      <c r="A615" s="48"/>
      <c r="B615" s="48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64"/>
    </row>
    <row r="616">
      <c r="A616" s="48"/>
      <c r="B616" s="48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64"/>
    </row>
    <row r="617">
      <c r="A617" s="48"/>
      <c r="B617" s="48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64"/>
    </row>
    <row r="618">
      <c r="A618" s="48"/>
      <c r="B618" s="48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64"/>
    </row>
    <row r="619">
      <c r="A619" s="48"/>
      <c r="B619" s="48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64"/>
    </row>
    <row r="620">
      <c r="A620" s="48"/>
      <c r="B620" s="48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64"/>
    </row>
    <row r="621">
      <c r="A621" s="48"/>
      <c r="B621" s="48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64"/>
    </row>
    <row r="622">
      <c r="A622" s="48"/>
      <c r="B622" s="48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64"/>
    </row>
    <row r="623">
      <c r="A623" s="48"/>
      <c r="B623" s="48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64"/>
    </row>
    <row r="624">
      <c r="A624" s="48"/>
      <c r="B624" s="48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64"/>
    </row>
    <row r="625">
      <c r="A625" s="48"/>
      <c r="B625" s="48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64"/>
    </row>
    <row r="626">
      <c r="A626" s="48"/>
      <c r="B626" s="48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64"/>
    </row>
    <row r="627">
      <c r="A627" s="48"/>
      <c r="B627" s="48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64"/>
    </row>
    <row r="628">
      <c r="A628" s="48"/>
      <c r="B628" s="48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64"/>
    </row>
    <row r="629">
      <c r="A629" s="48"/>
      <c r="B629" s="48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64"/>
    </row>
    <row r="630">
      <c r="A630" s="48"/>
      <c r="B630" s="48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64"/>
    </row>
    <row r="631">
      <c r="A631" s="48"/>
      <c r="B631" s="48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64"/>
    </row>
    <row r="632">
      <c r="A632" s="48"/>
      <c r="B632" s="48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64"/>
    </row>
    <row r="633">
      <c r="A633" s="48"/>
      <c r="B633" s="48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64"/>
    </row>
    <row r="634">
      <c r="A634" s="48"/>
      <c r="B634" s="48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64"/>
    </row>
    <row r="635">
      <c r="A635" s="48"/>
      <c r="B635" s="48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64"/>
    </row>
    <row r="636">
      <c r="A636" s="48"/>
      <c r="B636" s="48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64"/>
    </row>
    <row r="637">
      <c r="A637" s="48"/>
      <c r="B637" s="48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64"/>
    </row>
    <row r="638">
      <c r="A638" s="48"/>
      <c r="B638" s="48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64"/>
    </row>
    <row r="639">
      <c r="A639" s="48"/>
      <c r="B639" s="48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64"/>
    </row>
    <row r="640">
      <c r="A640" s="48"/>
      <c r="B640" s="48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64"/>
    </row>
    <row r="641">
      <c r="A641" s="48"/>
      <c r="B641" s="48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64"/>
    </row>
    <row r="642">
      <c r="A642" s="48"/>
      <c r="B642" s="48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64"/>
    </row>
    <row r="643">
      <c r="A643" s="48"/>
      <c r="B643" s="48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64"/>
    </row>
    <row r="644">
      <c r="A644" s="48"/>
      <c r="B644" s="48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64"/>
    </row>
    <row r="645">
      <c r="A645" s="48"/>
      <c r="B645" s="48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64"/>
    </row>
    <row r="646">
      <c r="A646" s="48"/>
      <c r="B646" s="48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64"/>
    </row>
    <row r="647">
      <c r="A647" s="48"/>
      <c r="B647" s="48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64"/>
    </row>
    <row r="648">
      <c r="A648" s="48"/>
      <c r="B648" s="48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64"/>
    </row>
    <row r="649">
      <c r="A649" s="48"/>
      <c r="B649" s="48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64"/>
    </row>
    <row r="650">
      <c r="A650" s="48"/>
      <c r="B650" s="48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64"/>
    </row>
    <row r="651">
      <c r="A651" s="48"/>
      <c r="B651" s="48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64"/>
    </row>
    <row r="652">
      <c r="A652" s="48"/>
      <c r="B652" s="48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64"/>
    </row>
    <row r="653">
      <c r="A653" s="48"/>
      <c r="B653" s="48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64"/>
    </row>
    <row r="654">
      <c r="A654" s="48"/>
      <c r="B654" s="48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64"/>
    </row>
    <row r="655">
      <c r="A655" s="48"/>
      <c r="B655" s="48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64"/>
    </row>
    <row r="656">
      <c r="A656" s="48"/>
      <c r="B656" s="48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64"/>
    </row>
    <row r="657">
      <c r="A657" s="48"/>
      <c r="B657" s="48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64"/>
    </row>
    <row r="658">
      <c r="A658" s="48"/>
      <c r="B658" s="48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64"/>
    </row>
    <row r="659">
      <c r="A659" s="48"/>
      <c r="B659" s="48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64"/>
    </row>
    <row r="660">
      <c r="A660" s="48"/>
      <c r="B660" s="48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64"/>
    </row>
    <row r="661">
      <c r="A661" s="48"/>
      <c r="B661" s="48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64"/>
    </row>
    <row r="662">
      <c r="A662" s="48"/>
      <c r="B662" s="48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64"/>
    </row>
    <row r="663">
      <c r="A663" s="48"/>
      <c r="B663" s="48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64"/>
    </row>
    <row r="664">
      <c r="A664" s="48"/>
      <c r="B664" s="48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64"/>
    </row>
    <row r="665">
      <c r="A665" s="48"/>
      <c r="B665" s="48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64"/>
    </row>
    <row r="666">
      <c r="A666" s="48"/>
      <c r="B666" s="48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64"/>
    </row>
    <row r="667">
      <c r="A667" s="48"/>
      <c r="B667" s="48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64"/>
    </row>
    <row r="668">
      <c r="A668" s="48"/>
      <c r="B668" s="48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64"/>
    </row>
    <row r="669">
      <c r="A669" s="48"/>
      <c r="B669" s="48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64"/>
    </row>
    <row r="670">
      <c r="A670" s="48"/>
      <c r="B670" s="48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64"/>
    </row>
    <row r="671">
      <c r="A671" s="48"/>
      <c r="B671" s="48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64"/>
    </row>
    <row r="672">
      <c r="A672" s="48"/>
      <c r="B672" s="48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64"/>
    </row>
    <row r="673">
      <c r="A673" s="48"/>
      <c r="B673" s="48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64"/>
    </row>
    <row r="674">
      <c r="A674" s="48"/>
      <c r="B674" s="48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64"/>
    </row>
    <row r="675">
      <c r="A675" s="48"/>
      <c r="B675" s="48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64"/>
    </row>
    <row r="676">
      <c r="A676" s="48"/>
      <c r="B676" s="48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64"/>
    </row>
    <row r="677">
      <c r="A677" s="48"/>
      <c r="B677" s="48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64"/>
    </row>
    <row r="678">
      <c r="A678" s="48"/>
      <c r="B678" s="48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64"/>
    </row>
    <row r="679">
      <c r="A679" s="48"/>
      <c r="B679" s="48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64"/>
    </row>
    <row r="680">
      <c r="A680" s="48"/>
      <c r="B680" s="48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64"/>
    </row>
    <row r="681">
      <c r="A681" s="48"/>
      <c r="B681" s="48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64"/>
    </row>
    <row r="682">
      <c r="A682" s="48"/>
      <c r="B682" s="48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64"/>
    </row>
    <row r="683">
      <c r="A683" s="48"/>
      <c r="B683" s="48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64"/>
    </row>
    <row r="684">
      <c r="A684" s="48"/>
      <c r="B684" s="48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64"/>
    </row>
    <row r="685">
      <c r="A685" s="48"/>
      <c r="B685" s="48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64"/>
    </row>
    <row r="686">
      <c r="A686" s="48"/>
      <c r="B686" s="48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64"/>
    </row>
    <row r="687">
      <c r="A687" s="48"/>
      <c r="B687" s="48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64"/>
    </row>
    <row r="688">
      <c r="A688" s="48"/>
      <c r="B688" s="48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64"/>
    </row>
    <row r="689">
      <c r="A689" s="48"/>
      <c r="B689" s="48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64"/>
    </row>
    <row r="690">
      <c r="A690" s="48"/>
      <c r="B690" s="48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64"/>
    </row>
    <row r="691">
      <c r="A691" s="48"/>
      <c r="B691" s="48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64"/>
    </row>
    <row r="692">
      <c r="A692" s="48"/>
      <c r="B692" s="48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64"/>
    </row>
    <row r="693">
      <c r="A693" s="48"/>
      <c r="B693" s="48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64"/>
    </row>
    <row r="694">
      <c r="A694" s="48"/>
      <c r="B694" s="48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64"/>
    </row>
    <row r="695">
      <c r="A695" s="48"/>
      <c r="B695" s="48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64"/>
    </row>
    <row r="696">
      <c r="A696" s="48"/>
      <c r="B696" s="48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64"/>
    </row>
    <row r="697">
      <c r="A697" s="48"/>
      <c r="B697" s="48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64"/>
    </row>
    <row r="698">
      <c r="A698" s="48"/>
      <c r="B698" s="48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64"/>
    </row>
    <row r="699">
      <c r="A699" s="48"/>
      <c r="B699" s="48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64"/>
    </row>
    <row r="700">
      <c r="A700" s="48"/>
      <c r="B700" s="48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64"/>
    </row>
    <row r="701">
      <c r="A701" s="48"/>
      <c r="B701" s="48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64"/>
    </row>
    <row r="702">
      <c r="A702" s="48"/>
      <c r="B702" s="48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64"/>
    </row>
    <row r="703">
      <c r="A703" s="48"/>
      <c r="B703" s="48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64"/>
    </row>
    <row r="704">
      <c r="A704" s="48"/>
      <c r="B704" s="48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64"/>
    </row>
    <row r="705">
      <c r="A705" s="48"/>
      <c r="B705" s="48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64"/>
    </row>
    <row r="706">
      <c r="A706" s="48"/>
      <c r="B706" s="48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64"/>
    </row>
    <row r="707">
      <c r="A707" s="48"/>
      <c r="B707" s="48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64"/>
    </row>
    <row r="708">
      <c r="A708" s="48"/>
      <c r="B708" s="48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64"/>
    </row>
    <row r="709">
      <c r="A709" s="48"/>
      <c r="B709" s="48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64"/>
    </row>
    <row r="710">
      <c r="A710" s="48"/>
      <c r="B710" s="48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64"/>
    </row>
    <row r="711">
      <c r="A711" s="48"/>
      <c r="B711" s="48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64"/>
    </row>
    <row r="712">
      <c r="A712" s="48"/>
      <c r="B712" s="48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64"/>
    </row>
    <row r="713">
      <c r="A713" s="48"/>
      <c r="B713" s="48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64"/>
    </row>
    <row r="714">
      <c r="A714" s="48"/>
      <c r="B714" s="48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64"/>
    </row>
    <row r="715">
      <c r="A715" s="48"/>
      <c r="B715" s="48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64"/>
    </row>
    <row r="716">
      <c r="A716" s="48"/>
      <c r="B716" s="48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64"/>
    </row>
    <row r="717">
      <c r="A717" s="48"/>
      <c r="B717" s="48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64"/>
    </row>
    <row r="718">
      <c r="A718" s="48"/>
      <c r="B718" s="48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64"/>
    </row>
    <row r="719">
      <c r="A719" s="48"/>
      <c r="B719" s="48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64"/>
    </row>
    <row r="720">
      <c r="A720" s="48"/>
      <c r="B720" s="48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64"/>
    </row>
    <row r="721">
      <c r="A721" s="48"/>
      <c r="B721" s="48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64"/>
    </row>
    <row r="722">
      <c r="A722" s="48"/>
      <c r="B722" s="48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64"/>
    </row>
    <row r="723">
      <c r="A723" s="48"/>
      <c r="B723" s="48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64"/>
    </row>
    <row r="724">
      <c r="A724" s="48"/>
      <c r="B724" s="48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64"/>
    </row>
    <row r="725">
      <c r="A725" s="48"/>
      <c r="B725" s="48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64"/>
    </row>
    <row r="726">
      <c r="A726" s="48"/>
      <c r="B726" s="48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64"/>
    </row>
    <row r="727">
      <c r="A727" s="48"/>
      <c r="B727" s="48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64"/>
    </row>
    <row r="728">
      <c r="A728" s="48"/>
      <c r="B728" s="48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64"/>
    </row>
    <row r="729">
      <c r="A729" s="48"/>
      <c r="B729" s="48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64"/>
    </row>
    <row r="730">
      <c r="A730" s="48"/>
      <c r="B730" s="48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64"/>
    </row>
    <row r="731">
      <c r="A731" s="48"/>
      <c r="B731" s="48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64"/>
    </row>
    <row r="732">
      <c r="A732" s="48"/>
      <c r="B732" s="48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64"/>
    </row>
    <row r="733">
      <c r="A733" s="48"/>
      <c r="B733" s="48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64"/>
    </row>
    <row r="734">
      <c r="A734" s="48"/>
      <c r="B734" s="48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64"/>
    </row>
    <row r="735">
      <c r="A735" s="48"/>
      <c r="B735" s="48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64"/>
    </row>
    <row r="736">
      <c r="A736" s="48"/>
      <c r="B736" s="48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64"/>
    </row>
    <row r="737">
      <c r="A737" s="48"/>
      <c r="B737" s="48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64"/>
    </row>
    <row r="738">
      <c r="A738" s="48"/>
      <c r="B738" s="48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64"/>
    </row>
    <row r="739">
      <c r="A739" s="48"/>
      <c r="B739" s="48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64"/>
    </row>
    <row r="740">
      <c r="A740" s="48"/>
      <c r="B740" s="48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64"/>
    </row>
    <row r="741">
      <c r="A741" s="48"/>
      <c r="B741" s="48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64"/>
    </row>
    <row r="742">
      <c r="A742" s="48"/>
      <c r="B742" s="48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64"/>
    </row>
    <row r="743">
      <c r="A743" s="48"/>
      <c r="B743" s="48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64"/>
    </row>
    <row r="744">
      <c r="A744" s="48"/>
      <c r="B744" s="48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64"/>
    </row>
    <row r="745">
      <c r="A745" s="48"/>
      <c r="B745" s="48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64"/>
    </row>
    <row r="746">
      <c r="A746" s="48"/>
      <c r="B746" s="48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64"/>
    </row>
    <row r="747">
      <c r="A747" s="48"/>
      <c r="B747" s="48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64"/>
    </row>
    <row r="748">
      <c r="A748" s="48"/>
      <c r="B748" s="48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64"/>
    </row>
    <row r="749">
      <c r="A749" s="48"/>
      <c r="B749" s="48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64"/>
    </row>
    <row r="750">
      <c r="A750" s="48"/>
      <c r="B750" s="48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64"/>
    </row>
    <row r="751">
      <c r="A751" s="48"/>
      <c r="B751" s="48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64"/>
    </row>
    <row r="752">
      <c r="A752" s="48"/>
      <c r="B752" s="48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64"/>
    </row>
    <row r="753">
      <c r="A753" s="48"/>
      <c r="B753" s="48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64"/>
    </row>
    <row r="754">
      <c r="A754" s="48"/>
      <c r="B754" s="48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64"/>
    </row>
    <row r="755">
      <c r="A755" s="48"/>
      <c r="B755" s="48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64"/>
    </row>
    <row r="756">
      <c r="A756" s="48"/>
      <c r="B756" s="48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64"/>
    </row>
    <row r="757">
      <c r="A757" s="48"/>
      <c r="B757" s="48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64"/>
    </row>
    <row r="758">
      <c r="A758" s="48"/>
      <c r="B758" s="48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64"/>
    </row>
    <row r="759">
      <c r="A759" s="48"/>
      <c r="B759" s="48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64"/>
    </row>
    <row r="760">
      <c r="A760" s="48"/>
      <c r="B760" s="48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64"/>
    </row>
    <row r="761">
      <c r="A761" s="48"/>
      <c r="B761" s="48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64"/>
    </row>
    <row r="762">
      <c r="A762" s="48"/>
      <c r="B762" s="48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64"/>
    </row>
    <row r="763">
      <c r="A763" s="48"/>
      <c r="B763" s="48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64"/>
    </row>
    <row r="764">
      <c r="A764" s="48"/>
      <c r="B764" s="48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64"/>
    </row>
    <row r="765">
      <c r="A765" s="48"/>
      <c r="B765" s="48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64"/>
    </row>
    <row r="766">
      <c r="A766" s="48"/>
      <c r="B766" s="48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64"/>
    </row>
    <row r="767">
      <c r="A767" s="48"/>
      <c r="B767" s="48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64"/>
    </row>
    <row r="768">
      <c r="A768" s="48"/>
      <c r="B768" s="48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64"/>
    </row>
    <row r="769">
      <c r="A769" s="48"/>
      <c r="B769" s="48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64"/>
    </row>
    <row r="770">
      <c r="A770" s="48"/>
      <c r="B770" s="48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64"/>
    </row>
    <row r="771">
      <c r="A771" s="48"/>
      <c r="B771" s="48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64"/>
    </row>
    <row r="772">
      <c r="A772" s="48"/>
      <c r="B772" s="48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64"/>
    </row>
    <row r="773">
      <c r="A773" s="48"/>
      <c r="B773" s="48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64"/>
    </row>
    <row r="774">
      <c r="A774" s="48"/>
      <c r="B774" s="48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64"/>
    </row>
    <row r="775">
      <c r="A775" s="48"/>
      <c r="B775" s="48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64"/>
    </row>
    <row r="776">
      <c r="A776" s="48"/>
      <c r="B776" s="48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64"/>
    </row>
    <row r="777">
      <c r="A777" s="48"/>
      <c r="B777" s="48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64"/>
    </row>
    <row r="778">
      <c r="A778" s="48"/>
      <c r="B778" s="48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64"/>
    </row>
    <row r="779">
      <c r="A779" s="48"/>
      <c r="B779" s="48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64"/>
    </row>
    <row r="780">
      <c r="A780" s="48"/>
      <c r="B780" s="48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64"/>
    </row>
    <row r="781">
      <c r="A781" s="48"/>
      <c r="B781" s="48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64"/>
    </row>
    <row r="782">
      <c r="A782" s="48"/>
      <c r="B782" s="48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64"/>
    </row>
    <row r="783">
      <c r="A783" s="48"/>
      <c r="B783" s="48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64"/>
    </row>
    <row r="784">
      <c r="A784" s="48"/>
      <c r="B784" s="48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64"/>
    </row>
    <row r="785">
      <c r="A785" s="48"/>
      <c r="B785" s="48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64"/>
    </row>
    <row r="786">
      <c r="A786" s="48"/>
      <c r="B786" s="48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64"/>
    </row>
    <row r="787">
      <c r="A787" s="48"/>
      <c r="B787" s="48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64"/>
    </row>
    <row r="788">
      <c r="A788" s="48"/>
      <c r="B788" s="48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64"/>
    </row>
    <row r="789">
      <c r="A789" s="48"/>
      <c r="B789" s="48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64"/>
    </row>
    <row r="790">
      <c r="A790" s="48"/>
      <c r="B790" s="48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64"/>
    </row>
    <row r="791">
      <c r="A791" s="48"/>
      <c r="B791" s="48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64"/>
    </row>
    <row r="792">
      <c r="A792" s="48"/>
      <c r="B792" s="48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64"/>
    </row>
    <row r="793">
      <c r="A793" s="48"/>
      <c r="B793" s="48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64"/>
    </row>
    <row r="794">
      <c r="A794" s="48"/>
      <c r="B794" s="48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64"/>
    </row>
    <row r="795">
      <c r="A795" s="48"/>
      <c r="B795" s="48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64"/>
    </row>
    <row r="796">
      <c r="A796" s="48"/>
      <c r="B796" s="48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64"/>
    </row>
    <row r="797">
      <c r="A797" s="48"/>
      <c r="B797" s="48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64"/>
    </row>
    <row r="798">
      <c r="A798" s="48"/>
      <c r="B798" s="48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64"/>
    </row>
    <row r="799">
      <c r="A799" s="48"/>
      <c r="B799" s="48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64"/>
    </row>
    <row r="800">
      <c r="A800" s="48"/>
      <c r="B800" s="48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64"/>
    </row>
    <row r="801">
      <c r="A801" s="48"/>
      <c r="B801" s="48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64"/>
    </row>
    <row r="802">
      <c r="A802" s="48"/>
      <c r="B802" s="48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64"/>
    </row>
    <row r="803">
      <c r="A803" s="48"/>
      <c r="B803" s="48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64"/>
    </row>
    <row r="804">
      <c r="A804" s="48"/>
      <c r="B804" s="48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64"/>
    </row>
    <row r="805">
      <c r="A805" s="48"/>
      <c r="B805" s="48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64"/>
    </row>
    <row r="806">
      <c r="A806" s="48"/>
      <c r="B806" s="48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64"/>
    </row>
    <row r="807">
      <c r="A807" s="48"/>
      <c r="B807" s="48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64"/>
    </row>
    <row r="808">
      <c r="A808" s="48"/>
      <c r="B808" s="48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64"/>
    </row>
    <row r="809">
      <c r="A809" s="48"/>
      <c r="B809" s="48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64"/>
    </row>
    <row r="810">
      <c r="A810" s="48"/>
      <c r="B810" s="48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64"/>
    </row>
    <row r="811">
      <c r="A811" s="48"/>
      <c r="B811" s="48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64"/>
    </row>
    <row r="812">
      <c r="A812" s="48"/>
      <c r="B812" s="48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64"/>
    </row>
    <row r="813">
      <c r="A813" s="48"/>
      <c r="B813" s="48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64"/>
    </row>
    <row r="814">
      <c r="A814" s="48"/>
      <c r="B814" s="48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64"/>
    </row>
    <row r="815">
      <c r="A815" s="48"/>
      <c r="B815" s="48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64"/>
    </row>
    <row r="816">
      <c r="A816" s="48"/>
      <c r="B816" s="48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64"/>
    </row>
    <row r="817">
      <c r="A817" s="48"/>
      <c r="B817" s="48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64"/>
    </row>
    <row r="818">
      <c r="A818" s="48"/>
      <c r="B818" s="48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64"/>
    </row>
    <row r="819">
      <c r="A819" s="48"/>
      <c r="B819" s="48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64"/>
    </row>
    <row r="820">
      <c r="A820" s="48"/>
      <c r="B820" s="48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64"/>
    </row>
    <row r="821">
      <c r="A821" s="48"/>
      <c r="B821" s="48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64"/>
    </row>
    <row r="822">
      <c r="A822" s="48"/>
      <c r="B822" s="48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64"/>
    </row>
    <row r="823">
      <c r="A823" s="48"/>
      <c r="B823" s="48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64"/>
    </row>
    <row r="824">
      <c r="A824" s="48"/>
      <c r="B824" s="48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64"/>
    </row>
    <row r="825">
      <c r="A825" s="48"/>
      <c r="B825" s="48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64"/>
    </row>
    <row r="826">
      <c r="A826" s="48"/>
      <c r="B826" s="48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64"/>
    </row>
    <row r="827">
      <c r="A827" s="48"/>
      <c r="B827" s="48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64"/>
    </row>
    <row r="828">
      <c r="A828" s="48"/>
      <c r="B828" s="48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64"/>
    </row>
    <row r="829">
      <c r="A829" s="48"/>
      <c r="B829" s="48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64"/>
    </row>
    <row r="830">
      <c r="A830" s="48"/>
      <c r="B830" s="48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64"/>
    </row>
    <row r="831">
      <c r="A831" s="48"/>
      <c r="B831" s="48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64"/>
    </row>
    <row r="832">
      <c r="A832" s="48"/>
      <c r="B832" s="48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64"/>
    </row>
    <row r="833">
      <c r="A833" s="48"/>
      <c r="B833" s="48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64"/>
    </row>
    <row r="834">
      <c r="A834" s="48"/>
      <c r="B834" s="48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64"/>
    </row>
    <row r="835">
      <c r="A835" s="48"/>
      <c r="B835" s="48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64"/>
    </row>
    <row r="836">
      <c r="A836" s="48"/>
      <c r="B836" s="48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64"/>
    </row>
    <row r="837">
      <c r="A837" s="48"/>
      <c r="B837" s="48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64"/>
    </row>
    <row r="838">
      <c r="A838" s="48"/>
      <c r="B838" s="48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64"/>
    </row>
    <row r="839">
      <c r="A839" s="48"/>
      <c r="B839" s="48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64"/>
    </row>
    <row r="840">
      <c r="A840" s="48"/>
      <c r="B840" s="48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64"/>
    </row>
    <row r="841">
      <c r="A841" s="48"/>
      <c r="B841" s="48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64"/>
    </row>
    <row r="842">
      <c r="A842" s="48"/>
      <c r="B842" s="48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64"/>
    </row>
    <row r="843">
      <c r="A843" s="48"/>
      <c r="B843" s="48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64"/>
    </row>
    <row r="844">
      <c r="A844" s="48"/>
      <c r="B844" s="48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64"/>
    </row>
    <row r="845">
      <c r="A845" s="48"/>
      <c r="B845" s="48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64"/>
    </row>
    <row r="846">
      <c r="A846" s="48"/>
      <c r="B846" s="48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64"/>
    </row>
    <row r="847">
      <c r="A847" s="48"/>
      <c r="B847" s="48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64"/>
    </row>
    <row r="848">
      <c r="A848" s="48"/>
      <c r="B848" s="48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64"/>
    </row>
    <row r="849">
      <c r="A849" s="48"/>
      <c r="B849" s="48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64"/>
    </row>
    <row r="850">
      <c r="A850" s="48"/>
      <c r="B850" s="48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64"/>
    </row>
    <row r="851">
      <c r="A851" s="48"/>
      <c r="B851" s="48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64"/>
    </row>
    <row r="852">
      <c r="A852" s="48"/>
      <c r="B852" s="48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64"/>
    </row>
    <row r="853">
      <c r="A853" s="48"/>
      <c r="B853" s="48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64"/>
    </row>
    <row r="854">
      <c r="A854" s="48"/>
      <c r="B854" s="48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64"/>
    </row>
    <row r="855">
      <c r="A855" s="48"/>
      <c r="B855" s="48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64"/>
    </row>
    <row r="856">
      <c r="A856" s="48"/>
      <c r="B856" s="48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64"/>
    </row>
    <row r="857">
      <c r="A857" s="48"/>
      <c r="B857" s="48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64"/>
    </row>
    <row r="858">
      <c r="A858" s="48"/>
      <c r="B858" s="48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64"/>
    </row>
    <row r="859">
      <c r="A859" s="48"/>
      <c r="B859" s="48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64"/>
    </row>
    <row r="860">
      <c r="A860" s="48"/>
      <c r="B860" s="48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64"/>
    </row>
    <row r="861">
      <c r="A861" s="48"/>
      <c r="B861" s="48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64"/>
    </row>
    <row r="862">
      <c r="A862" s="48"/>
      <c r="B862" s="48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64"/>
    </row>
    <row r="863">
      <c r="A863" s="48"/>
      <c r="B863" s="48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64"/>
    </row>
    <row r="864">
      <c r="A864" s="48"/>
      <c r="B864" s="48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64"/>
    </row>
    <row r="865">
      <c r="A865" s="48"/>
      <c r="B865" s="48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64"/>
    </row>
    <row r="866">
      <c r="A866" s="48"/>
      <c r="B866" s="48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64"/>
    </row>
    <row r="867">
      <c r="A867" s="48"/>
      <c r="B867" s="48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64"/>
    </row>
    <row r="868">
      <c r="A868" s="48"/>
      <c r="B868" s="48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64"/>
    </row>
    <row r="869">
      <c r="A869" s="48"/>
      <c r="B869" s="48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64"/>
    </row>
    <row r="870">
      <c r="A870" s="48"/>
      <c r="B870" s="48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64"/>
    </row>
    <row r="871">
      <c r="A871" s="48"/>
      <c r="B871" s="48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64"/>
    </row>
    <row r="872">
      <c r="A872" s="48"/>
      <c r="B872" s="48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64"/>
    </row>
    <row r="873">
      <c r="A873" s="48"/>
      <c r="B873" s="48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64"/>
    </row>
    <row r="874">
      <c r="A874" s="48"/>
      <c r="B874" s="48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64"/>
    </row>
    <row r="875">
      <c r="A875" s="48"/>
      <c r="B875" s="48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64"/>
    </row>
    <row r="876">
      <c r="A876" s="48"/>
      <c r="B876" s="48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64"/>
    </row>
    <row r="877">
      <c r="A877" s="48"/>
      <c r="B877" s="48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64"/>
    </row>
    <row r="878">
      <c r="A878" s="48"/>
      <c r="B878" s="48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64"/>
    </row>
    <row r="879">
      <c r="A879" s="48"/>
      <c r="B879" s="48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64"/>
    </row>
    <row r="880">
      <c r="A880" s="48"/>
      <c r="B880" s="48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64"/>
    </row>
    <row r="881">
      <c r="A881" s="48"/>
      <c r="B881" s="48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64"/>
    </row>
    <row r="882">
      <c r="A882" s="48"/>
      <c r="B882" s="48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64"/>
    </row>
    <row r="883">
      <c r="A883" s="48"/>
      <c r="B883" s="48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64"/>
    </row>
    <row r="884">
      <c r="A884" s="48"/>
      <c r="B884" s="48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64"/>
    </row>
    <row r="885">
      <c r="A885" s="48"/>
      <c r="B885" s="48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64"/>
    </row>
    <row r="886">
      <c r="A886" s="48"/>
      <c r="B886" s="48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64"/>
    </row>
    <row r="887">
      <c r="A887" s="48"/>
      <c r="B887" s="48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64"/>
    </row>
    <row r="888">
      <c r="A888" s="48"/>
      <c r="B888" s="48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64"/>
    </row>
    <row r="889">
      <c r="A889" s="48"/>
      <c r="B889" s="48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64"/>
    </row>
    <row r="890">
      <c r="A890" s="48"/>
      <c r="B890" s="48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64"/>
    </row>
    <row r="891">
      <c r="A891" s="48"/>
      <c r="B891" s="48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64"/>
    </row>
    <row r="892">
      <c r="A892" s="48"/>
      <c r="B892" s="48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64"/>
    </row>
    <row r="893">
      <c r="A893" s="48"/>
      <c r="B893" s="48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64"/>
    </row>
    <row r="894">
      <c r="A894" s="48"/>
      <c r="B894" s="48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64"/>
    </row>
    <row r="895">
      <c r="A895" s="48"/>
      <c r="B895" s="48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64"/>
    </row>
    <row r="896">
      <c r="A896" s="48"/>
      <c r="B896" s="48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64"/>
    </row>
    <row r="897">
      <c r="A897" s="48"/>
      <c r="B897" s="48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64"/>
    </row>
    <row r="898">
      <c r="A898" s="48"/>
      <c r="B898" s="48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64"/>
    </row>
    <row r="899">
      <c r="A899" s="48"/>
      <c r="B899" s="48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64"/>
    </row>
    <row r="900">
      <c r="A900" s="48"/>
      <c r="B900" s="48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64"/>
    </row>
    <row r="901">
      <c r="A901" s="48"/>
      <c r="B901" s="48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64"/>
    </row>
    <row r="902">
      <c r="A902" s="48"/>
      <c r="B902" s="48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64"/>
    </row>
    <row r="903">
      <c r="A903" s="48"/>
      <c r="B903" s="48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64"/>
    </row>
    <row r="904">
      <c r="A904" s="48"/>
      <c r="B904" s="48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64"/>
    </row>
    <row r="905">
      <c r="A905" s="48"/>
      <c r="B905" s="48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64"/>
    </row>
    <row r="906">
      <c r="A906" s="48"/>
      <c r="B906" s="48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64"/>
    </row>
    <row r="907">
      <c r="A907" s="48"/>
      <c r="B907" s="48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64"/>
    </row>
    <row r="908">
      <c r="A908" s="48"/>
      <c r="B908" s="48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64"/>
    </row>
    <row r="909">
      <c r="A909" s="48"/>
      <c r="B909" s="48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64"/>
    </row>
    <row r="910">
      <c r="A910" s="48"/>
      <c r="B910" s="48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64"/>
    </row>
    <row r="911">
      <c r="A911" s="48"/>
      <c r="B911" s="48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64"/>
    </row>
    <row r="912">
      <c r="A912" s="48"/>
      <c r="B912" s="48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64"/>
    </row>
    <row r="913">
      <c r="A913" s="48"/>
      <c r="B913" s="48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64"/>
    </row>
    <row r="914">
      <c r="A914" s="48"/>
      <c r="B914" s="48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64"/>
    </row>
    <row r="915">
      <c r="A915" s="48"/>
      <c r="B915" s="48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64"/>
    </row>
    <row r="916">
      <c r="A916" s="48"/>
      <c r="B916" s="48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64"/>
    </row>
    <row r="917">
      <c r="A917" s="48"/>
      <c r="B917" s="48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64"/>
    </row>
    <row r="918">
      <c r="A918" s="48"/>
      <c r="B918" s="48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64"/>
    </row>
    <row r="919">
      <c r="A919" s="48"/>
      <c r="B919" s="48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64"/>
    </row>
    <row r="920">
      <c r="A920" s="48"/>
      <c r="B920" s="48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64"/>
    </row>
    <row r="921">
      <c r="A921" s="48"/>
      <c r="B921" s="48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64"/>
    </row>
    <row r="922">
      <c r="A922" s="48"/>
      <c r="B922" s="48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64"/>
    </row>
    <row r="923">
      <c r="A923" s="48"/>
      <c r="B923" s="48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64"/>
    </row>
    <row r="924">
      <c r="A924" s="48"/>
      <c r="B924" s="48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64"/>
    </row>
    <row r="925">
      <c r="A925" s="48"/>
      <c r="B925" s="48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64"/>
    </row>
    <row r="926">
      <c r="A926" s="48"/>
      <c r="B926" s="48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64"/>
    </row>
    <row r="927">
      <c r="A927" s="48"/>
      <c r="B927" s="48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64"/>
    </row>
    <row r="928">
      <c r="A928" s="48"/>
      <c r="B928" s="48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64"/>
    </row>
    <row r="929">
      <c r="A929" s="48"/>
      <c r="B929" s="48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64"/>
    </row>
    <row r="930">
      <c r="A930" s="48"/>
      <c r="B930" s="48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64"/>
    </row>
    <row r="931">
      <c r="A931" s="48"/>
      <c r="B931" s="48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64"/>
    </row>
    <row r="932">
      <c r="A932" s="48"/>
      <c r="B932" s="48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64"/>
    </row>
    <row r="933">
      <c r="A933" s="48"/>
      <c r="B933" s="48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64"/>
    </row>
    <row r="934">
      <c r="A934" s="48"/>
      <c r="B934" s="48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64"/>
    </row>
    <row r="935">
      <c r="A935" s="48"/>
      <c r="B935" s="48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64"/>
    </row>
    <row r="936">
      <c r="A936" s="48"/>
      <c r="B936" s="48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64"/>
    </row>
    <row r="937">
      <c r="A937" s="48"/>
      <c r="B937" s="48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64"/>
    </row>
    <row r="938">
      <c r="A938" s="48"/>
      <c r="B938" s="48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64"/>
    </row>
    <row r="939">
      <c r="A939" s="48"/>
      <c r="B939" s="48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64"/>
    </row>
    <row r="940">
      <c r="A940" s="48"/>
      <c r="B940" s="48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64"/>
    </row>
    <row r="941">
      <c r="A941" s="48"/>
      <c r="B941" s="48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64"/>
    </row>
    <row r="942">
      <c r="A942" s="48"/>
      <c r="B942" s="48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64"/>
    </row>
    <row r="943">
      <c r="A943" s="48"/>
      <c r="B943" s="48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64"/>
    </row>
    <row r="944">
      <c r="A944" s="48"/>
      <c r="B944" s="48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64"/>
    </row>
    <row r="945">
      <c r="A945" s="48"/>
      <c r="B945" s="48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64"/>
    </row>
    <row r="946">
      <c r="A946" s="48"/>
      <c r="B946" s="48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64"/>
    </row>
    <row r="947">
      <c r="A947" s="48"/>
      <c r="B947" s="48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64"/>
    </row>
    <row r="948">
      <c r="A948" s="48"/>
      <c r="B948" s="48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64"/>
    </row>
    <row r="949">
      <c r="A949" s="48"/>
      <c r="B949" s="48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64"/>
    </row>
    <row r="950">
      <c r="A950" s="48"/>
      <c r="B950" s="48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64"/>
    </row>
    <row r="951">
      <c r="A951" s="48"/>
      <c r="B951" s="48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64"/>
    </row>
    <row r="952">
      <c r="A952" s="48"/>
      <c r="B952" s="48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64"/>
    </row>
    <row r="953">
      <c r="A953" s="48"/>
      <c r="B953" s="48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64"/>
    </row>
    <row r="954">
      <c r="A954" s="48"/>
      <c r="B954" s="48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64"/>
    </row>
    <row r="955">
      <c r="A955" s="48"/>
      <c r="B955" s="48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64"/>
    </row>
    <row r="956">
      <c r="A956" s="48"/>
      <c r="B956" s="48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64"/>
    </row>
    <row r="957">
      <c r="A957" s="48"/>
      <c r="B957" s="48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64"/>
    </row>
    <row r="958">
      <c r="A958" s="48"/>
      <c r="B958" s="48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64"/>
    </row>
    <row r="959">
      <c r="A959" s="48"/>
      <c r="B959" s="48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64"/>
    </row>
    <row r="960">
      <c r="A960" s="48"/>
      <c r="B960" s="48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64"/>
    </row>
    <row r="961">
      <c r="A961" s="48"/>
      <c r="B961" s="48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64"/>
    </row>
    <row r="962">
      <c r="A962" s="48"/>
      <c r="B962" s="48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64"/>
    </row>
    <row r="963">
      <c r="A963" s="48"/>
      <c r="B963" s="48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64"/>
    </row>
    <row r="964">
      <c r="A964" s="48"/>
      <c r="B964" s="48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64"/>
    </row>
    <row r="965">
      <c r="A965" s="48"/>
      <c r="B965" s="48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64"/>
    </row>
    <row r="966">
      <c r="A966" s="48"/>
      <c r="B966" s="48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64"/>
    </row>
    <row r="967">
      <c r="A967" s="48"/>
      <c r="B967" s="48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64"/>
    </row>
    <row r="968">
      <c r="A968" s="48"/>
      <c r="B968" s="48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64"/>
    </row>
    <row r="969">
      <c r="A969" s="48"/>
      <c r="B969" s="48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64"/>
    </row>
    <row r="970">
      <c r="A970" s="48"/>
      <c r="B970" s="48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64"/>
    </row>
    <row r="971">
      <c r="A971" s="48"/>
      <c r="B971" s="48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64"/>
    </row>
    <row r="972">
      <c r="A972" s="48"/>
      <c r="B972" s="48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64"/>
    </row>
    <row r="973">
      <c r="A973" s="48"/>
      <c r="B973" s="48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64"/>
    </row>
    <row r="974">
      <c r="A974" s="48"/>
      <c r="B974" s="48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64"/>
    </row>
    <row r="975">
      <c r="A975" s="48"/>
      <c r="B975" s="48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64"/>
    </row>
    <row r="976">
      <c r="A976" s="48"/>
      <c r="B976" s="48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64"/>
    </row>
    <row r="977">
      <c r="A977" s="48"/>
      <c r="B977" s="48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64"/>
    </row>
    <row r="978">
      <c r="A978" s="48"/>
      <c r="B978" s="48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64"/>
    </row>
    <row r="979">
      <c r="A979" s="48"/>
      <c r="B979" s="48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64"/>
    </row>
    <row r="980">
      <c r="A980" s="48"/>
      <c r="B980" s="48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64"/>
    </row>
    <row r="981">
      <c r="A981" s="48"/>
      <c r="B981" s="48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64"/>
    </row>
    <row r="982">
      <c r="A982" s="48"/>
      <c r="B982" s="48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64"/>
    </row>
    <row r="983">
      <c r="A983" s="48"/>
      <c r="B983" s="48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64"/>
    </row>
    <row r="984">
      <c r="A984" s="48"/>
      <c r="B984" s="48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64"/>
    </row>
    <row r="985">
      <c r="A985" s="48"/>
      <c r="B985" s="48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64"/>
    </row>
    <row r="986">
      <c r="A986" s="48"/>
      <c r="B986" s="48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64"/>
    </row>
    <row r="987">
      <c r="A987" s="48"/>
      <c r="B987" s="48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64"/>
    </row>
    <row r="988">
      <c r="A988" s="48"/>
      <c r="B988" s="48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64"/>
    </row>
    <row r="989">
      <c r="A989" s="48"/>
      <c r="B989" s="48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64"/>
    </row>
    <row r="990">
      <c r="A990" s="48"/>
      <c r="B990" s="48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64"/>
    </row>
    <row r="991">
      <c r="A991" s="48"/>
      <c r="B991" s="48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64"/>
    </row>
    <row r="992">
      <c r="A992" s="48"/>
      <c r="B992" s="48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64"/>
    </row>
    <row r="993">
      <c r="A993" s="48"/>
      <c r="B993" s="48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64"/>
    </row>
    <row r="994">
      <c r="A994" s="48"/>
      <c r="B994" s="48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64"/>
    </row>
    <row r="995">
      <c r="A995" s="48"/>
      <c r="B995" s="48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64"/>
    </row>
    <row r="996">
      <c r="A996" s="48"/>
      <c r="B996" s="48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64"/>
    </row>
    <row r="997">
      <c r="A997" s="48"/>
      <c r="B997" s="48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64"/>
    </row>
    <row r="998">
      <c r="A998" s="48"/>
      <c r="B998" s="48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64"/>
    </row>
    <row r="999">
      <c r="A999" s="48"/>
      <c r="B999" s="48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64"/>
    </row>
    <row r="1000">
      <c r="A1000" s="48"/>
      <c r="B1000" s="48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64"/>
    </row>
  </sheetData>
  <mergeCells count="10">
    <mergeCell ref="N4:V4"/>
    <mergeCell ref="W4:AE4"/>
    <mergeCell ref="A3:A5"/>
    <mergeCell ref="B3:B5"/>
    <mergeCell ref="C3:C5"/>
    <mergeCell ref="D3:M3"/>
    <mergeCell ref="N3:AE3"/>
    <mergeCell ref="AF3:AN3"/>
    <mergeCell ref="D4:L4"/>
    <mergeCell ref="AF4:A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32.5"/>
    <col customWidth="1" min="8" max="8" width="19.5"/>
    <col customWidth="1" min="9" max="9" width="9.0"/>
    <col customWidth="1" min="10" max="10" width="8.38"/>
    <col customWidth="1" min="11" max="11" width="9.13"/>
  </cols>
  <sheetData>
    <row r="1">
      <c r="A1" s="47" t="s">
        <v>120</v>
      </c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8"/>
      <c r="N1" s="48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19" t="s">
        <v>1</v>
      </c>
      <c r="B3" s="19" t="s">
        <v>2</v>
      </c>
      <c r="C3" s="19" t="s">
        <v>3</v>
      </c>
      <c r="D3" s="65" t="s">
        <v>130</v>
      </c>
      <c r="E3" s="22"/>
      <c r="F3" s="65" t="s">
        <v>131</v>
      </c>
      <c r="G3" s="22"/>
      <c r="H3" s="66" t="s">
        <v>132</v>
      </c>
      <c r="I3" s="73" t="s">
        <v>138</v>
      </c>
      <c r="J3" s="73" t="s">
        <v>139</v>
      </c>
      <c r="K3" s="73" t="s">
        <v>140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8"/>
      <c r="B4" s="58"/>
      <c r="C4" s="58"/>
      <c r="D4" s="66" t="s">
        <v>133</v>
      </c>
      <c r="E4" s="66" t="s">
        <v>134</v>
      </c>
      <c r="F4" s="66" t="s">
        <v>135</v>
      </c>
      <c r="G4" s="66" t="s">
        <v>141</v>
      </c>
      <c r="H4" s="66" t="s">
        <v>142</v>
      </c>
      <c r="I4" s="58"/>
      <c r="J4" s="58"/>
      <c r="K4" s="58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23"/>
      <c r="B5" s="23"/>
      <c r="C5" s="23"/>
      <c r="D5" s="61">
        <v>0.1</v>
      </c>
      <c r="E5" s="61">
        <v>0.1</v>
      </c>
      <c r="F5" s="61">
        <v>0.1</v>
      </c>
      <c r="G5" s="61">
        <v>0.2</v>
      </c>
      <c r="H5" s="61">
        <v>0.5</v>
      </c>
      <c r="I5" s="23"/>
      <c r="J5" s="23"/>
      <c r="K5" s="23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7">
        <f>'INPUT DAFTAR PESERTA'!A4</f>
        <v>1</v>
      </c>
      <c r="B6" s="25">
        <f>'INPUT DAFTAR PESERTA'!B4</f>
        <v>2309056046</v>
      </c>
      <c r="C6" s="26" t="str">
        <f>'INPUT DAFTAR PESERTA'!C4</f>
        <v>Erwin</v>
      </c>
      <c r="D6" s="70">
        <f>'NILAI HARIAN'!L6</f>
        <v>100</v>
      </c>
      <c r="E6" s="28">
        <f>'NILAI HARIAN'!M6</f>
        <v>27.1875</v>
      </c>
      <c r="F6" s="28">
        <f>'NILAI HARIAN'!V6</f>
        <v>0</v>
      </c>
      <c r="G6" s="28">
        <f>'NILAI HARIAN'!AE6</f>
        <v>30</v>
      </c>
      <c r="H6" s="28">
        <f>'NILAI HARIAN'!AN6</f>
        <v>60</v>
      </c>
      <c r="I6" s="28">
        <f t="shared" ref="I6:I91" si="1">(D6*$D$5)+(E6*$E$5)+(F6*$F$5)+(G6*$G$5)+(H6*$H$5)</f>
        <v>48.71875</v>
      </c>
      <c r="J6" s="63" t="str">
        <f t="shared" ref="J6:J91" si="2">IF(I6&lt;=39.9,"0.0",IF(I6&lt;=49.9,"1.0",IF(I6&lt;=59.9,"1.5",IF(I6&lt;=64.9,"2.0",IF(I6&lt;=69.9,"2.5",IF(I6&lt;=74.9,"3.0",IF(I6&lt;=79.99,"3.5",IF(I6&gt;=80,"4.0"))))))))</f>
        <v>1.0</v>
      </c>
      <c r="K6" s="63" t="str">
        <f t="shared" ref="K6:K91" si="3">IF(I6&gt;=80,"A",IF(I6&gt;=70,"B",IF(I6&gt;=60,"C",IF(I6&gt;=40,"D","E"))))</f>
        <v>D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7">
        <f>'INPUT DAFTAR PESERTA'!A5</f>
        <v>2</v>
      </c>
      <c r="B7" s="25">
        <f>'INPUT DAFTAR PESERTA'!B5</f>
        <v>2409056015</v>
      </c>
      <c r="C7" s="26" t="str">
        <f>'INPUT DAFTAR PESERTA'!C5</f>
        <v>Denny Setiawan</v>
      </c>
      <c r="D7" s="70">
        <f>'NILAI HARIAN'!L7</f>
        <v>25</v>
      </c>
      <c r="E7" s="28">
        <f>'NILAI HARIAN'!M7</f>
        <v>0</v>
      </c>
      <c r="F7" s="28">
        <f>'NILAI HARIAN'!V7</f>
        <v>0</v>
      </c>
      <c r="G7" s="63">
        <f>'NILAI HARIAN'!AE7</f>
        <v>0</v>
      </c>
      <c r="H7" s="28">
        <f>'NILAI HARIAN'!AN7</f>
        <v>15.375</v>
      </c>
      <c r="I7" s="28">
        <f t="shared" si="1"/>
        <v>10.1875</v>
      </c>
      <c r="J7" s="63" t="str">
        <f t="shared" si="2"/>
        <v>0.0</v>
      </c>
      <c r="K7" s="63" t="str">
        <f t="shared" si="3"/>
        <v>E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7">
        <f>'INPUT DAFTAR PESERTA'!A6</f>
        <v>3</v>
      </c>
      <c r="B8" s="25">
        <f>'INPUT DAFTAR PESERTA'!B6</f>
        <v>2409056031</v>
      </c>
      <c r="C8" s="26" t="str">
        <f>'INPUT DAFTAR PESERTA'!C6</f>
        <v>Rahmad Oka Aufa Ramadan</v>
      </c>
      <c r="D8" s="70">
        <f>'NILAI HARIAN'!L8</f>
        <v>25</v>
      </c>
      <c r="E8" s="28">
        <f>'NILAI HARIAN'!M8</f>
        <v>0</v>
      </c>
      <c r="F8" s="28">
        <f>'NILAI HARIAN'!V8</f>
        <v>0</v>
      </c>
      <c r="G8" s="63">
        <f>'NILAI HARIAN'!AE8</f>
        <v>0</v>
      </c>
      <c r="H8" s="28">
        <f>'NILAI HARIAN'!AN8</f>
        <v>15.375</v>
      </c>
      <c r="I8" s="28">
        <f t="shared" si="1"/>
        <v>10.1875</v>
      </c>
      <c r="J8" s="63" t="str">
        <f t="shared" si="2"/>
        <v>0.0</v>
      </c>
      <c r="K8" s="63" t="str">
        <f t="shared" si="3"/>
        <v>E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7">
        <f>'INPUT DAFTAR PESERTA'!A7</f>
        <v>4</v>
      </c>
      <c r="B9" s="25">
        <f>'INPUT DAFTAR PESERTA'!B7</f>
        <v>2409056032</v>
      </c>
      <c r="C9" s="26" t="str">
        <f>'INPUT DAFTAR PESERTA'!C7</f>
        <v>Stewa Syaifa Bakhid</v>
      </c>
      <c r="D9" s="70">
        <f>'NILAI HARIAN'!L9</f>
        <v>25</v>
      </c>
      <c r="E9" s="28">
        <f>'NILAI HARIAN'!M9</f>
        <v>0</v>
      </c>
      <c r="F9" s="28">
        <f>'NILAI HARIAN'!V9</f>
        <v>0</v>
      </c>
      <c r="G9" s="63">
        <f>'NILAI HARIAN'!AE9</f>
        <v>0</v>
      </c>
      <c r="H9" s="28">
        <f>'NILAI HARIAN'!AN9</f>
        <v>15.375</v>
      </c>
      <c r="I9" s="28">
        <f t="shared" si="1"/>
        <v>10.1875</v>
      </c>
      <c r="J9" s="63" t="str">
        <f t="shared" si="2"/>
        <v>0.0</v>
      </c>
      <c r="K9" s="63" t="str">
        <f t="shared" si="3"/>
        <v>E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7">
        <f>'INPUT DAFTAR PESERTA'!A8</f>
        <v>5</v>
      </c>
      <c r="B10" s="25">
        <f>'INPUT DAFTAR PESERTA'!B8</f>
        <v>2409056033</v>
      </c>
      <c r="C10" s="26" t="str">
        <f>'INPUT DAFTAR PESERTA'!C8</f>
        <v>Adnan Fadil Annur</v>
      </c>
      <c r="D10" s="70">
        <f>'NILAI HARIAN'!L10</f>
        <v>37.5</v>
      </c>
      <c r="E10" s="28">
        <f>'NILAI HARIAN'!M10</f>
        <v>5.3125</v>
      </c>
      <c r="F10" s="28">
        <f>'NILAI HARIAN'!V10</f>
        <v>0</v>
      </c>
      <c r="G10" s="63">
        <f>'NILAI HARIAN'!AE10</f>
        <v>0</v>
      </c>
      <c r="H10" s="28">
        <f>'NILAI HARIAN'!AN10</f>
        <v>26.625</v>
      </c>
      <c r="I10" s="28">
        <f t="shared" si="1"/>
        <v>17.59375</v>
      </c>
      <c r="J10" s="63" t="str">
        <f t="shared" si="2"/>
        <v>0.0</v>
      </c>
      <c r="K10" s="63" t="str">
        <f t="shared" si="3"/>
        <v>E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7">
        <f>'INPUT DAFTAR PESERTA'!A9</f>
        <v>6</v>
      </c>
      <c r="B11" s="25">
        <f>'INPUT DAFTAR PESERTA'!B9</f>
        <v>2409056039</v>
      </c>
      <c r="C11" s="26" t="str">
        <f>'INPUT DAFTAR PESERTA'!C9</f>
        <v>Muhammad Hasbi Ash Shiddieqy</v>
      </c>
      <c r="D11" s="70">
        <f>'NILAI HARIAN'!L11</f>
        <v>25</v>
      </c>
      <c r="E11" s="28">
        <f>'NILAI HARIAN'!M11</f>
        <v>0</v>
      </c>
      <c r="F11" s="28">
        <f>'NILAI HARIAN'!V11</f>
        <v>0</v>
      </c>
      <c r="G11" s="63">
        <f>'NILAI HARIAN'!AE11</f>
        <v>0</v>
      </c>
      <c r="H11" s="28">
        <f>'NILAI HARIAN'!AN11</f>
        <v>15.375</v>
      </c>
      <c r="I11" s="28">
        <f t="shared" si="1"/>
        <v>10.1875</v>
      </c>
      <c r="J11" s="63" t="str">
        <f t="shared" si="2"/>
        <v>0.0</v>
      </c>
      <c r="K11" s="63" t="str">
        <f t="shared" si="3"/>
        <v>E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7">
        <f>'INPUT DAFTAR PESERTA'!A10</f>
        <v>7</v>
      </c>
      <c r="B12" s="25">
        <f>'INPUT DAFTAR PESERTA'!B10</f>
        <v>2409056044</v>
      </c>
      <c r="C12" s="26" t="str">
        <f>'INPUT DAFTAR PESERTA'!C10</f>
        <v>Siti Aisyah Hasanah</v>
      </c>
      <c r="D12" s="70">
        <f>'NILAI HARIAN'!L12</f>
        <v>25</v>
      </c>
      <c r="E12" s="28">
        <f>'NILAI HARIAN'!M12</f>
        <v>0</v>
      </c>
      <c r="F12" s="28">
        <f>'NILAI HARIAN'!V12</f>
        <v>0</v>
      </c>
      <c r="G12" s="63">
        <f>'NILAI HARIAN'!AE12</f>
        <v>0</v>
      </c>
      <c r="H12" s="28">
        <f>'NILAI HARIAN'!AN12</f>
        <v>15.375</v>
      </c>
      <c r="I12" s="28">
        <f t="shared" si="1"/>
        <v>10.1875</v>
      </c>
      <c r="J12" s="63" t="str">
        <f t="shared" si="2"/>
        <v>0.0</v>
      </c>
      <c r="K12" s="63" t="str">
        <f t="shared" si="3"/>
        <v>E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7">
        <f>'INPUT DAFTAR PESERTA'!A11</f>
        <v>8</v>
      </c>
      <c r="B13" s="25">
        <f>'INPUT DAFTAR PESERTA'!B11</f>
        <v>2409056047</v>
      </c>
      <c r="C13" s="26" t="str">
        <f>'INPUT DAFTAR PESERTA'!C11</f>
        <v>D’arch Hweng Junior</v>
      </c>
      <c r="D13" s="70">
        <f>'NILAI HARIAN'!L13</f>
        <v>25</v>
      </c>
      <c r="E13" s="28">
        <f>'NILAI HARIAN'!M13</f>
        <v>0</v>
      </c>
      <c r="F13" s="28">
        <f>'NILAI HARIAN'!V13</f>
        <v>0</v>
      </c>
      <c r="G13" s="63">
        <f>'NILAI HARIAN'!AE13</f>
        <v>0</v>
      </c>
      <c r="H13" s="28">
        <f>'NILAI HARIAN'!AN13</f>
        <v>15.375</v>
      </c>
      <c r="I13" s="28">
        <f t="shared" si="1"/>
        <v>10.1875</v>
      </c>
      <c r="J13" s="63" t="str">
        <f t="shared" si="2"/>
        <v>0.0</v>
      </c>
      <c r="K13" s="63" t="str">
        <f t="shared" si="3"/>
        <v>E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">
        <f>'INPUT DAFTAR PESERTA'!A12</f>
        <v>9</v>
      </c>
      <c r="B14" s="25">
        <f>'INPUT DAFTAR PESERTA'!B12</f>
        <v>2409056052</v>
      </c>
      <c r="C14" s="26" t="str">
        <f>'INPUT DAFTAR PESERTA'!C12</f>
        <v>Andi Syaifullah Al Maslulil Agri</v>
      </c>
      <c r="D14" s="70">
        <f>'NILAI HARIAN'!L14</f>
        <v>25</v>
      </c>
      <c r="E14" s="28">
        <f>'NILAI HARIAN'!M14</f>
        <v>0</v>
      </c>
      <c r="F14" s="28">
        <f>'NILAI HARIAN'!V14</f>
        <v>0</v>
      </c>
      <c r="G14" s="63">
        <f>'NILAI HARIAN'!AE14</f>
        <v>0</v>
      </c>
      <c r="H14" s="28">
        <f>'NILAI HARIAN'!AN14</f>
        <v>15.375</v>
      </c>
      <c r="I14" s="28">
        <f t="shared" si="1"/>
        <v>10.1875</v>
      </c>
      <c r="J14" s="63" t="str">
        <f t="shared" si="2"/>
        <v>0.0</v>
      </c>
      <c r="K14" s="63" t="str">
        <f t="shared" si="3"/>
        <v>E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7">
        <f>'INPUT DAFTAR PESERTA'!A13</f>
        <v>10</v>
      </c>
      <c r="B15" s="25">
        <f>'INPUT DAFTAR PESERTA'!B13</f>
        <v>2409056058</v>
      </c>
      <c r="C15" s="26" t="str">
        <f>'INPUT DAFTAR PESERTA'!C13</f>
        <v>Andre Pratama</v>
      </c>
      <c r="D15" s="70">
        <f>'NILAI HARIAN'!L15</f>
        <v>25</v>
      </c>
      <c r="E15" s="28">
        <f>'NILAI HARIAN'!M15</f>
        <v>0</v>
      </c>
      <c r="F15" s="28">
        <f>'NILAI HARIAN'!V15</f>
        <v>0</v>
      </c>
      <c r="G15" s="63">
        <f>'NILAI HARIAN'!AE15</f>
        <v>0</v>
      </c>
      <c r="H15" s="28">
        <f>'NILAI HARIAN'!AN15</f>
        <v>15.375</v>
      </c>
      <c r="I15" s="28">
        <f t="shared" si="1"/>
        <v>10.1875</v>
      </c>
      <c r="J15" s="63" t="str">
        <f t="shared" si="2"/>
        <v>0.0</v>
      </c>
      <c r="K15" s="63" t="str">
        <f t="shared" si="3"/>
        <v>E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7">
        <f>'INPUT DAFTAR PESERTA'!A14</f>
        <v>11</v>
      </c>
      <c r="B16" s="25">
        <f>'INPUT DAFTAR PESERTA'!B14</f>
        <v>2409056067</v>
      </c>
      <c r="C16" s="26" t="str">
        <f>'INPUT DAFTAR PESERTA'!C14</f>
        <v>Andi Afif Najib Abdillah</v>
      </c>
      <c r="D16" s="70">
        <f>'NILAI HARIAN'!L16</f>
        <v>25</v>
      </c>
      <c r="E16" s="28">
        <f>'NILAI HARIAN'!M16</f>
        <v>0</v>
      </c>
      <c r="F16" s="28">
        <f>'NILAI HARIAN'!V16</f>
        <v>0</v>
      </c>
      <c r="G16" s="63">
        <f>'NILAI HARIAN'!AE16</f>
        <v>0</v>
      </c>
      <c r="H16" s="28">
        <f>'NILAI HARIAN'!AN16</f>
        <v>15.375</v>
      </c>
      <c r="I16" s="28">
        <f t="shared" si="1"/>
        <v>10.1875</v>
      </c>
      <c r="J16" s="63" t="str">
        <f t="shared" si="2"/>
        <v>0.0</v>
      </c>
      <c r="K16" s="63" t="str">
        <f t="shared" si="3"/>
        <v>E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7">
        <f>'INPUT DAFTAR PESERTA'!A15</f>
        <v>12</v>
      </c>
      <c r="B17" s="25">
        <f>'INPUT DAFTAR PESERTA'!B15</f>
        <v>2409056068</v>
      </c>
      <c r="C17" s="26" t="str">
        <f>'INPUT DAFTAR PESERTA'!C15</f>
        <v>Christianus Gonzaga</v>
      </c>
      <c r="D17" s="70">
        <f>'NILAI HARIAN'!L17</f>
        <v>25</v>
      </c>
      <c r="E17" s="28">
        <f>'NILAI HARIAN'!M17</f>
        <v>0</v>
      </c>
      <c r="F17" s="28">
        <f>'NILAI HARIAN'!V17</f>
        <v>0</v>
      </c>
      <c r="G17" s="63">
        <f>'NILAI HARIAN'!AE17</f>
        <v>0</v>
      </c>
      <c r="H17" s="28">
        <f>'NILAI HARIAN'!AN17</f>
        <v>15.375</v>
      </c>
      <c r="I17" s="28">
        <f t="shared" si="1"/>
        <v>10.1875</v>
      </c>
      <c r="J17" s="63" t="str">
        <f t="shared" si="2"/>
        <v>0.0</v>
      </c>
      <c r="K17" s="63" t="str">
        <f t="shared" si="3"/>
        <v>E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7">
        <f>'INPUT DAFTAR PESERTA'!A16</f>
        <v>13</v>
      </c>
      <c r="B18" s="25">
        <f>'INPUT DAFTAR PESERTA'!B16</f>
        <v>2509056001</v>
      </c>
      <c r="C18" s="26" t="str">
        <f>'INPUT DAFTAR PESERTA'!C16</f>
        <v>Mutiara Suci Rahmadani</v>
      </c>
      <c r="D18" s="70">
        <f>'NILAI HARIAN'!L18</f>
        <v>100</v>
      </c>
      <c r="E18" s="28">
        <f>'NILAI HARIAN'!M18</f>
        <v>76.5625</v>
      </c>
      <c r="F18" s="28">
        <f>'NILAI HARIAN'!V18</f>
        <v>92</v>
      </c>
      <c r="G18" s="63">
        <f>'NILAI HARIAN'!AE18</f>
        <v>76.25</v>
      </c>
      <c r="H18" s="28">
        <f>'NILAI HARIAN'!AN18</f>
        <v>78</v>
      </c>
      <c r="I18" s="28">
        <f t="shared" si="1"/>
        <v>81.10625</v>
      </c>
      <c r="J18" s="63" t="str">
        <f t="shared" si="2"/>
        <v>4.0</v>
      </c>
      <c r="K18" s="63" t="str">
        <f t="shared" si="3"/>
        <v>A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7">
        <f>'INPUT DAFTAR PESERTA'!A17</f>
        <v>14</v>
      </c>
      <c r="B19" s="25">
        <f>'INPUT DAFTAR PESERTA'!B17</f>
        <v>2509056002</v>
      </c>
      <c r="C19" s="26" t="str">
        <f>'INPUT DAFTAR PESERTA'!C17</f>
        <v>Adhwa Ghinna Febrianty</v>
      </c>
      <c r="D19" s="70">
        <f>'NILAI HARIAN'!L19</f>
        <v>100</v>
      </c>
      <c r="E19" s="28">
        <f>'NILAI HARIAN'!M19</f>
        <v>69.5</v>
      </c>
      <c r="F19" s="28">
        <f>'NILAI HARIAN'!V19</f>
        <v>84</v>
      </c>
      <c r="G19" s="63">
        <f>'NILAI HARIAN'!AE19</f>
        <v>71.25</v>
      </c>
      <c r="H19" s="28">
        <f>'NILAI HARIAN'!AN19</f>
        <v>68.625</v>
      </c>
      <c r="I19" s="28">
        <f t="shared" si="1"/>
        <v>73.9125</v>
      </c>
      <c r="J19" s="63" t="str">
        <f t="shared" si="2"/>
        <v>3.0</v>
      </c>
      <c r="K19" s="63" t="str">
        <f t="shared" si="3"/>
        <v>B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7">
        <f>'INPUT DAFTAR PESERTA'!A18</f>
        <v>15</v>
      </c>
      <c r="B20" s="25">
        <f>'INPUT DAFTAR PESERTA'!B18</f>
        <v>2509056003</v>
      </c>
      <c r="C20" s="26" t="str">
        <f>'INPUT DAFTAR PESERTA'!C18</f>
        <v>Muhammad Daffa Alifiansyah</v>
      </c>
      <c r="D20" s="70">
        <f>'NILAI HARIAN'!L20</f>
        <v>100</v>
      </c>
      <c r="E20" s="28">
        <f>'NILAI HARIAN'!M20</f>
        <v>68.3125</v>
      </c>
      <c r="F20" s="28">
        <f>'NILAI HARIAN'!V20</f>
        <v>90</v>
      </c>
      <c r="G20" s="63">
        <f>'NILAI HARIAN'!AE20</f>
        <v>72.5</v>
      </c>
      <c r="H20" s="28">
        <f>'NILAI HARIAN'!AN20</f>
        <v>74.625</v>
      </c>
      <c r="I20" s="28">
        <f t="shared" si="1"/>
        <v>77.64375</v>
      </c>
      <c r="J20" s="63" t="str">
        <f t="shared" si="2"/>
        <v>3.5</v>
      </c>
      <c r="K20" s="63" t="str">
        <f t="shared" si="3"/>
        <v>B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7">
        <f>'INPUT DAFTAR PESERTA'!A19</f>
        <v>16</v>
      </c>
      <c r="B21" s="25">
        <f>'INPUT DAFTAR PESERTA'!B19</f>
        <v>2509056004</v>
      </c>
      <c r="C21" s="26" t="str">
        <f>'INPUT DAFTAR PESERTA'!C19</f>
        <v>Adya Nur Adzhuriva</v>
      </c>
      <c r="D21" s="70">
        <f>'NILAI HARIAN'!L21</f>
        <v>37.5</v>
      </c>
      <c r="E21" s="28">
        <f>'NILAI HARIAN'!M21</f>
        <v>0.3125</v>
      </c>
      <c r="F21" s="28">
        <f>'NILAI HARIAN'!V21</f>
        <v>86</v>
      </c>
      <c r="G21" s="63">
        <f>'NILAI HARIAN'!AE21</f>
        <v>0</v>
      </c>
      <c r="H21" s="28">
        <f>'NILAI HARIAN'!AN21</f>
        <v>13.125</v>
      </c>
      <c r="I21" s="28">
        <f t="shared" si="1"/>
        <v>18.94375</v>
      </c>
      <c r="J21" s="63" t="str">
        <f t="shared" si="2"/>
        <v>0.0</v>
      </c>
      <c r="K21" s="63" t="str">
        <f t="shared" si="3"/>
        <v>E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7">
        <f>'INPUT DAFTAR PESERTA'!A20</f>
        <v>17</v>
      </c>
      <c r="B22" s="25">
        <f>'INPUT DAFTAR PESERTA'!B20</f>
        <v>2509056005</v>
      </c>
      <c r="C22" s="26" t="str">
        <f>'INPUT DAFTAR PESERTA'!C20</f>
        <v>Cheva Fasha Prathama</v>
      </c>
      <c r="D22" s="70">
        <f>'NILAI HARIAN'!L22</f>
        <v>0</v>
      </c>
      <c r="E22" s="28">
        <f>'NILAI HARIAN'!M22</f>
        <v>0</v>
      </c>
      <c r="F22" s="28">
        <f>'NILAI HARIAN'!V22</f>
        <v>0</v>
      </c>
      <c r="G22" s="63">
        <f>'NILAI HARIAN'!AE22</f>
        <v>0</v>
      </c>
      <c r="H22" s="28">
        <f>'NILAI HARIAN'!AN22</f>
        <v>3.75</v>
      </c>
      <c r="I22" s="28">
        <f t="shared" si="1"/>
        <v>1.875</v>
      </c>
      <c r="J22" s="63" t="str">
        <f t="shared" si="2"/>
        <v>0.0</v>
      </c>
      <c r="K22" s="63" t="str">
        <f t="shared" si="3"/>
        <v>E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7">
        <f>'INPUT DAFTAR PESERTA'!A21</f>
        <v>18</v>
      </c>
      <c r="B23" s="25">
        <f>'INPUT DAFTAR PESERTA'!B21</f>
        <v>2509056006</v>
      </c>
      <c r="C23" s="26" t="str">
        <f>'INPUT DAFTAR PESERTA'!C21</f>
        <v>Muhammad Zaki Fadillah</v>
      </c>
      <c r="D23" s="70">
        <f>'NILAI HARIAN'!L23</f>
        <v>0</v>
      </c>
      <c r="E23" s="28">
        <f>'NILAI HARIAN'!M23</f>
        <v>0</v>
      </c>
      <c r="F23" s="28">
        <f>'NILAI HARIAN'!V23</f>
        <v>70</v>
      </c>
      <c r="G23" s="63">
        <f>'NILAI HARIAN'!AE23</f>
        <v>0</v>
      </c>
      <c r="H23" s="28">
        <f>'NILAI HARIAN'!AN23</f>
        <v>3.75</v>
      </c>
      <c r="I23" s="28">
        <f t="shared" si="1"/>
        <v>8.875</v>
      </c>
      <c r="J23" s="63" t="str">
        <f t="shared" si="2"/>
        <v>0.0</v>
      </c>
      <c r="K23" s="63" t="str">
        <f t="shared" si="3"/>
        <v>E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7">
        <f>'INPUT DAFTAR PESERTA'!A22</f>
        <v>19</v>
      </c>
      <c r="B24" s="25">
        <f>'INPUT DAFTAR PESERTA'!B22</f>
        <v>2509056007</v>
      </c>
      <c r="C24" s="26" t="str">
        <f>'INPUT DAFTAR PESERTA'!C22</f>
        <v>Widdyanti Fetrina Sefriany</v>
      </c>
      <c r="D24" s="70">
        <f>'NILAI HARIAN'!L24</f>
        <v>0</v>
      </c>
      <c r="E24" s="28">
        <f>'NILAI HARIAN'!M24</f>
        <v>0</v>
      </c>
      <c r="F24" s="28">
        <f>'NILAI HARIAN'!V24</f>
        <v>88</v>
      </c>
      <c r="G24" s="63">
        <f>'NILAI HARIAN'!AE24</f>
        <v>0</v>
      </c>
      <c r="H24" s="28">
        <f>'NILAI HARIAN'!AN24</f>
        <v>3.75</v>
      </c>
      <c r="I24" s="28">
        <f t="shared" si="1"/>
        <v>10.675</v>
      </c>
      <c r="J24" s="63" t="str">
        <f t="shared" si="2"/>
        <v>0.0</v>
      </c>
      <c r="K24" s="63" t="str">
        <f t="shared" si="3"/>
        <v>E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7">
        <f>'INPUT DAFTAR PESERTA'!A23</f>
        <v>20</v>
      </c>
      <c r="B25" s="25">
        <f>'INPUT DAFTAR PESERTA'!B23</f>
        <v>2509056008</v>
      </c>
      <c r="C25" s="26" t="str">
        <f>'INPUT DAFTAR PESERTA'!C23</f>
        <v>Gita Mufidatuzahrah</v>
      </c>
      <c r="D25" s="70">
        <f>'NILAI HARIAN'!L25</f>
        <v>50</v>
      </c>
      <c r="E25" s="28">
        <f>'NILAI HARIAN'!M25</f>
        <v>4.6875</v>
      </c>
      <c r="F25" s="28">
        <f>'NILAI HARIAN'!V25</f>
        <v>96</v>
      </c>
      <c r="G25" s="63">
        <f>'NILAI HARIAN'!AE25</f>
        <v>0</v>
      </c>
      <c r="H25" s="28">
        <f>'NILAI HARIAN'!AN25</f>
        <v>18.375</v>
      </c>
      <c r="I25" s="28">
        <f t="shared" si="1"/>
        <v>24.25625</v>
      </c>
      <c r="J25" s="63" t="str">
        <f t="shared" si="2"/>
        <v>0.0</v>
      </c>
      <c r="K25" s="63" t="str">
        <f t="shared" si="3"/>
        <v>E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7">
        <f>'INPUT DAFTAR PESERTA'!A24</f>
        <v>21</v>
      </c>
      <c r="B26" s="25">
        <f>'INPUT DAFTAR PESERTA'!B24</f>
        <v>2509056009</v>
      </c>
      <c r="C26" s="26" t="str">
        <f>'INPUT DAFTAR PESERTA'!C24</f>
        <v>Muhammad Hersal Ramadhan</v>
      </c>
      <c r="D26" s="70">
        <f>'NILAI HARIAN'!L26</f>
        <v>100</v>
      </c>
      <c r="E26" s="28">
        <f>'NILAI HARIAN'!M26</f>
        <v>65.3125</v>
      </c>
      <c r="F26" s="28">
        <f>'NILAI HARIAN'!V26</f>
        <v>88</v>
      </c>
      <c r="G26" s="63">
        <f>'NILAI HARIAN'!AE26</f>
        <v>70</v>
      </c>
      <c r="H26" s="28">
        <f>'NILAI HARIAN'!AN26</f>
        <v>70.5</v>
      </c>
      <c r="I26" s="28">
        <f t="shared" si="1"/>
        <v>74.58125</v>
      </c>
      <c r="J26" s="63" t="str">
        <f t="shared" si="2"/>
        <v>3.0</v>
      </c>
      <c r="K26" s="63" t="str">
        <f t="shared" si="3"/>
        <v>B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7">
        <f>'INPUT DAFTAR PESERTA'!A25</f>
        <v>22</v>
      </c>
      <c r="B27" s="25">
        <f>'INPUT DAFTAR PESERTA'!B25</f>
        <v>2509056010</v>
      </c>
      <c r="C27" s="26" t="str">
        <f>'INPUT DAFTAR PESERTA'!C25</f>
        <v>Chikal Fattiya Putri</v>
      </c>
      <c r="D27" s="70">
        <f>'NILAI HARIAN'!L27</f>
        <v>50</v>
      </c>
      <c r="E27" s="28">
        <f>'NILAI HARIAN'!M27</f>
        <v>6.3125</v>
      </c>
      <c r="F27" s="28">
        <f>'NILAI HARIAN'!V27</f>
        <v>0</v>
      </c>
      <c r="G27" s="63">
        <f>'NILAI HARIAN'!AE27</f>
        <v>10</v>
      </c>
      <c r="H27" s="28">
        <f>'NILAI HARIAN'!AN27</f>
        <v>23.25</v>
      </c>
      <c r="I27" s="28">
        <f t="shared" si="1"/>
        <v>19.25625</v>
      </c>
      <c r="J27" s="63" t="str">
        <f t="shared" si="2"/>
        <v>0.0</v>
      </c>
      <c r="K27" s="63" t="str">
        <f t="shared" si="3"/>
        <v>E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7">
        <f>'INPUT DAFTAR PESERTA'!A26</f>
        <v>23</v>
      </c>
      <c r="B28" s="25">
        <f>'INPUT DAFTAR PESERTA'!B26</f>
        <v>2509056011</v>
      </c>
      <c r="C28" s="26" t="str">
        <f>'INPUT DAFTAR PESERTA'!C26</f>
        <v>Muhammad Daffa Lailitama Sinaga</v>
      </c>
      <c r="D28" s="70">
        <f>'NILAI HARIAN'!L28</f>
        <v>100</v>
      </c>
      <c r="E28" s="28">
        <f>'NILAI HARIAN'!M28</f>
        <v>79.75</v>
      </c>
      <c r="F28" s="28">
        <f>'NILAI HARIAN'!V28</f>
        <v>100</v>
      </c>
      <c r="G28" s="63">
        <f>'NILAI HARIAN'!AE28</f>
        <v>75</v>
      </c>
      <c r="H28" s="28">
        <f>'NILAI HARIAN'!AN28</f>
        <v>76.875</v>
      </c>
      <c r="I28" s="28">
        <f t="shared" si="1"/>
        <v>81.4125</v>
      </c>
      <c r="J28" s="63" t="str">
        <f t="shared" si="2"/>
        <v>4.0</v>
      </c>
      <c r="K28" s="63" t="str">
        <f t="shared" si="3"/>
        <v>A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7">
        <f>'INPUT DAFTAR PESERTA'!A27</f>
        <v>24</v>
      </c>
      <c r="B29" s="25">
        <f>'INPUT DAFTAR PESERTA'!B27</f>
        <v>2509056012</v>
      </c>
      <c r="C29" s="26" t="str">
        <f>'INPUT DAFTAR PESERTA'!C27</f>
        <v>Sera Ayu Ningsih</v>
      </c>
      <c r="D29" s="70">
        <f>'NILAI HARIAN'!L29</f>
        <v>87.5</v>
      </c>
      <c r="E29" s="28">
        <f>'NILAI HARIAN'!M29</f>
        <v>41.375</v>
      </c>
      <c r="F29" s="28">
        <f>'NILAI HARIAN'!V29</f>
        <v>88</v>
      </c>
      <c r="G29" s="63">
        <f>'NILAI HARIAN'!AE29</f>
        <v>32.5</v>
      </c>
      <c r="H29" s="28">
        <f>'NILAI HARIAN'!AN29</f>
        <v>65.625</v>
      </c>
      <c r="I29" s="28">
        <f t="shared" si="1"/>
        <v>61</v>
      </c>
      <c r="J29" s="63" t="str">
        <f t="shared" si="2"/>
        <v>2.0</v>
      </c>
      <c r="K29" s="63" t="str">
        <f t="shared" si="3"/>
        <v>C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">
        <f>'INPUT DAFTAR PESERTA'!A28</f>
        <v>25</v>
      </c>
      <c r="B30" s="25">
        <f>'INPUT DAFTAR PESERTA'!B28</f>
        <v>2509056013</v>
      </c>
      <c r="C30" s="26" t="str">
        <f>'INPUT DAFTAR PESERTA'!C28</f>
        <v>Naufal Firdaus Syauqi</v>
      </c>
      <c r="D30" s="70">
        <f>'NILAI HARIAN'!L30</f>
        <v>100</v>
      </c>
      <c r="E30" s="28">
        <f>'NILAI HARIAN'!M30</f>
        <v>68.0625</v>
      </c>
      <c r="F30" s="28">
        <f>'NILAI HARIAN'!V30</f>
        <v>90</v>
      </c>
      <c r="G30" s="63">
        <f>'NILAI HARIAN'!AE30</f>
        <v>73.75</v>
      </c>
      <c r="H30" s="28">
        <f>'NILAI HARIAN'!AN30</f>
        <v>59.25</v>
      </c>
      <c r="I30" s="28">
        <f t="shared" si="1"/>
        <v>70.18125</v>
      </c>
      <c r="J30" s="63" t="str">
        <f t="shared" si="2"/>
        <v>3.0</v>
      </c>
      <c r="K30" s="63" t="str">
        <f t="shared" si="3"/>
        <v>B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7">
        <f>'INPUT DAFTAR PESERTA'!A29</f>
        <v>26</v>
      </c>
      <c r="B31" s="25">
        <f>'INPUT DAFTAR PESERTA'!B29</f>
        <v>2509056014</v>
      </c>
      <c r="C31" s="26" t="str">
        <f>'INPUT DAFTAR PESERTA'!C29</f>
        <v>Alexander Radja Roben Saragih</v>
      </c>
      <c r="D31" s="70">
        <f>'NILAI HARIAN'!L31</f>
        <v>100</v>
      </c>
      <c r="E31" s="28">
        <f>'NILAI HARIAN'!M31</f>
        <v>89.625</v>
      </c>
      <c r="F31" s="28">
        <f>'NILAI HARIAN'!V31</f>
        <v>84</v>
      </c>
      <c r="G31" s="63">
        <f>'NILAI HARIAN'!AE31</f>
        <v>66.25</v>
      </c>
      <c r="H31" s="28">
        <f>'NILAI HARIAN'!AN31</f>
        <v>81.75</v>
      </c>
      <c r="I31" s="28">
        <f t="shared" si="1"/>
        <v>81.4875</v>
      </c>
      <c r="J31" s="63" t="str">
        <f t="shared" si="2"/>
        <v>4.0</v>
      </c>
      <c r="K31" s="63" t="str">
        <f t="shared" si="3"/>
        <v>A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7">
        <f>'INPUT DAFTAR PESERTA'!A30</f>
        <v>27</v>
      </c>
      <c r="B32" s="25">
        <f>'INPUT DAFTAR PESERTA'!B30</f>
        <v>2509056015</v>
      </c>
      <c r="C32" s="26" t="str">
        <f>'INPUT DAFTAR PESERTA'!C30</f>
        <v>Tiara Aqila Azzahra</v>
      </c>
      <c r="D32" s="70">
        <f>'NILAI HARIAN'!L32</f>
        <v>87.5</v>
      </c>
      <c r="E32" s="28">
        <f>'NILAI HARIAN'!M32</f>
        <v>78.25</v>
      </c>
      <c r="F32" s="28">
        <f>'NILAI HARIAN'!V32</f>
        <v>78</v>
      </c>
      <c r="G32" s="63">
        <f>'NILAI HARIAN'!AE32</f>
        <v>62.5</v>
      </c>
      <c r="H32" s="28">
        <f>'NILAI HARIAN'!AN32</f>
        <v>76.125</v>
      </c>
      <c r="I32" s="28">
        <f t="shared" si="1"/>
        <v>74.9375</v>
      </c>
      <c r="J32" s="63" t="str">
        <f t="shared" si="2"/>
        <v>3.5</v>
      </c>
      <c r="K32" s="63" t="str">
        <f t="shared" si="3"/>
        <v>B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7">
        <f>'INPUT DAFTAR PESERTA'!A31</f>
        <v>28</v>
      </c>
      <c r="B33" s="25">
        <f>'INPUT DAFTAR PESERTA'!B31</f>
        <v>2509056016</v>
      </c>
      <c r="C33" s="26" t="str">
        <f>'INPUT DAFTAR PESERTA'!C31</f>
        <v>Muhammad Haikal Islamy Saputra</v>
      </c>
      <c r="D33" s="70">
        <f>'NILAI HARIAN'!L33</f>
        <v>100</v>
      </c>
      <c r="E33" s="28">
        <f>'NILAI HARIAN'!M33</f>
        <v>63.4375</v>
      </c>
      <c r="F33" s="28">
        <f>'NILAI HARIAN'!V33</f>
        <v>90</v>
      </c>
      <c r="G33" s="63">
        <f>'NILAI HARIAN'!AE33</f>
        <v>71.25</v>
      </c>
      <c r="H33" s="28">
        <f>'NILAI HARIAN'!AN33</f>
        <v>68.25</v>
      </c>
      <c r="I33" s="28">
        <f t="shared" si="1"/>
        <v>73.71875</v>
      </c>
      <c r="J33" s="63" t="str">
        <f t="shared" si="2"/>
        <v>3.0</v>
      </c>
      <c r="K33" s="63" t="str">
        <f t="shared" si="3"/>
        <v>B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7">
        <f>'INPUT DAFTAR PESERTA'!A32</f>
        <v>29</v>
      </c>
      <c r="B34" s="25">
        <f>'INPUT DAFTAR PESERTA'!B32</f>
        <v>2509056017</v>
      </c>
      <c r="C34" s="26" t="str">
        <f>'INPUT DAFTAR PESERTA'!C32</f>
        <v>Faatihur Rizki</v>
      </c>
      <c r="D34" s="70">
        <f>'NILAI HARIAN'!L34</f>
        <v>100</v>
      </c>
      <c r="E34" s="28">
        <f>'NILAI HARIAN'!M34</f>
        <v>66.375</v>
      </c>
      <c r="F34" s="28">
        <f>'NILAI HARIAN'!V34</f>
        <v>92</v>
      </c>
      <c r="G34" s="63">
        <f>'NILAI HARIAN'!AE34</f>
        <v>76.25</v>
      </c>
      <c r="H34" s="28">
        <f>'NILAI HARIAN'!AN34</f>
        <v>62.25</v>
      </c>
      <c r="I34" s="28">
        <f t="shared" si="1"/>
        <v>72.2125</v>
      </c>
      <c r="J34" s="63" t="str">
        <f t="shared" si="2"/>
        <v>3.0</v>
      </c>
      <c r="K34" s="63" t="str">
        <f t="shared" si="3"/>
        <v>B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7">
        <f>'INPUT DAFTAR PESERTA'!A33</f>
        <v>30</v>
      </c>
      <c r="B35" s="25">
        <f>'INPUT DAFTAR PESERTA'!B33</f>
        <v>2509056018</v>
      </c>
      <c r="C35" s="26" t="str">
        <f>'INPUT DAFTAR PESERTA'!C33</f>
        <v>Rashya Annara Salsabilla Tomasoa</v>
      </c>
      <c r="D35" s="70">
        <f>'NILAI HARIAN'!L35</f>
        <v>100</v>
      </c>
      <c r="E35" s="28">
        <f>'NILAI HARIAN'!M35</f>
        <v>81.625</v>
      </c>
      <c r="F35" s="28">
        <f>'NILAI HARIAN'!V35</f>
        <v>92</v>
      </c>
      <c r="G35" s="63">
        <f>'NILAI HARIAN'!AE35</f>
        <v>73.75</v>
      </c>
      <c r="H35" s="28">
        <f>'NILAI HARIAN'!AN35</f>
        <v>77.25</v>
      </c>
      <c r="I35" s="28">
        <f t="shared" si="1"/>
        <v>80.7375</v>
      </c>
      <c r="J35" s="63" t="str">
        <f t="shared" si="2"/>
        <v>4.0</v>
      </c>
      <c r="K35" s="63" t="str">
        <f t="shared" si="3"/>
        <v>A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7">
        <f>'INPUT DAFTAR PESERTA'!A34</f>
        <v>31</v>
      </c>
      <c r="B36" s="25">
        <f>'INPUT DAFTAR PESERTA'!B34</f>
        <v>2509056019</v>
      </c>
      <c r="C36" s="26" t="str">
        <f>'INPUT DAFTAR PESERTA'!C34</f>
        <v>Desta Novie Sulfianie</v>
      </c>
      <c r="D36" s="70">
        <f>'NILAI HARIAN'!L36</f>
        <v>62.5</v>
      </c>
      <c r="E36" s="28">
        <f>'NILAI HARIAN'!M36</f>
        <v>7.0625</v>
      </c>
      <c r="F36" s="28">
        <f>'NILAI HARIAN'!V36</f>
        <v>92</v>
      </c>
      <c r="G36" s="63">
        <f>'NILAI HARIAN'!AE36</f>
        <v>7.5</v>
      </c>
      <c r="H36" s="28">
        <f>'NILAI HARIAN'!AN36</f>
        <v>22.5</v>
      </c>
      <c r="I36" s="28">
        <f t="shared" si="1"/>
        <v>28.90625</v>
      </c>
      <c r="J36" s="63" t="str">
        <f t="shared" si="2"/>
        <v>0.0</v>
      </c>
      <c r="K36" s="63" t="str">
        <f t="shared" si="3"/>
        <v>E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7">
        <f>'INPUT DAFTAR PESERTA'!A35</f>
        <v>32</v>
      </c>
      <c r="B37" s="25">
        <f>'INPUT DAFTAR PESERTA'!B35</f>
        <v>2509056020</v>
      </c>
      <c r="C37" s="26" t="str">
        <f>'INPUT DAFTAR PESERTA'!C35</f>
        <v>Chandra Ahmad Dwinata</v>
      </c>
      <c r="D37" s="70">
        <f>'NILAI HARIAN'!L37</f>
        <v>87.5</v>
      </c>
      <c r="E37" s="28">
        <f>'NILAI HARIAN'!M37</f>
        <v>27.1875</v>
      </c>
      <c r="F37" s="28">
        <f>'NILAI HARIAN'!V37</f>
        <v>94</v>
      </c>
      <c r="G37" s="63">
        <f>'NILAI HARIAN'!AE37</f>
        <v>32.5</v>
      </c>
      <c r="H37" s="28">
        <f>'NILAI HARIAN'!AN37</f>
        <v>55.125</v>
      </c>
      <c r="I37" s="28">
        <f t="shared" si="1"/>
        <v>54.93125</v>
      </c>
      <c r="J37" s="63" t="str">
        <f t="shared" si="2"/>
        <v>1.5</v>
      </c>
      <c r="K37" s="63" t="str">
        <f t="shared" si="3"/>
        <v>D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7">
        <f>'INPUT DAFTAR PESERTA'!A36</f>
        <v>33</v>
      </c>
      <c r="B38" s="25">
        <f>'INPUT DAFTAR PESERTA'!B36</f>
        <v>2509056021</v>
      </c>
      <c r="C38" s="26" t="str">
        <f>'INPUT DAFTAR PESERTA'!C36</f>
        <v>Sopando Imanuel Sipayung</v>
      </c>
      <c r="D38" s="70">
        <f>'NILAI HARIAN'!L38</f>
        <v>100</v>
      </c>
      <c r="E38" s="28">
        <f>'NILAI HARIAN'!M38</f>
        <v>78.0625</v>
      </c>
      <c r="F38" s="28">
        <f>'NILAI HARIAN'!V38</f>
        <v>86</v>
      </c>
      <c r="G38" s="63">
        <f>'NILAI HARIAN'!AE38</f>
        <v>76.25</v>
      </c>
      <c r="H38" s="28">
        <f>'NILAI HARIAN'!AN38</f>
        <v>73.5</v>
      </c>
      <c r="I38" s="28">
        <f t="shared" si="1"/>
        <v>78.40625</v>
      </c>
      <c r="J38" s="63" t="str">
        <f t="shared" si="2"/>
        <v>3.5</v>
      </c>
      <c r="K38" s="63" t="str">
        <f t="shared" si="3"/>
        <v>B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7">
        <f>'INPUT DAFTAR PESERTA'!A37</f>
        <v>34</v>
      </c>
      <c r="B39" s="25">
        <f>'INPUT DAFTAR PESERTA'!B37</f>
        <v>2509056022</v>
      </c>
      <c r="C39" s="26" t="str">
        <f>'INPUT DAFTAR PESERTA'!C37</f>
        <v>Rayhan Winata Prabowo</v>
      </c>
      <c r="D39" s="70">
        <f>'NILAI HARIAN'!L39</f>
        <v>100</v>
      </c>
      <c r="E39" s="28">
        <f>'NILAI HARIAN'!M39</f>
        <v>65.9375</v>
      </c>
      <c r="F39" s="28">
        <f>'NILAI HARIAN'!V39</f>
        <v>94</v>
      </c>
      <c r="G39" s="63">
        <f>'NILAI HARIAN'!AE39</f>
        <v>77.5</v>
      </c>
      <c r="H39" s="28">
        <f>'NILAI HARIAN'!AN39</f>
        <v>66.75</v>
      </c>
      <c r="I39" s="28">
        <f t="shared" si="1"/>
        <v>74.86875</v>
      </c>
      <c r="J39" s="63" t="str">
        <f t="shared" si="2"/>
        <v>3.0</v>
      </c>
      <c r="K39" s="63" t="str">
        <f t="shared" si="3"/>
        <v>B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7">
        <f>'INPUT DAFTAR PESERTA'!A38</f>
        <v>35</v>
      </c>
      <c r="B40" s="25">
        <f>'INPUT DAFTAR PESERTA'!B38</f>
        <v>2509056023</v>
      </c>
      <c r="C40" s="26" t="str">
        <f>'INPUT DAFTAR PESERTA'!C38</f>
        <v>Ahmad Din Nejad</v>
      </c>
      <c r="D40" s="70">
        <f>'NILAI HARIAN'!L40</f>
        <v>37.5</v>
      </c>
      <c r="E40" s="28">
        <f>'NILAI HARIAN'!M40</f>
        <v>0</v>
      </c>
      <c r="F40" s="28">
        <f>'NILAI HARIAN'!V40</f>
        <v>96</v>
      </c>
      <c r="G40" s="63">
        <f>'NILAI HARIAN'!AE40</f>
        <v>0</v>
      </c>
      <c r="H40" s="28">
        <f>'NILAI HARIAN'!AN40</f>
        <v>30</v>
      </c>
      <c r="I40" s="28">
        <f t="shared" si="1"/>
        <v>28.35</v>
      </c>
      <c r="J40" s="63" t="str">
        <f t="shared" si="2"/>
        <v>0.0</v>
      </c>
      <c r="K40" s="63" t="str">
        <f t="shared" si="3"/>
        <v>E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7">
        <f>'INPUT DAFTAR PESERTA'!A39</f>
        <v>36</v>
      </c>
      <c r="B41" s="25">
        <f>'INPUT DAFTAR PESERTA'!B39</f>
        <v>2509056024</v>
      </c>
      <c r="C41" s="26" t="str">
        <f>'INPUT DAFTAR PESERTA'!C39</f>
        <v>Nabil Candra Hartanto</v>
      </c>
      <c r="D41" s="70">
        <f>'NILAI HARIAN'!L41</f>
        <v>100</v>
      </c>
      <c r="E41" s="28">
        <f>'NILAI HARIAN'!M41</f>
        <v>56.625</v>
      </c>
      <c r="F41" s="28">
        <f>'NILAI HARIAN'!V41</f>
        <v>84</v>
      </c>
      <c r="G41" s="63">
        <f>'NILAI HARIAN'!AE41</f>
        <v>76.25</v>
      </c>
      <c r="H41" s="28">
        <f>'NILAI HARIAN'!AN41</f>
        <v>63</v>
      </c>
      <c r="I41" s="28">
        <f t="shared" si="1"/>
        <v>70.8125</v>
      </c>
      <c r="J41" s="63" t="str">
        <f t="shared" si="2"/>
        <v>3.0</v>
      </c>
      <c r="K41" s="63" t="str">
        <f t="shared" si="3"/>
        <v>B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7">
        <f>'INPUT DAFTAR PESERTA'!A40</f>
        <v>37</v>
      </c>
      <c r="B42" s="25">
        <f>'INPUT DAFTAR PESERTA'!B40</f>
        <v>2509056025</v>
      </c>
      <c r="C42" s="26" t="str">
        <f>'INPUT DAFTAR PESERTA'!C40</f>
        <v>Muhammad Rifqi Ibnu Malik</v>
      </c>
      <c r="D42" s="70">
        <f>'NILAI HARIAN'!L42</f>
        <v>50</v>
      </c>
      <c r="E42" s="28">
        <f>'NILAI HARIAN'!M42</f>
        <v>8.6875</v>
      </c>
      <c r="F42" s="28">
        <f>'NILAI HARIAN'!V42</f>
        <v>90</v>
      </c>
      <c r="G42" s="63">
        <f>'NILAI HARIAN'!AE42</f>
        <v>0</v>
      </c>
      <c r="H42" s="28">
        <f>'NILAI HARIAN'!AN42</f>
        <v>29.25</v>
      </c>
      <c r="I42" s="28">
        <f t="shared" si="1"/>
        <v>29.49375</v>
      </c>
      <c r="J42" s="63" t="str">
        <f t="shared" si="2"/>
        <v>0.0</v>
      </c>
      <c r="K42" s="63" t="str">
        <f t="shared" si="3"/>
        <v>E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7">
        <f>'INPUT DAFTAR PESERTA'!A41</f>
        <v>38</v>
      </c>
      <c r="B43" s="25">
        <f>'INPUT DAFTAR PESERTA'!B41</f>
        <v>2509056026</v>
      </c>
      <c r="C43" s="26" t="str">
        <f>'INPUT DAFTAR PESERTA'!C41</f>
        <v>Aditya Alfiansyah</v>
      </c>
      <c r="D43" s="70">
        <f>'NILAI HARIAN'!L43</f>
        <v>12.5</v>
      </c>
      <c r="E43" s="28">
        <f>'NILAI HARIAN'!M43</f>
        <v>0</v>
      </c>
      <c r="F43" s="28">
        <f>'NILAI HARIAN'!V43</f>
        <v>88</v>
      </c>
      <c r="G43" s="63">
        <f>'NILAI HARIAN'!AE43</f>
        <v>0</v>
      </c>
      <c r="H43" s="28">
        <f>'NILAI HARIAN'!AN43</f>
        <v>15</v>
      </c>
      <c r="I43" s="28">
        <f t="shared" si="1"/>
        <v>17.55</v>
      </c>
      <c r="J43" s="63" t="str">
        <f t="shared" si="2"/>
        <v>0.0</v>
      </c>
      <c r="K43" s="63" t="str">
        <f t="shared" si="3"/>
        <v>E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7">
        <f>'INPUT DAFTAR PESERTA'!A42</f>
        <v>39</v>
      </c>
      <c r="B44" s="25">
        <f>'INPUT DAFTAR PESERTA'!B42</f>
        <v>2509056027</v>
      </c>
      <c r="C44" s="26" t="str">
        <f>'INPUT DAFTAR PESERTA'!C42</f>
        <v>Muhammad Syauqi Nail</v>
      </c>
      <c r="D44" s="70">
        <f>'NILAI HARIAN'!L44</f>
        <v>87.5</v>
      </c>
      <c r="E44" s="28">
        <f>'NILAI HARIAN'!M44</f>
        <v>74.9375</v>
      </c>
      <c r="F44" s="28">
        <f>'NILAI HARIAN'!V44</f>
        <v>90</v>
      </c>
      <c r="G44" s="63">
        <f>'NILAI HARIAN'!AE44</f>
        <v>73.75</v>
      </c>
      <c r="H44" s="28">
        <f>'NILAI HARIAN'!AN44</f>
        <v>79.5</v>
      </c>
      <c r="I44" s="28">
        <f t="shared" si="1"/>
        <v>79.74375</v>
      </c>
      <c r="J44" s="63" t="str">
        <f t="shared" si="2"/>
        <v>3.5</v>
      </c>
      <c r="K44" s="63" t="str">
        <f t="shared" si="3"/>
        <v>B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7">
        <f>'INPUT DAFTAR PESERTA'!A43</f>
        <v>40</v>
      </c>
      <c r="B45" s="25">
        <f>'INPUT DAFTAR PESERTA'!B43</f>
        <v>2509056028</v>
      </c>
      <c r="C45" s="26" t="str">
        <f>'INPUT DAFTAR PESERTA'!C43</f>
        <v>Muhammad Rizky Nugraha</v>
      </c>
      <c r="D45" s="70">
        <f>'NILAI HARIAN'!L45</f>
        <v>100</v>
      </c>
      <c r="E45" s="28">
        <f>'NILAI HARIAN'!M45</f>
        <v>56.0625</v>
      </c>
      <c r="F45" s="28">
        <f>'NILAI HARIAN'!V45</f>
        <v>96</v>
      </c>
      <c r="G45" s="63">
        <f>'NILAI HARIAN'!AE45</f>
        <v>66.25</v>
      </c>
      <c r="H45" s="28">
        <f>'NILAI HARIAN'!AN45</f>
        <v>64.875</v>
      </c>
      <c r="I45" s="28">
        <f t="shared" si="1"/>
        <v>70.89375</v>
      </c>
      <c r="J45" s="63" t="str">
        <f t="shared" si="2"/>
        <v>3.0</v>
      </c>
      <c r="K45" s="63" t="str">
        <f t="shared" si="3"/>
        <v>B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7">
        <f>'INPUT DAFTAR PESERTA'!A44</f>
        <v>41</v>
      </c>
      <c r="B46" s="25">
        <f>'INPUT DAFTAR PESERTA'!B44</f>
        <v>2509056029</v>
      </c>
      <c r="C46" s="26" t="str">
        <f>'INPUT DAFTAR PESERTA'!C44</f>
        <v>Reyska Bintang Afdillah</v>
      </c>
      <c r="D46" s="70">
        <f>'NILAI HARIAN'!L46</f>
        <v>50</v>
      </c>
      <c r="E46" s="28">
        <f>'NILAI HARIAN'!M46</f>
        <v>5.5625</v>
      </c>
      <c r="F46" s="28">
        <f>'NILAI HARIAN'!V46</f>
        <v>78</v>
      </c>
      <c r="G46" s="63">
        <f>'NILAI HARIAN'!AE46</f>
        <v>0</v>
      </c>
      <c r="H46" s="28">
        <f>'NILAI HARIAN'!AN46</f>
        <v>37.125</v>
      </c>
      <c r="I46" s="28">
        <f t="shared" si="1"/>
        <v>31.91875</v>
      </c>
      <c r="J46" s="63" t="str">
        <f t="shared" si="2"/>
        <v>0.0</v>
      </c>
      <c r="K46" s="63" t="str">
        <f t="shared" si="3"/>
        <v>E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7">
        <f>'INPUT DAFTAR PESERTA'!A45</f>
        <v>42</v>
      </c>
      <c r="B47" s="25">
        <f>'INPUT DAFTAR PESERTA'!B45</f>
        <v>2509056030</v>
      </c>
      <c r="C47" s="26" t="str">
        <f>'INPUT DAFTAR PESERTA'!C45</f>
        <v>Muhammad Elo</v>
      </c>
      <c r="D47" s="70">
        <f>'NILAI HARIAN'!L47</f>
        <v>100</v>
      </c>
      <c r="E47" s="28">
        <f>'NILAI HARIAN'!M47</f>
        <v>68.6875</v>
      </c>
      <c r="F47" s="28">
        <f>'NILAI HARIAN'!V47</f>
        <v>90</v>
      </c>
      <c r="G47" s="63">
        <f>'NILAI HARIAN'!AE47</f>
        <v>42.5</v>
      </c>
      <c r="H47" s="28">
        <f>'NILAI HARIAN'!AN47</f>
        <v>76.125</v>
      </c>
      <c r="I47" s="28">
        <f t="shared" si="1"/>
        <v>72.43125</v>
      </c>
      <c r="J47" s="63" t="str">
        <f t="shared" si="2"/>
        <v>3.0</v>
      </c>
      <c r="K47" s="63" t="str">
        <f t="shared" si="3"/>
        <v>B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7">
        <f>'INPUT DAFTAR PESERTA'!A46</f>
        <v>43</v>
      </c>
      <c r="B48" s="25">
        <f>'INPUT DAFTAR PESERTA'!B46</f>
        <v>2509056031</v>
      </c>
      <c r="C48" s="26" t="str">
        <f>'INPUT DAFTAR PESERTA'!C46</f>
        <v>Naufal Herdizza Akbar Ps</v>
      </c>
      <c r="D48" s="70">
        <f>'NILAI HARIAN'!L48</f>
        <v>100</v>
      </c>
      <c r="E48" s="28">
        <f>'NILAI HARIAN'!M48</f>
        <v>76.5625</v>
      </c>
      <c r="F48" s="28">
        <f>'NILAI HARIAN'!V48</f>
        <v>96</v>
      </c>
      <c r="G48" s="63">
        <f>'NILAI HARIAN'!AE48</f>
        <v>65</v>
      </c>
      <c r="H48" s="28">
        <f>'NILAI HARIAN'!AN48</f>
        <v>77.25</v>
      </c>
      <c r="I48" s="28">
        <f t="shared" si="1"/>
        <v>78.88125</v>
      </c>
      <c r="J48" s="63" t="str">
        <f t="shared" si="2"/>
        <v>3.5</v>
      </c>
      <c r="K48" s="63" t="str">
        <f t="shared" si="3"/>
        <v>B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7">
        <f>'INPUT DAFTAR PESERTA'!A47</f>
        <v>44</v>
      </c>
      <c r="B49" s="25">
        <f>'INPUT DAFTAR PESERTA'!B47</f>
        <v>2509056032</v>
      </c>
      <c r="C49" s="26" t="str">
        <f>'INPUT DAFTAR PESERTA'!C47</f>
        <v>Dea Mila Marsela</v>
      </c>
      <c r="D49" s="70">
        <f>'NILAI HARIAN'!L49</f>
        <v>100</v>
      </c>
      <c r="E49" s="28">
        <f>'NILAI HARIAN'!M49</f>
        <v>24.8125</v>
      </c>
      <c r="F49" s="28">
        <f>'NILAI HARIAN'!V49</f>
        <v>82</v>
      </c>
      <c r="G49" s="63">
        <f>'NILAI HARIAN'!AE49</f>
        <v>0</v>
      </c>
      <c r="H49" s="28">
        <f>'NILAI HARIAN'!AN49</f>
        <v>66.75</v>
      </c>
      <c r="I49" s="28">
        <f t="shared" si="1"/>
        <v>54.05625</v>
      </c>
      <c r="J49" s="63" t="str">
        <f t="shared" si="2"/>
        <v>1.5</v>
      </c>
      <c r="K49" s="63" t="str">
        <f t="shared" si="3"/>
        <v>D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7">
        <f>'INPUT DAFTAR PESERTA'!A48</f>
        <v>45</v>
      </c>
      <c r="B50" s="25">
        <f>'INPUT DAFTAR PESERTA'!B48</f>
        <v>2509056033</v>
      </c>
      <c r="C50" s="26" t="str">
        <f>'INPUT DAFTAR PESERTA'!C48</f>
        <v>Ahmad Salman Nur</v>
      </c>
      <c r="D50" s="70">
        <f>'NILAI HARIAN'!L50</f>
        <v>100</v>
      </c>
      <c r="E50" s="28">
        <f>'NILAI HARIAN'!M50</f>
        <v>62.90625</v>
      </c>
      <c r="F50" s="28">
        <f>'NILAI HARIAN'!V50</f>
        <v>90</v>
      </c>
      <c r="G50" s="63">
        <f>'NILAI HARIAN'!AE50</f>
        <v>63.75</v>
      </c>
      <c r="H50" s="28">
        <f>'NILAI HARIAN'!AN50</f>
        <v>66.375</v>
      </c>
      <c r="I50" s="28">
        <f t="shared" si="1"/>
        <v>71.228125</v>
      </c>
      <c r="J50" s="63" t="str">
        <f t="shared" si="2"/>
        <v>3.0</v>
      </c>
      <c r="K50" s="63" t="str">
        <f t="shared" si="3"/>
        <v>B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7">
        <f>'INPUT DAFTAR PESERTA'!A49</f>
        <v>46</v>
      </c>
      <c r="B51" s="25">
        <f>'INPUT DAFTAR PESERTA'!B49</f>
        <v>2509056035</v>
      </c>
      <c r="C51" s="26" t="str">
        <f>'INPUT DAFTAR PESERTA'!C49</f>
        <v>Syahputra Lumbantoruan</v>
      </c>
      <c r="D51" s="70">
        <f>'NILAI HARIAN'!L51</f>
        <v>0</v>
      </c>
      <c r="E51" s="28">
        <f>'NILAI HARIAN'!M51</f>
        <v>0</v>
      </c>
      <c r="F51" s="28">
        <f>'NILAI HARIAN'!V51</f>
        <v>0</v>
      </c>
      <c r="G51" s="63">
        <f>'NILAI HARIAN'!AE51</f>
        <v>0</v>
      </c>
      <c r="H51" s="28">
        <f>'NILAI HARIAN'!AN51</f>
        <v>11.625</v>
      </c>
      <c r="I51" s="28">
        <f t="shared" si="1"/>
        <v>5.8125</v>
      </c>
      <c r="J51" s="63" t="str">
        <f t="shared" si="2"/>
        <v>0.0</v>
      </c>
      <c r="K51" s="63" t="str">
        <f t="shared" si="3"/>
        <v>E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7">
        <f>'INPUT DAFTAR PESERTA'!A50</f>
        <v>47</v>
      </c>
      <c r="B52" s="25">
        <f>'INPUT DAFTAR PESERTA'!B50</f>
        <v>2509056036</v>
      </c>
      <c r="C52" s="26" t="str">
        <f>'INPUT DAFTAR PESERTA'!C50</f>
        <v>Furqan Ahmad</v>
      </c>
      <c r="D52" s="70">
        <f>'NILAI HARIAN'!L52</f>
        <v>12.5</v>
      </c>
      <c r="E52" s="28">
        <f>'NILAI HARIAN'!M52</f>
        <v>4.5</v>
      </c>
      <c r="F52" s="28">
        <f>'NILAI HARIAN'!V52</f>
        <v>92</v>
      </c>
      <c r="G52" s="63">
        <f>'NILAI HARIAN'!AE52</f>
        <v>0</v>
      </c>
      <c r="H52" s="28">
        <f>'NILAI HARIAN'!AN52</f>
        <v>22.875</v>
      </c>
      <c r="I52" s="28">
        <f t="shared" si="1"/>
        <v>22.3375</v>
      </c>
      <c r="J52" s="63" t="str">
        <f t="shared" si="2"/>
        <v>0.0</v>
      </c>
      <c r="K52" s="63" t="str">
        <f t="shared" si="3"/>
        <v>E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7">
        <f>'INPUT DAFTAR PESERTA'!A51</f>
        <v>48</v>
      </c>
      <c r="B53" s="25">
        <f>'INPUT DAFTAR PESERTA'!B51</f>
        <v>2509056037</v>
      </c>
      <c r="C53" s="26" t="str">
        <f>'INPUT DAFTAR PESERTA'!C51</f>
        <v>Muhammad An Naafi Zaini</v>
      </c>
      <c r="D53" s="70">
        <f>'NILAI HARIAN'!L53</f>
        <v>62.5</v>
      </c>
      <c r="E53" s="28">
        <f>'NILAI HARIAN'!M53</f>
        <v>11.5</v>
      </c>
      <c r="F53" s="28">
        <f>'NILAI HARIAN'!V53</f>
        <v>94</v>
      </c>
      <c r="G53" s="63">
        <f>'NILAI HARIAN'!AE53</f>
        <v>0</v>
      </c>
      <c r="H53" s="28">
        <f>'NILAI HARIAN'!AN53</f>
        <v>41.625</v>
      </c>
      <c r="I53" s="28">
        <f t="shared" si="1"/>
        <v>37.6125</v>
      </c>
      <c r="J53" s="63" t="str">
        <f t="shared" si="2"/>
        <v>0.0</v>
      </c>
      <c r="K53" s="63" t="str">
        <f t="shared" si="3"/>
        <v>E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7">
        <f>'INPUT DAFTAR PESERTA'!A52</f>
        <v>49</v>
      </c>
      <c r="B54" s="25">
        <f>'INPUT DAFTAR PESERTA'!B52</f>
        <v>2509056038</v>
      </c>
      <c r="C54" s="26" t="str">
        <f>'INPUT DAFTAR PESERTA'!C52</f>
        <v>Muh. Afriansyah Syafani</v>
      </c>
      <c r="D54" s="70">
        <f>'NILAI HARIAN'!L54</f>
        <v>0</v>
      </c>
      <c r="E54" s="28">
        <f>'NILAI HARIAN'!M54</f>
        <v>4.0625</v>
      </c>
      <c r="F54" s="28">
        <f>'NILAI HARIAN'!V54</f>
        <v>98</v>
      </c>
      <c r="G54" s="63">
        <f>'NILAI HARIAN'!AE54</f>
        <v>0</v>
      </c>
      <c r="H54" s="28">
        <f>'NILAI HARIAN'!AN54</f>
        <v>13.5</v>
      </c>
      <c r="I54" s="28">
        <f t="shared" si="1"/>
        <v>16.95625</v>
      </c>
      <c r="J54" s="63" t="str">
        <f t="shared" si="2"/>
        <v>0.0</v>
      </c>
      <c r="K54" s="63" t="str">
        <f t="shared" si="3"/>
        <v>E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7">
        <f>'INPUT DAFTAR PESERTA'!A53</f>
        <v>50</v>
      </c>
      <c r="B55" s="25">
        <f>'INPUT DAFTAR PESERTA'!B53</f>
        <v>2509056039</v>
      </c>
      <c r="C55" s="26" t="str">
        <f>'INPUT DAFTAR PESERTA'!C53</f>
        <v>Evan Hizky Edward Juliano Sahata Manihuruk</v>
      </c>
      <c r="D55" s="70">
        <f>'NILAI HARIAN'!L55</f>
        <v>0</v>
      </c>
      <c r="E55" s="28">
        <f>'NILAI HARIAN'!M55</f>
        <v>0</v>
      </c>
      <c r="F55" s="28">
        <f>'NILAI HARIAN'!V55</f>
        <v>92</v>
      </c>
      <c r="G55" s="63">
        <f>'NILAI HARIAN'!AE55</f>
        <v>0</v>
      </c>
      <c r="H55" s="28">
        <f>'NILAI HARIAN'!AN55</f>
        <v>3.75</v>
      </c>
      <c r="I55" s="28">
        <f t="shared" si="1"/>
        <v>11.075</v>
      </c>
      <c r="J55" s="63" t="str">
        <f t="shared" si="2"/>
        <v>0.0</v>
      </c>
      <c r="K55" s="63" t="str">
        <f t="shared" si="3"/>
        <v>E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7">
        <f>'INPUT DAFTAR PESERTA'!A54</f>
        <v>51</v>
      </c>
      <c r="B56" s="25">
        <f>'INPUT DAFTAR PESERTA'!B54</f>
        <v>2509056040</v>
      </c>
      <c r="C56" s="26" t="str">
        <f>'INPUT DAFTAR PESERTA'!C54</f>
        <v>Rasya Ataullah Arnata</v>
      </c>
      <c r="D56" s="70">
        <f>'NILAI HARIAN'!L56</f>
        <v>0</v>
      </c>
      <c r="E56" s="28">
        <f>'NILAI HARIAN'!M56</f>
        <v>0</v>
      </c>
      <c r="F56" s="28">
        <f>'NILAI HARIAN'!V56</f>
        <v>94</v>
      </c>
      <c r="G56" s="63">
        <f>'NILAI HARIAN'!AE56</f>
        <v>0</v>
      </c>
      <c r="H56" s="28">
        <f>'NILAI HARIAN'!AN56</f>
        <v>3.75</v>
      </c>
      <c r="I56" s="28">
        <f t="shared" si="1"/>
        <v>11.275</v>
      </c>
      <c r="J56" s="63" t="str">
        <f t="shared" si="2"/>
        <v>0.0</v>
      </c>
      <c r="K56" s="63" t="str">
        <f t="shared" si="3"/>
        <v>E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7">
        <f>'INPUT DAFTAR PESERTA'!A55</f>
        <v>52</v>
      </c>
      <c r="B57" s="25">
        <f>'INPUT DAFTAR PESERTA'!B55</f>
        <v>2509056041</v>
      </c>
      <c r="C57" s="26" t="str">
        <f>'INPUT DAFTAR PESERTA'!C55</f>
        <v>Yadi Ramadani</v>
      </c>
      <c r="D57" s="70">
        <f>'NILAI HARIAN'!L57</f>
        <v>75</v>
      </c>
      <c r="E57" s="28">
        <f>'NILAI HARIAN'!M57</f>
        <v>57.75</v>
      </c>
      <c r="F57" s="28">
        <f>'NILAI HARIAN'!V57</f>
        <v>92</v>
      </c>
      <c r="G57" s="63">
        <f>'NILAI HARIAN'!AE57</f>
        <v>51.25</v>
      </c>
      <c r="H57" s="28">
        <f>'NILAI HARIAN'!AN57</f>
        <v>66</v>
      </c>
      <c r="I57" s="28">
        <f t="shared" si="1"/>
        <v>65.725</v>
      </c>
      <c r="J57" s="63" t="str">
        <f t="shared" si="2"/>
        <v>2.5</v>
      </c>
      <c r="K57" s="63" t="str">
        <f t="shared" si="3"/>
        <v>C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7">
        <f>'INPUT DAFTAR PESERTA'!A56</f>
        <v>53</v>
      </c>
      <c r="B58" s="25">
        <f>'INPUT DAFTAR PESERTA'!B56</f>
        <v>2509056042</v>
      </c>
      <c r="C58" s="26" t="str">
        <f>'INPUT DAFTAR PESERTA'!C56</f>
        <v>Muhammad Alief Adz Dzikry Abdillah</v>
      </c>
      <c r="D58" s="70">
        <f>'NILAI HARIAN'!L58</f>
        <v>0</v>
      </c>
      <c r="E58" s="28">
        <f>'NILAI HARIAN'!M58</f>
        <v>0</v>
      </c>
      <c r="F58" s="28">
        <f>'NILAI HARIAN'!V58</f>
        <v>0</v>
      </c>
      <c r="G58" s="63">
        <f>'NILAI HARIAN'!AE58</f>
        <v>0</v>
      </c>
      <c r="H58" s="28">
        <f>'NILAI HARIAN'!AN58</f>
        <v>3.75</v>
      </c>
      <c r="I58" s="28">
        <f t="shared" si="1"/>
        <v>1.875</v>
      </c>
      <c r="J58" s="63" t="str">
        <f t="shared" si="2"/>
        <v>0.0</v>
      </c>
      <c r="K58" s="63" t="str">
        <f t="shared" si="3"/>
        <v>E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7">
        <f>'INPUT DAFTAR PESERTA'!A57</f>
        <v>54</v>
      </c>
      <c r="B59" s="25">
        <f>'INPUT DAFTAR PESERTA'!B57</f>
        <v>2509056043</v>
      </c>
      <c r="C59" s="26" t="str">
        <f>'INPUT DAFTAR PESERTA'!C57</f>
        <v>Hubert Abraham Pranoto Sirait</v>
      </c>
      <c r="D59" s="70">
        <f>'NILAI HARIAN'!L59</f>
        <v>87.5</v>
      </c>
      <c r="E59" s="28">
        <f>'NILAI HARIAN'!M59</f>
        <v>31.875</v>
      </c>
      <c r="F59" s="28">
        <f>'NILAI HARIAN'!V59</f>
        <v>86</v>
      </c>
      <c r="G59" s="63">
        <f>'NILAI HARIAN'!AE59</f>
        <v>22.5</v>
      </c>
      <c r="H59" s="28">
        <f>'NILAI HARIAN'!AN59</f>
        <v>53.25</v>
      </c>
      <c r="I59" s="28">
        <f t="shared" si="1"/>
        <v>51.6625</v>
      </c>
      <c r="J59" s="63" t="str">
        <f t="shared" si="2"/>
        <v>1.5</v>
      </c>
      <c r="K59" s="63" t="str">
        <f t="shared" si="3"/>
        <v>D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7">
        <f>'INPUT DAFTAR PESERTA'!A58</f>
        <v>55</v>
      </c>
      <c r="B60" s="25">
        <f>'INPUT DAFTAR PESERTA'!B58</f>
        <v>2509056044</v>
      </c>
      <c r="C60" s="26" t="str">
        <f>'INPUT DAFTAR PESERTA'!C58</f>
        <v>Indah Tessalonica</v>
      </c>
      <c r="D60" s="70">
        <f>'NILAI HARIAN'!L60</f>
        <v>0</v>
      </c>
      <c r="E60" s="28">
        <f>'NILAI HARIAN'!M60</f>
        <v>0</v>
      </c>
      <c r="F60" s="28">
        <f>'NILAI HARIAN'!V60</f>
        <v>92</v>
      </c>
      <c r="G60" s="63">
        <f>'NILAI HARIAN'!AE60</f>
        <v>0</v>
      </c>
      <c r="H60" s="28">
        <f>'NILAI HARIAN'!AN60</f>
        <v>3.75</v>
      </c>
      <c r="I60" s="28">
        <f t="shared" si="1"/>
        <v>11.075</v>
      </c>
      <c r="J60" s="63" t="str">
        <f t="shared" si="2"/>
        <v>0.0</v>
      </c>
      <c r="K60" s="63" t="str">
        <f t="shared" si="3"/>
        <v>E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7">
        <f>'INPUT DAFTAR PESERTA'!A59</f>
        <v>56</v>
      </c>
      <c r="B61" s="25">
        <f>'INPUT DAFTAR PESERTA'!B59</f>
        <v>2509056045</v>
      </c>
      <c r="C61" s="26" t="str">
        <f>'INPUT DAFTAR PESERTA'!C59</f>
        <v>Fahrizi Al Rosid</v>
      </c>
      <c r="D61" s="70">
        <f>'NILAI HARIAN'!L61</f>
        <v>0</v>
      </c>
      <c r="E61" s="28">
        <f>'NILAI HARIAN'!M61</f>
        <v>0</v>
      </c>
      <c r="F61" s="28">
        <f>'NILAI HARIAN'!V61</f>
        <v>0</v>
      </c>
      <c r="G61" s="63">
        <f>'NILAI HARIAN'!AE61</f>
        <v>0</v>
      </c>
      <c r="H61" s="28">
        <f>'NILAI HARIAN'!AN61</f>
        <v>3.75</v>
      </c>
      <c r="I61" s="28">
        <f t="shared" si="1"/>
        <v>1.875</v>
      </c>
      <c r="J61" s="63" t="str">
        <f t="shared" si="2"/>
        <v>0.0</v>
      </c>
      <c r="K61" s="63" t="str">
        <f t="shared" si="3"/>
        <v>E</v>
      </c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7">
        <f>'INPUT DAFTAR PESERTA'!A60</f>
        <v>57</v>
      </c>
      <c r="B62" s="25">
        <f>'INPUT DAFTAR PESERTA'!B60</f>
        <v>2509056046</v>
      </c>
      <c r="C62" s="26" t="str">
        <f>'INPUT DAFTAR PESERTA'!C60</f>
        <v>Syadid Musoffa</v>
      </c>
      <c r="D62" s="70">
        <f>'NILAI HARIAN'!L62</f>
        <v>0</v>
      </c>
      <c r="E62" s="28">
        <f>'NILAI HARIAN'!M62</f>
        <v>0</v>
      </c>
      <c r="F62" s="28">
        <f>'NILAI HARIAN'!V62</f>
        <v>0</v>
      </c>
      <c r="G62" s="63">
        <f>'NILAI HARIAN'!AE62</f>
        <v>0</v>
      </c>
      <c r="H62" s="28">
        <f>'NILAI HARIAN'!AN62</f>
        <v>3.75</v>
      </c>
      <c r="I62" s="28">
        <f t="shared" si="1"/>
        <v>1.875</v>
      </c>
      <c r="J62" s="63" t="str">
        <f t="shared" si="2"/>
        <v>0.0</v>
      </c>
      <c r="K62" s="63" t="str">
        <f t="shared" si="3"/>
        <v>E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7">
        <f>'INPUT DAFTAR PESERTA'!A61</f>
        <v>58</v>
      </c>
      <c r="B63" s="25">
        <f>'INPUT DAFTAR PESERTA'!B61</f>
        <v>2509056047</v>
      </c>
      <c r="C63" s="26" t="str">
        <f>'INPUT DAFTAR PESERTA'!C61</f>
        <v>Oktovianus Sirante</v>
      </c>
      <c r="D63" s="70">
        <f>'NILAI HARIAN'!L63</f>
        <v>100</v>
      </c>
      <c r="E63" s="28">
        <f>'NILAI HARIAN'!M63</f>
        <v>77.125</v>
      </c>
      <c r="F63" s="28">
        <f>'NILAI HARIAN'!V63</f>
        <v>84</v>
      </c>
      <c r="G63" s="63">
        <f>'NILAI HARIAN'!AE63</f>
        <v>72.5</v>
      </c>
      <c r="H63" s="28">
        <f>'NILAI HARIAN'!AN63</f>
        <v>72.75</v>
      </c>
      <c r="I63" s="28">
        <f t="shared" si="1"/>
        <v>76.9875</v>
      </c>
      <c r="J63" s="63" t="str">
        <f t="shared" si="2"/>
        <v>3.5</v>
      </c>
      <c r="K63" s="63" t="str">
        <f t="shared" si="3"/>
        <v>B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7">
        <f>'INPUT DAFTAR PESERTA'!A62</f>
        <v>59</v>
      </c>
      <c r="B64" s="25">
        <f>'INPUT DAFTAR PESERTA'!B62</f>
        <v>2509056048</v>
      </c>
      <c r="C64" s="26" t="str">
        <f>'INPUT DAFTAR PESERTA'!C62</f>
        <v>Cristover Rafael Milang</v>
      </c>
      <c r="D64" s="70">
        <f>'NILAI HARIAN'!L64</f>
        <v>0</v>
      </c>
      <c r="E64" s="28">
        <f>'NILAI HARIAN'!M64</f>
        <v>0</v>
      </c>
      <c r="F64" s="28">
        <f>'NILAI HARIAN'!V64</f>
        <v>0</v>
      </c>
      <c r="G64" s="63">
        <f>'NILAI HARIAN'!AE64</f>
        <v>0</v>
      </c>
      <c r="H64" s="28">
        <f>'NILAI HARIAN'!AN64</f>
        <v>3.75</v>
      </c>
      <c r="I64" s="28">
        <f t="shared" si="1"/>
        <v>1.875</v>
      </c>
      <c r="J64" s="63" t="str">
        <f t="shared" si="2"/>
        <v>0.0</v>
      </c>
      <c r="K64" s="63" t="str">
        <f t="shared" si="3"/>
        <v>E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7">
        <f>'INPUT DAFTAR PESERTA'!A63</f>
        <v>60</v>
      </c>
      <c r="B65" s="25">
        <f>'INPUT DAFTAR PESERTA'!B63</f>
        <v>2509056049</v>
      </c>
      <c r="C65" s="26" t="str">
        <f>'INPUT DAFTAR PESERTA'!C63</f>
        <v>Kevin Angeliano Jonathan</v>
      </c>
      <c r="D65" s="70">
        <f>'NILAI HARIAN'!L65</f>
        <v>87.5</v>
      </c>
      <c r="E65" s="28">
        <f>'NILAI HARIAN'!M65</f>
        <v>60.375</v>
      </c>
      <c r="F65" s="28">
        <f>'NILAI HARIAN'!V65</f>
        <v>92</v>
      </c>
      <c r="G65" s="63">
        <f>'NILAI HARIAN'!AE65</f>
        <v>63.75</v>
      </c>
      <c r="H65" s="28">
        <f>'NILAI HARIAN'!AN65</f>
        <v>66.75</v>
      </c>
      <c r="I65" s="28">
        <f t="shared" si="1"/>
        <v>70.1125</v>
      </c>
      <c r="J65" s="63" t="str">
        <f t="shared" si="2"/>
        <v>3.0</v>
      </c>
      <c r="K65" s="63" t="str">
        <f t="shared" si="3"/>
        <v>B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7">
        <f>'INPUT DAFTAR PESERTA'!A64</f>
        <v>61</v>
      </c>
      <c r="B66" s="25">
        <f>'INPUT DAFTAR PESERTA'!B64</f>
        <v>2509056050</v>
      </c>
      <c r="C66" s="26" t="str">
        <f>'INPUT DAFTAR PESERTA'!C64</f>
        <v>Fajar Arif Suyanto</v>
      </c>
      <c r="D66" s="70">
        <f>'NILAI HARIAN'!L66</f>
        <v>50</v>
      </c>
      <c r="E66" s="28">
        <f>'NILAI HARIAN'!M66</f>
        <v>12.1875</v>
      </c>
      <c r="F66" s="28">
        <f>'NILAI HARIAN'!V66</f>
        <v>96</v>
      </c>
      <c r="G66" s="63">
        <f>'NILAI HARIAN'!AE66</f>
        <v>0</v>
      </c>
      <c r="H66" s="28">
        <f>'NILAI HARIAN'!AN66</f>
        <v>34.125</v>
      </c>
      <c r="I66" s="28">
        <f t="shared" si="1"/>
        <v>32.88125</v>
      </c>
      <c r="J66" s="63" t="str">
        <f t="shared" si="2"/>
        <v>0.0</v>
      </c>
      <c r="K66" s="63" t="str">
        <f t="shared" si="3"/>
        <v>E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7">
        <f>'INPUT DAFTAR PESERTA'!A65</f>
        <v>62</v>
      </c>
      <c r="B67" s="25">
        <f>'INPUT DAFTAR PESERTA'!B65</f>
        <v>2509056051</v>
      </c>
      <c r="C67" s="26" t="str">
        <f>'INPUT DAFTAR PESERTA'!C65</f>
        <v>Satria Rizla Marlanata</v>
      </c>
      <c r="D67" s="70">
        <f>'NILAI HARIAN'!L67</f>
        <v>97.5</v>
      </c>
      <c r="E67" s="28">
        <f>'NILAI HARIAN'!M67</f>
        <v>79.4375</v>
      </c>
      <c r="F67" s="28">
        <f>'NILAI HARIAN'!V67</f>
        <v>86</v>
      </c>
      <c r="G67" s="63">
        <f>'NILAI HARIAN'!AE67</f>
        <v>63.75</v>
      </c>
      <c r="H67" s="28">
        <f>'NILAI HARIAN'!AN67</f>
        <v>75.75</v>
      </c>
      <c r="I67" s="28">
        <f t="shared" si="1"/>
        <v>76.91875</v>
      </c>
      <c r="J67" s="63" t="str">
        <f t="shared" si="2"/>
        <v>3.5</v>
      </c>
      <c r="K67" s="63" t="str">
        <f t="shared" si="3"/>
        <v>B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7">
        <f>'INPUT DAFTAR PESERTA'!A66</f>
        <v>63</v>
      </c>
      <c r="B68" s="25">
        <f>'INPUT DAFTAR PESERTA'!B66</f>
        <v>2509056052</v>
      </c>
      <c r="C68" s="26" t="str">
        <f>'INPUT DAFTAR PESERTA'!C66</f>
        <v>Aulya Azhari</v>
      </c>
      <c r="D68" s="70">
        <f>'NILAI HARIAN'!L68</f>
        <v>37.5</v>
      </c>
      <c r="E68" s="28">
        <f>'NILAI HARIAN'!M68</f>
        <v>10.75</v>
      </c>
      <c r="F68" s="28">
        <f>'NILAI HARIAN'!V68</f>
        <v>68</v>
      </c>
      <c r="G68" s="63">
        <f>'NILAI HARIAN'!AE68</f>
        <v>0</v>
      </c>
      <c r="H68" s="28">
        <f>'NILAI HARIAN'!AN68</f>
        <v>28.125</v>
      </c>
      <c r="I68" s="28">
        <f t="shared" si="1"/>
        <v>25.6875</v>
      </c>
      <c r="J68" s="63" t="str">
        <f t="shared" si="2"/>
        <v>0.0</v>
      </c>
      <c r="K68" s="63" t="str">
        <f t="shared" si="3"/>
        <v>E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7">
        <f>'INPUT DAFTAR PESERTA'!A67</f>
        <v>64</v>
      </c>
      <c r="B69" s="25">
        <f>'INPUT DAFTAR PESERTA'!B67</f>
        <v>2509056053</v>
      </c>
      <c r="C69" s="26" t="str">
        <f>'INPUT DAFTAR PESERTA'!C67</f>
        <v>Muhammad Farrel Ardiano</v>
      </c>
      <c r="D69" s="70">
        <f>'NILAI HARIAN'!L69</f>
        <v>97.5</v>
      </c>
      <c r="E69" s="28">
        <f>'NILAI HARIAN'!M69</f>
        <v>71.4375</v>
      </c>
      <c r="F69" s="28">
        <f>'NILAI HARIAN'!V69</f>
        <v>96</v>
      </c>
      <c r="G69" s="63">
        <f>'NILAI HARIAN'!AE69</f>
        <v>75</v>
      </c>
      <c r="H69" s="28">
        <f>'NILAI HARIAN'!AN69</f>
        <v>69.375</v>
      </c>
      <c r="I69" s="28">
        <f t="shared" si="1"/>
        <v>76.18125</v>
      </c>
      <c r="J69" s="63" t="str">
        <f t="shared" si="2"/>
        <v>3.5</v>
      </c>
      <c r="K69" s="63" t="str">
        <f t="shared" si="3"/>
        <v>B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7">
        <f>'INPUT DAFTAR PESERTA'!A68</f>
        <v>65</v>
      </c>
      <c r="B70" s="25">
        <f>'INPUT DAFTAR PESERTA'!B68</f>
        <v>2509056054</v>
      </c>
      <c r="C70" s="26" t="str">
        <f>'INPUT DAFTAR PESERTA'!C68</f>
        <v>Arlan Candra Antholyn</v>
      </c>
      <c r="D70" s="70">
        <f>'NILAI HARIAN'!L70</f>
        <v>100</v>
      </c>
      <c r="E70" s="28">
        <f>'NILAI HARIAN'!M70</f>
        <v>67.75</v>
      </c>
      <c r="F70" s="28">
        <f>'NILAI HARIAN'!V70</f>
        <v>0</v>
      </c>
      <c r="G70" s="63">
        <f>'NILAI HARIAN'!AE70</f>
        <v>67.5</v>
      </c>
      <c r="H70" s="28">
        <f>'NILAI HARIAN'!AN70</f>
        <v>66.375</v>
      </c>
      <c r="I70" s="28">
        <f t="shared" si="1"/>
        <v>63.4625</v>
      </c>
      <c r="J70" s="63" t="str">
        <f t="shared" si="2"/>
        <v>2.0</v>
      </c>
      <c r="K70" s="63" t="str">
        <f t="shared" si="3"/>
        <v>C</v>
      </c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7">
        <f>'INPUT DAFTAR PESERTA'!A69</f>
        <v>66</v>
      </c>
      <c r="B71" s="25">
        <f>'INPUT DAFTAR PESERTA'!B69</f>
        <v>2509056055</v>
      </c>
      <c r="C71" s="26" t="str">
        <f>'INPUT DAFTAR PESERTA'!C69</f>
        <v>Taufan Akbar Bunawan</v>
      </c>
      <c r="D71" s="70">
        <f>'NILAI HARIAN'!L71</f>
        <v>100</v>
      </c>
      <c r="E71" s="27">
        <v>0.0</v>
      </c>
      <c r="F71" s="28">
        <f>'NILAI HARIAN'!V71</f>
        <v>90</v>
      </c>
      <c r="G71" s="63">
        <f>'NILAI HARIAN'!AE71</f>
        <v>72.5</v>
      </c>
      <c r="H71" s="28">
        <f>'NILAI HARIAN'!AN71</f>
        <v>59.625</v>
      </c>
      <c r="I71" s="28">
        <f t="shared" si="1"/>
        <v>63.3125</v>
      </c>
      <c r="J71" s="63" t="str">
        <f t="shared" si="2"/>
        <v>2.0</v>
      </c>
      <c r="K71" s="63" t="str">
        <f t="shared" si="3"/>
        <v>C</v>
      </c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7">
        <f>'INPUT DAFTAR PESERTA'!A70</f>
        <v>67</v>
      </c>
      <c r="B72" s="25">
        <f>'INPUT DAFTAR PESERTA'!B70</f>
        <v>2509056056</v>
      </c>
      <c r="C72" s="26" t="str">
        <f>'INPUT DAFTAR PESERTA'!C70</f>
        <v>Mario Wildhan Wibisono</v>
      </c>
      <c r="D72" s="70">
        <f>'NILAI HARIAN'!L72</f>
        <v>0</v>
      </c>
      <c r="E72" s="28">
        <f>'NILAI HARIAN'!M72</f>
        <v>0</v>
      </c>
      <c r="F72" s="28">
        <f>'NILAI HARIAN'!V72</f>
        <v>92</v>
      </c>
      <c r="G72" s="63">
        <f>'NILAI HARIAN'!AE72</f>
        <v>0</v>
      </c>
      <c r="H72" s="28">
        <f>'NILAI HARIAN'!AN72</f>
        <v>3.75</v>
      </c>
      <c r="I72" s="28">
        <f t="shared" si="1"/>
        <v>11.075</v>
      </c>
      <c r="J72" s="63" t="str">
        <f t="shared" si="2"/>
        <v>0.0</v>
      </c>
      <c r="K72" s="63" t="str">
        <f t="shared" si="3"/>
        <v>E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7">
        <f>'INPUT DAFTAR PESERTA'!A71</f>
        <v>68</v>
      </c>
      <c r="B73" s="25">
        <f>'INPUT DAFTAR PESERTA'!B71</f>
        <v>2509056057</v>
      </c>
      <c r="C73" s="26" t="str">
        <f>'INPUT DAFTAR PESERTA'!C71</f>
        <v>Immanuel Wisnu Siahaan</v>
      </c>
      <c r="D73" s="70">
        <f>'NILAI HARIAN'!L73</f>
        <v>100</v>
      </c>
      <c r="E73" s="28">
        <f>'NILAI HARIAN'!M73</f>
        <v>92.8125</v>
      </c>
      <c r="F73" s="28">
        <f>'NILAI HARIAN'!V73</f>
        <v>94</v>
      </c>
      <c r="G73" s="63">
        <f>'NILAI HARIAN'!AE73</f>
        <v>78.75</v>
      </c>
      <c r="H73" s="28">
        <f>'NILAI HARIAN'!AN73</f>
        <v>85.875</v>
      </c>
      <c r="I73" s="28">
        <f t="shared" si="1"/>
        <v>87.36875</v>
      </c>
      <c r="J73" s="63" t="str">
        <f t="shared" si="2"/>
        <v>4.0</v>
      </c>
      <c r="K73" s="63" t="str">
        <f t="shared" si="3"/>
        <v>A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7">
        <f>'INPUT DAFTAR PESERTA'!A72</f>
        <v>69</v>
      </c>
      <c r="B74" s="25">
        <f>'INPUT DAFTAR PESERTA'!B72</f>
        <v>2509056058</v>
      </c>
      <c r="C74" s="26" t="str">
        <f>'INPUT DAFTAR PESERTA'!C72</f>
        <v>Hebron Ketter Pagalla'</v>
      </c>
      <c r="D74" s="70">
        <f>'NILAI HARIAN'!L74</f>
        <v>87.5</v>
      </c>
      <c r="E74" s="28">
        <f>'NILAI HARIAN'!M74</f>
        <v>33.6875</v>
      </c>
      <c r="F74" s="28">
        <f>'NILAI HARIAN'!V74</f>
        <v>0</v>
      </c>
      <c r="G74" s="63">
        <f>'NILAI HARIAN'!AE74</f>
        <v>35</v>
      </c>
      <c r="H74" s="28">
        <f>'NILAI HARIAN'!AN74</f>
        <v>49.875</v>
      </c>
      <c r="I74" s="28">
        <f t="shared" si="1"/>
        <v>44.05625</v>
      </c>
      <c r="J74" s="63" t="str">
        <f t="shared" si="2"/>
        <v>1.0</v>
      </c>
      <c r="K74" s="63" t="str">
        <f t="shared" si="3"/>
        <v>D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7">
        <f>'INPUT DAFTAR PESERTA'!A73</f>
        <v>70</v>
      </c>
      <c r="B75" s="25">
        <f>'INPUT DAFTAR PESERTA'!B73</f>
        <v>2509056059</v>
      </c>
      <c r="C75" s="26" t="str">
        <f>'INPUT DAFTAR PESERTA'!C73</f>
        <v>Wildan Akmal Zaky</v>
      </c>
      <c r="D75" s="70">
        <f>'NILAI HARIAN'!L75</f>
        <v>100</v>
      </c>
      <c r="E75" s="28">
        <f>'NILAI HARIAN'!M75</f>
        <v>59.28125</v>
      </c>
      <c r="F75" s="28">
        <f>'NILAI HARIAN'!V75</f>
        <v>90</v>
      </c>
      <c r="G75" s="63">
        <f>'NILAI HARIAN'!AE75</f>
        <v>67.5</v>
      </c>
      <c r="H75" s="28">
        <f>'NILAI HARIAN'!AN75</f>
        <v>66</v>
      </c>
      <c r="I75" s="28">
        <f t="shared" si="1"/>
        <v>71.428125</v>
      </c>
      <c r="J75" s="63" t="str">
        <f t="shared" si="2"/>
        <v>3.0</v>
      </c>
      <c r="K75" s="63" t="str">
        <f t="shared" si="3"/>
        <v>B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7">
        <f>'INPUT DAFTAR PESERTA'!A74</f>
        <v>71</v>
      </c>
      <c r="B76" s="25">
        <f>'INPUT DAFTAR PESERTA'!B74</f>
        <v>2509056060</v>
      </c>
      <c r="C76" s="26" t="str">
        <f>'INPUT DAFTAR PESERTA'!C74</f>
        <v>Daglish Santos Peke Deku</v>
      </c>
      <c r="D76" s="70">
        <f>'NILAI HARIAN'!L76</f>
        <v>0</v>
      </c>
      <c r="E76" s="28">
        <f>'NILAI HARIAN'!M76</f>
        <v>0</v>
      </c>
      <c r="F76" s="28">
        <f>'NILAI HARIAN'!V76</f>
        <v>0</v>
      </c>
      <c r="G76" s="63">
        <f>'NILAI HARIAN'!AE76</f>
        <v>0</v>
      </c>
      <c r="H76" s="28">
        <f>'NILAI HARIAN'!AN76</f>
        <v>3.75</v>
      </c>
      <c r="I76" s="28">
        <f t="shared" si="1"/>
        <v>1.875</v>
      </c>
      <c r="J76" s="63" t="str">
        <f t="shared" si="2"/>
        <v>0.0</v>
      </c>
      <c r="K76" s="63" t="str">
        <f t="shared" si="3"/>
        <v>E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7">
        <f>'INPUT DAFTAR PESERTA'!A75</f>
        <v>72</v>
      </c>
      <c r="B77" s="25">
        <f>'INPUT DAFTAR PESERTA'!B75</f>
        <v>2509056061</v>
      </c>
      <c r="C77" s="26" t="str">
        <f>'INPUT DAFTAR PESERTA'!C75</f>
        <v>Muhammad Yazid Ilmani</v>
      </c>
      <c r="D77" s="70">
        <f>'NILAI HARIAN'!L77</f>
        <v>87.5</v>
      </c>
      <c r="E77" s="28">
        <f>'NILAI HARIAN'!M77</f>
        <v>62.6875</v>
      </c>
      <c r="F77" s="28">
        <f>'NILAI HARIAN'!V77</f>
        <v>90</v>
      </c>
      <c r="G77" s="63">
        <f>'NILAI HARIAN'!AE77</f>
        <v>73.75</v>
      </c>
      <c r="H77" s="28">
        <f>'NILAI HARIAN'!AN77</f>
        <v>66.75</v>
      </c>
      <c r="I77" s="28">
        <f t="shared" si="1"/>
        <v>72.14375</v>
      </c>
      <c r="J77" s="63" t="str">
        <f t="shared" si="2"/>
        <v>3.0</v>
      </c>
      <c r="K77" s="63" t="str">
        <f t="shared" si="3"/>
        <v>B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7">
        <f>'INPUT DAFTAR PESERTA'!A76</f>
        <v>73</v>
      </c>
      <c r="B78" s="25">
        <f>'INPUT DAFTAR PESERTA'!B76</f>
        <v>2509056062</v>
      </c>
      <c r="C78" s="26" t="str">
        <f>'INPUT DAFTAR PESERTA'!C76</f>
        <v>Reyhan Feryand Tandililing</v>
      </c>
      <c r="D78" s="70">
        <f>'NILAI HARIAN'!L78</f>
        <v>100</v>
      </c>
      <c r="E78" s="28">
        <f>'NILAI HARIAN'!M78</f>
        <v>39.5625</v>
      </c>
      <c r="F78" s="28">
        <f>'NILAI HARIAN'!V78</f>
        <v>94</v>
      </c>
      <c r="G78" s="63">
        <f>'NILAI HARIAN'!AE78</f>
        <v>36.25</v>
      </c>
      <c r="H78" s="28">
        <f>'NILAI HARIAN'!AN78</f>
        <v>71.625</v>
      </c>
      <c r="I78" s="28">
        <f t="shared" si="1"/>
        <v>66.41875</v>
      </c>
      <c r="J78" s="63" t="str">
        <f t="shared" si="2"/>
        <v>2.5</v>
      </c>
      <c r="K78" s="63" t="str">
        <f t="shared" si="3"/>
        <v>C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7">
        <f>'INPUT DAFTAR PESERTA'!A77</f>
        <v>74</v>
      </c>
      <c r="B79" s="25">
        <f>'INPUT DAFTAR PESERTA'!B77</f>
        <v>2509056063</v>
      </c>
      <c r="C79" s="26" t="str">
        <f>'INPUT DAFTAR PESERTA'!C77</f>
        <v>Riski Apryanto</v>
      </c>
      <c r="D79" s="70">
        <f>'NILAI HARIAN'!L79</f>
        <v>37.5</v>
      </c>
      <c r="E79" s="28">
        <f>'NILAI HARIAN'!M79</f>
        <v>0</v>
      </c>
      <c r="F79" s="28">
        <f>'NILAI HARIAN'!V79</f>
        <v>92</v>
      </c>
      <c r="G79" s="63">
        <f>'NILAI HARIAN'!AE79</f>
        <v>0</v>
      </c>
      <c r="H79" s="28">
        <f>'NILAI HARIAN'!AN79</f>
        <v>13.125</v>
      </c>
      <c r="I79" s="28">
        <f t="shared" si="1"/>
        <v>19.5125</v>
      </c>
      <c r="J79" s="63" t="str">
        <f t="shared" si="2"/>
        <v>0.0</v>
      </c>
      <c r="K79" s="63" t="str">
        <f t="shared" si="3"/>
        <v>E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7">
        <f>'INPUT DAFTAR PESERTA'!A78</f>
        <v>75</v>
      </c>
      <c r="B80" s="25">
        <f>'INPUT DAFTAR PESERTA'!B78</f>
        <v>2509056064</v>
      </c>
      <c r="C80" s="26" t="str">
        <f>'INPUT DAFTAR PESERTA'!C78</f>
        <v>Dina Molitha Dwi Manggarani</v>
      </c>
      <c r="D80" s="70">
        <f>'NILAI HARIAN'!L80</f>
        <v>87.5</v>
      </c>
      <c r="E80" s="28">
        <f>'NILAI HARIAN'!M80</f>
        <v>81</v>
      </c>
      <c r="F80" s="28">
        <f>'NILAI HARIAN'!V80</f>
        <v>96</v>
      </c>
      <c r="G80" s="63">
        <f>'NILAI HARIAN'!AE80</f>
        <v>67.5</v>
      </c>
      <c r="H80" s="28">
        <f>'NILAI HARIAN'!AN80</f>
        <v>77.25</v>
      </c>
      <c r="I80" s="28">
        <f t="shared" si="1"/>
        <v>78.575</v>
      </c>
      <c r="J80" s="63" t="str">
        <f t="shared" si="2"/>
        <v>3.5</v>
      </c>
      <c r="K80" s="63" t="str">
        <f t="shared" si="3"/>
        <v>B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7">
        <f>'INPUT DAFTAR PESERTA'!A79</f>
        <v>76</v>
      </c>
      <c r="B81" s="25">
        <f>'INPUT DAFTAR PESERTA'!B79</f>
        <v>2509056065</v>
      </c>
      <c r="C81" s="26" t="str">
        <f>'INPUT DAFTAR PESERTA'!C79</f>
        <v>Ahmad Dival Halim</v>
      </c>
      <c r="D81" s="70">
        <f>'NILAI HARIAN'!L81</f>
        <v>75</v>
      </c>
      <c r="E81" s="28">
        <f>'NILAI HARIAN'!M81</f>
        <v>64.8125</v>
      </c>
      <c r="F81" s="28">
        <f>'NILAI HARIAN'!V81</f>
        <v>94</v>
      </c>
      <c r="G81" s="63">
        <f>'NILAI HARIAN'!AE81</f>
        <v>53.75</v>
      </c>
      <c r="H81" s="28">
        <f>'NILAI HARIAN'!AN81</f>
        <v>55.875</v>
      </c>
      <c r="I81" s="28">
        <f t="shared" si="1"/>
        <v>62.06875</v>
      </c>
      <c r="J81" s="63" t="str">
        <f t="shared" si="2"/>
        <v>2.0</v>
      </c>
      <c r="K81" s="63" t="str">
        <f t="shared" si="3"/>
        <v>C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7">
        <f>'INPUT DAFTAR PESERTA'!A80</f>
        <v>77</v>
      </c>
      <c r="B82" s="25">
        <f>'INPUT DAFTAR PESERTA'!B80</f>
        <v>2509056066</v>
      </c>
      <c r="C82" s="26" t="str">
        <f>'INPUT DAFTAR PESERTA'!C80</f>
        <v>Sultan Islamy Pasha</v>
      </c>
      <c r="D82" s="70">
        <f>'NILAI HARIAN'!L82</f>
        <v>87.5</v>
      </c>
      <c r="E82" s="28">
        <f>'NILAI HARIAN'!M82</f>
        <v>64.6875</v>
      </c>
      <c r="F82" s="28">
        <f>'NILAI HARIAN'!V82</f>
        <v>88</v>
      </c>
      <c r="G82" s="63">
        <f>'NILAI HARIAN'!AE82</f>
        <v>68.75</v>
      </c>
      <c r="H82" s="28">
        <f>'NILAI HARIAN'!AN82</f>
        <v>58.875</v>
      </c>
      <c r="I82" s="28">
        <f t="shared" si="1"/>
        <v>67.20625</v>
      </c>
      <c r="J82" s="63" t="str">
        <f t="shared" si="2"/>
        <v>2.5</v>
      </c>
      <c r="K82" s="63" t="str">
        <f t="shared" si="3"/>
        <v>C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7">
        <f>'INPUT DAFTAR PESERTA'!A81</f>
        <v>78</v>
      </c>
      <c r="B83" s="25">
        <f>'INPUT DAFTAR PESERTA'!B81</f>
        <v>2509056069</v>
      </c>
      <c r="C83" s="26" t="str">
        <f>'INPUT DAFTAR PESERTA'!C81</f>
        <v>Reyhan Resqy Pratama</v>
      </c>
      <c r="D83" s="70">
        <f>'NILAI HARIAN'!L83</f>
        <v>0</v>
      </c>
      <c r="E83" s="28">
        <f>'NILAI HARIAN'!M83</f>
        <v>9.15625</v>
      </c>
      <c r="F83" s="28">
        <f>'NILAI HARIAN'!V83</f>
        <v>0</v>
      </c>
      <c r="G83" s="63">
        <f>'NILAI HARIAN'!AE83</f>
        <v>10</v>
      </c>
      <c r="H83" s="28">
        <f>'NILAI HARIAN'!AN83</f>
        <v>24</v>
      </c>
      <c r="I83" s="28">
        <f t="shared" si="1"/>
        <v>14.915625</v>
      </c>
      <c r="J83" s="63" t="str">
        <f t="shared" si="2"/>
        <v>0.0</v>
      </c>
      <c r="K83" s="63" t="str">
        <f t="shared" si="3"/>
        <v>E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7">
        <f>'INPUT DAFTAR PESERTA'!A82</f>
        <v>79</v>
      </c>
      <c r="B84" s="25">
        <f>'INPUT DAFTAR PESERTA'!B82</f>
        <v>2509056070</v>
      </c>
      <c r="C84" s="26" t="str">
        <f>'INPUT DAFTAR PESERTA'!C82</f>
        <v>Riendri Novtrianto Luden</v>
      </c>
      <c r="D84" s="70">
        <f>'NILAI HARIAN'!L84</f>
        <v>0</v>
      </c>
      <c r="E84" s="28">
        <f>'NILAI HARIAN'!M84</f>
        <v>0</v>
      </c>
      <c r="F84" s="28">
        <f>'NILAI HARIAN'!V84</f>
        <v>76</v>
      </c>
      <c r="G84" s="63">
        <f>'NILAI HARIAN'!AE84</f>
        <v>0</v>
      </c>
      <c r="H84" s="28">
        <f>'NILAI HARIAN'!AN84</f>
        <v>3.75</v>
      </c>
      <c r="I84" s="28">
        <f t="shared" si="1"/>
        <v>9.475</v>
      </c>
      <c r="J84" s="63" t="str">
        <f t="shared" si="2"/>
        <v>0.0</v>
      </c>
      <c r="K84" s="63" t="str">
        <f t="shared" si="3"/>
        <v>E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7">
        <f>'INPUT DAFTAR PESERTA'!A83</f>
        <v>80</v>
      </c>
      <c r="B85" s="25">
        <f>'INPUT DAFTAR PESERTA'!B83</f>
        <v>2509056071</v>
      </c>
      <c r="C85" s="26" t="str">
        <f>'INPUT DAFTAR PESERTA'!C83</f>
        <v>Ergie Yehezkiel Simanjuntak</v>
      </c>
      <c r="D85" s="70">
        <f>'NILAI HARIAN'!L85</f>
        <v>0</v>
      </c>
      <c r="E85" s="28">
        <f>'NILAI HARIAN'!M85</f>
        <v>0</v>
      </c>
      <c r="F85" s="28">
        <f>'NILAI HARIAN'!V85</f>
        <v>82</v>
      </c>
      <c r="G85" s="63">
        <f>'NILAI HARIAN'!AE85</f>
        <v>0</v>
      </c>
      <c r="H85" s="28">
        <f>'NILAI HARIAN'!AN85</f>
        <v>3.75</v>
      </c>
      <c r="I85" s="28">
        <f t="shared" si="1"/>
        <v>10.075</v>
      </c>
      <c r="J85" s="63" t="str">
        <f t="shared" si="2"/>
        <v>0.0</v>
      </c>
      <c r="K85" s="63" t="str">
        <f t="shared" si="3"/>
        <v>E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7">
        <f>'INPUT DAFTAR PESERTA'!A84</f>
        <v>81</v>
      </c>
      <c r="B86" s="25">
        <f>'INPUT DAFTAR PESERTA'!B84</f>
        <v>2509056072</v>
      </c>
      <c r="C86" s="26" t="str">
        <f>'INPUT DAFTAR PESERTA'!C84</f>
        <v>Nobergotardo .A</v>
      </c>
      <c r="D86" s="70">
        <f>'NILAI HARIAN'!L86</f>
        <v>0</v>
      </c>
      <c r="E86" s="28">
        <f>'NILAI HARIAN'!M86</f>
        <v>0</v>
      </c>
      <c r="F86" s="28">
        <f>'NILAI HARIAN'!V86</f>
        <v>0</v>
      </c>
      <c r="G86" s="63">
        <f>'NILAI HARIAN'!AE86</f>
        <v>0</v>
      </c>
      <c r="H86" s="28">
        <f>'NILAI HARIAN'!AN86</f>
        <v>3.75</v>
      </c>
      <c r="I86" s="28">
        <f t="shared" si="1"/>
        <v>1.875</v>
      </c>
      <c r="J86" s="63" t="str">
        <f t="shared" si="2"/>
        <v>0.0</v>
      </c>
      <c r="K86" s="63" t="str">
        <f t="shared" si="3"/>
        <v>E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7">
        <f>'INPUT DAFTAR PESERTA'!A85</f>
        <v>82</v>
      </c>
      <c r="B87" s="25">
        <f>'INPUT DAFTAR PESERTA'!B85</f>
        <v>2509056073</v>
      </c>
      <c r="C87" s="26" t="str">
        <f>'INPUT DAFTAR PESERTA'!C85</f>
        <v>Rasikhah Fitri</v>
      </c>
      <c r="D87" s="70">
        <f>'NILAI HARIAN'!L87</f>
        <v>0</v>
      </c>
      <c r="E87" s="28">
        <f>'NILAI HARIAN'!M87</f>
        <v>0</v>
      </c>
      <c r="F87" s="28">
        <f>'NILAI HARIAN'!V87</f>
        <v>0</v>
      </c>
      <c r="G87" s="63">
        <f>'NILAI HARIAN'!AE87</f>
        <v>0</v>
      </c>
      <c r="H87" s="28">
        <f>'NILAI HARIAN'!AN87</f>
        <v>3.75</v>
      </c>
      <c r="I87" s="28">
        <f t="shared" si="1"/>
        <v>1.875</v>
      </c>
      <c r="J87" s="63" t="str">
        <f t="shared" si="2"/>
        <v>0.0</v>
      </c>
      <c r="K87" s="63" t="str">
        <f t="shared" si="3"/>
        <v>E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7">
        <f>'INPUT DAFTAR PESERTA'!A86</f>
        <v>83</v>
      </c>
      <c r="B88" s="25">
        <f>'INPUT DAFTAR PESERTA'!B86</f>
        <v>2509056075</v>
      </c>
      <c r="C88" s="26" t="str">
        <f>'INPUT DAFTAR PESERTA'!C86</f>
        <v>Cantika Salwa Hanifa</v>
      </c>
      <c r="D88" s="70">
        <f>'NILAI HARIAN'!L88</f>
        <v>50</v>
      </c>
      <c r="E88" s="28">
        <f>'NILAI HARIAN'!M88</f>
        <v>9.1875</v>
      </c>
      <c r="F88" s="28">
        <f>'NILAI HARIAN'!V88</f>
        <v>70</v>
      </c>
      <c r="G88" s="63">
        <f>'NILAI HARIAN'!AE88</f>
        <v>3.75</v>
      </c>
      <c r="H88" s="28">
        <f>'NILAI HARIAN'!AN88</f>
        <v>34.875</v>
      </c>
      <c r="I88" s="28">
        <f t="shared" si="1"/>
        <v>31.10625</v>
      </c>
      <c r="J88" s="63" t="str">
        <f t="shared" si="2"/>
        <v>0.0</v>
      </c>
      <c r="K88" s="63" t="str">
        <f t="shared" si="3"/>
        <v>E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7">
        <f>'INPUT DAFTAR PESERTA'!A87</f>
        <v>84</v>
      </c>
      <c r="B89" s="25">
        <f>'INPUT DAFTAR PESERTA'!B87</f>
        <v>2509056076</v>
      </c>
      <c r="C89" s="26" t="str">
        <f>'INPUT DAFTAR PESERTA'!C87</f>
        <v>Andi Arief Bintang</v>
      </c>
      <c r="D89" s="70">
        <f>'NILAI HARIAN'!L89</f>
        <v>100</v>
      </c>
      <c r="E89" s="28">
        <f>'NILAI HARIAN'!M89</f>
        <v>53</v>
      </c>
      <c r="F89" s="28">
        <f>'NILAI HARIAN'!V89</f>
        <v>92</v>
      </c>
      <c r="G89" s="63">
        <f>'NILAI HARIAN'!AE89</f>
        <v>54.75</v>
      </c>
      <c r="H89" s="28">
        <f>'NILAI HARIAN'!AN89</f>
        <v>68.625</v>
      </c>
      <c r="I89" s="28">
        <f t="shared" si="1"/>
        <v>69.7625</v>
      </c>
      <c r="J89" s="63" t="str">
        <f t="shared" si="2"/>
        <v>2.5</v>
      </c>
      <c r="K89" s="63" t="str">
        <f t="shared" si="3"/>
        <v>C</v>
      </c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7">
        <f>'INPUT DAFTAR PESERTA'!A88</f>
        <v>85</v>
      </c>
      <c r="B90" s="25">
        <f>'INPUT DAFTAR PESERTA'!B88</f>
        <v>2509056077</v>
      </c>
      <c r="C90" s="26" t="str">
        <f>'INPUT DAFTAR PESERTA'!C88</f>
        <v>Al Hamdan</v>
      </c>
      <c r="D90" s="70">
        <f>'NILAI HARIAN'!L90</f>
        <v>37.5</v>
      </c>
      <c r="E90" s="28">
        <f>'NILAI HARIAN'!M90</f>
        <v>0</v>
      </c>
      <c r="F90" s="28">
        <f>'NILAI HARIAN'!V90</f>
        <v>0</v>
      </c>
      <c r="G90" s="63">
        <f>'NILAI HARIAN'!AE90</f>
        <v>0</v>
      </c>
      <c r="H90" s="28">
        <f>'NILAI HARIAN'!AN90</f>
        <v>13.125</v>
      </c>
      <c r="I90" s="28">
        <f t="shared" si="1"/>
        <v>10.3125</v>
      </c>
      <c r="J90" s="63" t="str">
        <f t="shared" si="2"/>
        <v>0.0</v>
      </c>
      <c r="K90" s="63" t="str">
        <f t="shared" si="3"/>
        <v>E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7">
        <f>'INPUT DAFTAR PESERTA'!A89</f>
        <v>86</v>
      </c>
      <c r="B91" s="7">
        <f>'INPUT DAFTAR PESERTA'!B89</f>
        <v>2509056074</v>
      </c>
      <c r="C91" s="26" t="str">
        <f>'INPUT DAFTAR PESERTA'!C89</f>
        <v>Andi Muhammad Caeril Irfan</v>
      </c>
      <c r="D91" s="70">
        <f>'NILAI HARIAN'!L91</f>
        <v>37.5</v>
      </c>
      <c r="E91" s="28">
        <f>'NILAI HARIAN'!M91</f>
        <v>2.4375</v>
      </c>
      <c r="F91" s="28">
        <f>'NILAI HARIAN'!V91</f>
        <v>86</v>
      </c>
      <c r="G91" s="63">
        <f>'NILAI HARIAN'!AE91</f>
        <v>0</v>
      </c>
      <c r="H91" s="28">
        <f>'NILAI HARIAN'!AN91</f>
        <v>10.875</v>
      </c>
      <c r="I91" s="28">
        <f t="shared" si="1"/>
        <v>18.03125</v>
      </c>
      <c r="J91" s="63" t="str">
        <f t="shared" si="2"/>
        <v>0.0</v>
      </c>
      <c r="K91" s="63" t="str">
        <f t="shared" si="3"/>
        <v>E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8"/>
      <c r="N98" s="48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8"/>
      <c r="N99" s="48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8" t="str">
        <f>'INPUT DAFTAR PESERTA'!A98</f>
        <v/>
      </c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8"/>
      <c r="N100" s="48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8" t="str">
        <f>'INPUT DAFTAR PESERTA'!A99</f>
        <v/>
      </c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8"/>
      <c r="N101" s="48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8" t="str">
        <f>'INPUT DAFTAR PESERTA'!A100</f>
        <v/>
      </c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8"/>
      <c r="N102" s="48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8" t="str">
        <f>'INPUT DAFTAR PESERTA'!A101</f>
        <v/>
      </c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8"/>
      <c r="N103" s="48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8" t="str">
        <f>'INPUT DAFTAR PESERTA'!A102</f>
        <v/>
      </c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8"/>
      <c r="N104" s="48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8" t="str">
        <f>'INPUT DAFTAR PESERTA'!A103</f>
        <v/>
      </c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8"/>
      <c r="N105" s="48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8" t="str">
        <f>'INPUT DAFTAR PESERTA'!A104</f>
        <v/>
      </c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8"/>
      <c r="N106" s="48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8" t="str">
        <f>'INPUT DAFTAR PESERTA'!A105</f>
        <v/>
      </c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8"/>
      <c r="N107" s="48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8" t="str">
        <f>'INPUT DAFTAR PESERTA'!A106</f>
        <v/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8"/>
      <c r="N108" s="48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8" t="str">
        <f>'INPUT DAFTAR PESERTA'!A107</f>
        <v/>
      </c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8"/>
      <c r="N109" s="48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8" t="str">
        <f>'INPUT DAFTAR PESERTA'!A108</f>
        <v/>
      </c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8"/>
      <c r="N110" s="48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8" t="str">
        <f>'INPUT DAFTAR PESERTA'!A109</f>
        <v/>
      </c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8"/>
      <c r="N111" s="48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8" t="str">
        <f>'INPUT DAFTAR PESERTA'!A110</f>
        <v/>
      </c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8"/>
      <c r="N112" s="48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8" t="str">
        <f>'INPUT DAFTAR PESERTA'!A111</f>
        <v/>
      </c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8"/>
      <c r="N113" s="48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8" t="str">
        <f>'INPUT DAFTAR PESERTA'!A112</f>
        <v/>
      </c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8"/>
      <c r="N114" s="48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8" t="str">
        <f>'INPUT DAFTAR PESERTA'!A113</f>
        <v/>
      </c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8"/>
      <c r="N115" s="48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8" t="str">
        <f>'INPUT DAFTAR PESERTA'!A114</f>
        <v/>
      </c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8"/>
      <c r="N116" s="48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8" t="str">
        <f>'INPUT DAFTAR PESERTA'!A115</f>
        <v/>
      </c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8"/>
      <c r="N117" s="48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8" t="str">
        <f>'INPUT DAFTAR PESERTA'!A116</f>
        <v/>
      </c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8"/>
      <c r="N118" s="48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8" t="str">
        <f>'INPUT DAFTAR PESERTA'!A117</f>
        <v/>
      </c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8"/>
      <c r="N119" s="48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8" t="str">
        <f>'INPUT DAFTAR PESERTA'!A118</f>
        <v/>
      </c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8"/>
      <c r="N120" s="48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8" t="str">
        <f>'INPUT DAFTAR PESERTA'!A119</f>
        <v/>
      </c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8"/>
      <c r="N121" s="48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8" t="str">
        <f>'INPUT DAFTAR PESERTA'!A120</f>
        <v/>
      </c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8"/>
      <c r="N122" s="48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8" t="str">
        <f>'INPUT DAFTAR PESERTA'!A121</f>
        <v/>
      </c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8"/>
      <c r="N123" s="48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8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8"/>
      <c r="N124" s="48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8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8"/>
      <c r="N125" s="48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8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8"/>
      <c r="N126" s="48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8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8"/>
      <c r="N127" s="48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8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8"/>
      <c r="N128" s="48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8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8"/>
      <c r="N129" s="48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8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8"/>
      <c r="N130" s="48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8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8"/>
      <c r="N131" s="48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8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8"/>
      <c r="N132" s="48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8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8"/>
      <c r="N133" s="48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8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8"/>
      <c r="N134" s="48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8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8"/>
      <c r="N135" s="48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8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8"/>
      <c r="N136" s="48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8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8"/>
      <c r="N137" s="48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8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8"/>
      <c r="N138" s="48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8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8"/>
      <c r="N139" s="48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8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8"/>
      <c r="N140" s="48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8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8"/>
      <c r="N141" s="48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8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8"/>
      <c r="N142" s="48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8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8"/>
      <c r="N143" s="48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8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8"/>
      <c r="N144" s="48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8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8"/>
      <c r="N145" s="48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8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8"/>
      <c r="N146" s="48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8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8"/>
      <c r="N147" s="48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8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8"/>
      <c r="N148" s="48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8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8"/>
      <c r="N149" s="48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8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8"/>
      <c r="N150" s="48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8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8"/>
      <c r="N151" s="48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8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8"/>
      <c r="N152" s="48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8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8"/>
      <c r="N153" s="48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8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8"/>
      <c r="N154" s="48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8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8"/>
      <c r="N155" s="48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8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8"/>
      <c r="N156" s="48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8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8"/>
      <c r="N157" s="48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8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8"/>
      <c r="N158" s="48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8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8"/>
      <c r="N159" s="48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8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8"/>
      <c r="N160" s="48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8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8"/>
      <c r="N161" s="48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8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8"/>
      <c r="N162" s="48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8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8"/>
      <c r="N163" s="48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8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8"/>
      <c r="N164" s="48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8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8"/>
      <c r="N165" s="48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8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8"/>
      <c r="N166" s="48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8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8"/>
      <c r="N167" s="48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8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8"/>
      <c r="N168" s="48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8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8"/>
      <c r="N169" s="48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8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8"/>
      <c r="N170" s="48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8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8"/>
      <c r="N171" s="48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8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8"/>
      <c r="N172" s="48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8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8"/>
      <c r="N173" s="48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8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8"/>
      <c r="N174" s="48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8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8"/>
      <c r="N175" s="48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8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8"/>
      <c r="N176" s="48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8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8"/>
      <c r="N177" s="48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8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8"/>
      <c r="N178" s="48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8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8"/>
      <c r="N179" s="48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8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8"/>
      <c r="N180" s="48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8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8"/>
      <c r="N181" s="48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8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8"/>
      <c r="N182" s="48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8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8"/>
      <c r="N183" s="48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8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8"/>
      <c r="N184" s="48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8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8"/>
      <c r="N185" s="48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8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8"/>
      <c r="N186" s="48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8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8"/>
      <c r="N187" s="48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8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8"/>
      <c r="N188" s="48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8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8"/>
      <c r="N189" s="48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8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8"/>
      <c r="N190" s="48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8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8"/>
      <c r="N191" s="48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8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8"/>
      <c r="N192" s="48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8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8"/>
      <c r="N193" s="48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8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8"/>
      <c r="N194" s="48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8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8"/>
      <c r="N195" s="48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8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8"/>
      <c r="N196" s="48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8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8"/>
      <c r="N197" s="48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8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8"/>
      <c r="N198" s="48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8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8"/>
      <c r="N199" s="48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8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8"/>
      <c r="N200" s="48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8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8"/>
      <c r="N201" s="48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8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8"/>
      <c r="N202" s="48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8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8"/>
      <c r="N203" s="48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8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8"/>
      <c r="N204" s="48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8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8"/>
      <c r="N205" s="48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8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8"/>
      <c r="N206" s="48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8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8"/>
      <c r="N207" s="48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8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8"/>
      <c r="N208" s="48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8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8"/>
      <c r="N209" s="48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8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8"/>
      <c r="N210" s="48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8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8"/>
      <c r="N211" s="48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8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8"/>
      <c r="N212" s="48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8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8"/>
      <c r="N213" s="48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8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8"/>
      <c r="N214" s="48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8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8"/>
      <c r="N215" s="48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8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8"/>
      <c r="N216" s="48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8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8"/>
      <c r="N217" s="48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8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8"/>
      <c r="N218" s="48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8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8"/>
      <c r="N219" s="48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8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8"/>
      <c r="N220" s="48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8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8"/>
      <c r="N221" s="48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8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8"/>
      <c r="N222" s="48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8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8"/>
      <c r="N223" s="48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8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8"/>
      <c r="N224" s="48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8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8"/>
      <c r="N225" s="48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8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8"/>
      <c r="N226" s="48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8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8"/>
      <c r="N227" s="48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8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8"/>
      <c r="N228" s="48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8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8"/>
      <c r="N229" s="48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8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8"/>
      <c r="N230" s="48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8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8"/>
      <c r="N231" s="48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8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8"/>
      <c r="N232" s="48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8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8"/>
      <c r="N233" s="48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8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8"/>
      <c r="N234" s="48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8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8"/>
      <c r="N235" s="48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8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8"/>
      <c r="N236" s="48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8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8"/>
      <c r="N237" s="48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8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8"/>
      <c r="N238" s="48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8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8"/>
      <c r="N239" s="48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8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8"/>
      <c r="N240" s="48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8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8"/>
      <c r="N241" s="48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8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8"/>
      <c r="N242" s="48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8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8"/>
      <c r="N243" s="48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8"/>
      <c r="B244" s="48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8"/>
      <c r="N244" s="48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8"/>
      <c r="B245" s="48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8"/>
      <c r="N245" s="48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8"/>
      <c r="B246" s="48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8"/>
      <c r="N246" s="48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8"/>
      <c r="B247" s="48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8"/>
      <c r="N247" s="48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8"/>
      <c r="B248" s="48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8"/>
      <c r="N248" s="48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8"/>
      <c r="B249" s="48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8"/>
      <c r="N249" s="48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8"/>
      <c r="B250" s="48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8"/>
      <c r="N250" s="48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8"/>
      <c r="B251" s="48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8"/>
      <c r="N251" s="48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8"/>
      <c r="B252" s="48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8"/>
      <c r="N252" s="48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8"/>
      <c r="B253" s="48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8"/>
      <c r="N253" s="48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8"/>
      <c r="B254" s="48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8"/>
      <c r="N254" s="48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8"/>
      <c r="B255" s="48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8"/>
      <c r="N255" s="48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8"/>
      <c r="B256" s="48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8"/>
      <c r="N256" s="48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8"/>
      <c r="B257" s="48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8"/>
      <c r="N257" s="48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8"/>
      <c r="B258" s="48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8"/>
      <c r="N258" s="48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8"/>
      <c r="B259" s="48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8"/>
      <c r="N259" s="48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8"/>
      <c r="B260" s="48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8"/>
      <c r="N260" s="48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8"/>
      <c r="B261" s="48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8"/>
      <c r="N261" s="48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8"/>
      <c r="B262" s="48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8"/>
      <c r="N262" s="48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8"/>
      <c r="B263" s="48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8"/>
      <c r="N263" s="48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8"/>
      <c r="B264" s="48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8"/>
      <c r="N264" s="48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8"/>
      <c r="B265" s="48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8"/>
      <c r="N265" s="48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8"/>
      <c r="B266" s="48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8"/>
      <c r="N266" s="48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8"/>
      <c r="B267" s="48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8"/>
      <c r="N267" s="48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8"/>
      <c r="B268" s="48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8"/>
      <c r="N268" s="48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8"/>
      <c r="B269" s="48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8"/>
      <c r="N269" s="48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8"/>
      <c r="B270" s="48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8"/>
      <c r="N270" s="48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8"/>
      <c r="B271" s="48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8"/>
      <c r="N271" s="48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8"/>
      <c r="B272" s="48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8"/>
      <c r="N272" s="48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8"/>
      <c r="B273" s="48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8"/>
      <c r="N273" s="48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8"/>
      <c r="B274" s="48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8"/>
      <c r="N274" s="48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8"/>
      <c r="B275" s="48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8"/>
      <c r="N275" s="48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8"/>
      <c r="B276" s="48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8"/>
      <c r="N276" s="48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8"/>
      <c r="B277" s="48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8"/>
      <c r="N277" s="48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8"/>
      <c r="B278" s="48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8"/>
      <c r="N278" s="48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8"/>
      <c r="B279" s="48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8"/>
      <c r="N279" s="48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8"/>
      <c r="B280" s="48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8"/>
      <c r="N280" s="48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8"/>
      <c r="B281" s="48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8"/>
      <c r="N281" s="48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8"/>
      <c r="B282" s="48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8"/>
      <c r="N282" s="48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8"/>
      <c r="B283" s="48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8"/>
      <c r="N283" s="48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8"/>
      <c r="B284" s="48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8"/>
      <c r="N284" s="48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8"/>
      <c r="B285" s="48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8"/>
      <c r="N285" s="48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8"/>
      <c r="B286" s="48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8"/>
      <c r="N286" s="48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8"/>
      <c r="B287" s="48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8"/>
      <c r="N287" s="48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8"/>
      <c r="B288" s="48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8"/>
      <c r="N288" s="48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8"/>
      <c r="B289" s="48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8"/>
      <c r="N289" s="48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8"/>
      <c r="B290" s="48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8"/>
      <c r="N290" s="48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8"/>
      <c r="B291" s="48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8"/>
      <c r="N291" s="48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8"/>
      <c r="B292" s="48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8"/>
      <c r="N292" s="48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8"/>
      <c r="B293" s="48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8"/>
      <c r="N293" s="48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8"/>
      <c r="B294" s="48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8"/>
      <c r="N294" s="48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8"/>
      <c r="B295" s="48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8"/>
      <c r="N295" s="48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8"/>
      <c r="B296" s="48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8"/>
      <c r="N296" s="48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8"/>
      <c r="B297" s="48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8"/>
      <c r="N297" s="48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8"/>
      <c r="B298" s="48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8"/>
      <c r="N298" s="48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8"/>
      <c r="B299" s="48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8"/>
      <c r="N299" s="48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8"/>
      <c r="B300" s="48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8"/>
      <c r="N300" s="48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8"/>
      <c r="B301" s="48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8"/>
      <c r="N301" s="48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8"/>
      <c r="B302" s="48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8"/>
      <c r="N302" s="48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8"/>
      <c r="B303" s="48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8"/>
      <c r="N303" s="48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8"/>
      <c r="B304" s="48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8"/>
      <c r="N304" s="48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8"/>
      <c r="B305" s="48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8"/>
      <c r="N305" s="48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8"/>
      <c r="B306" s="48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8"/>
      <c r="N306" s="48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8"/>
      <c r="B307" s="48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8"/>
      <c r="N307" s="48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8"/>
      <c r="B308" s="48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8"/>
      <c r="N308" s="48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8"/>
      <c r="B309" s="48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8"/>
      <c r="N309" s="48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8"/>
      <c r="B310" s="48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8"/>
      <c r="N310" s="48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8"/>
      <c r="B311" s="48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8"/>
      <c r="N311" s="48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8"/>
      <c r="B312" s="48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8"/>
      <c r="N312" s="48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8"/>
      <c r="B313" s="48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8"/>
      <c r="N313" s="48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8"/>
      <c r="B314" s="48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8"/>
      <c r="N314" s="48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8"/>
      <c r="B315" s="48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8"/>
      <c r="N315" s="48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8"/>
      <c r="B316" s="48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8"/>
      <c r="N316" s="48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8"/>
      <c r="B317" s="48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8"/>
      <c r="N317" s="48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8"/>
      <c r="B318" s="48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8"/>
      <c r="N318" s="48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8"/>
      <c r="B319" s="48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8"/>
      <c r="N319" s="48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8"/>
      <c r="B320" s="48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8"/>
      <c r="N320" s="48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8"/>
      <c r="B321" s="48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8"/>
      <c r="N321" s="48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8"/>
      <c r="B322" s="48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8"/>
      <c r="N322" s="48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8"/>
      <c r="B323" s="48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8"/>
      <c r="N323" s="48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8"/>
      <c r="B324" s="48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8"/>
      <c r="N324" s="48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8"/>
      <c r="B325" s="48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8"/>
      <c r="N325" s="48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8"/>
      <c r="B326" s="48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8"/>
      <c r="N326" s="48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8"/>
      <c r="B327" s="48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8"/>
      <c r="N327" s="48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8"/>
      <c r="B328" s="48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8"/>
      <c r="N328" s="48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8"/>
      <c r="B329" s="48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8"/>
      <c r="N329" s="48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8"/>
      <c r="B330" s="48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8"/>
      <c r="N330" s="48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8"/>
      <c r="B331" s="48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8"/>
      <c r="N331" s="48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8"/>
      <c r="B332" s="48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8"/>
      <c r="N332" s="48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8"/>
      <c r="B333" s="48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8"/>
      <c r="N333" s="48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8"/>
      <c r="B334" s="48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8"/>
      <c r="N334" s="48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8"/>
      <c r="B335" s="48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8"/>
      <c r="N335" s="48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8"/>
      <c r="B336" s="48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8"/>
      <c r="N336" s="48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8"/>
      <c r="B337" s="48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8"/>
      <c r="N337" s="48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8"/>
      <c r="B338" s="48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8"/>
      <c r="N338" s="48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8"/>
      <c r="B339" s="48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8"/>
      <c r="N339" s="48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8"/>
      <c r="B340" s="48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8"/>
      <c r="N340" s="48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8"/>
      <c r="B341" s="48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8"/>
      <c r="N341" s="48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8"/>
      <c r="B342" s="48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8"/>
      <c r="N342" s="48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8"/>
      <c r="B343" s="48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8"/>
      <c r="N343" s="48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8"/>
      <c r="B344" s="48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8"/>
      <c r="N344" s="48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8"/>
      <c r="B345" s="48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8"/>
      <c r="N345" s="48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8"/>
      <c r="B346" s="48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8"/>
      <c r="N346" s="48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8"/>
      <c r="B347" s="48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8"/>
      <c r="N347" s="48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8"/>
      <c r="B348" s="48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8"/>
      <c r="N348" s="48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8"/>
      <c r="B349" s="48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8"/>
      <c r="N349" s="48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8"/>
      <c r="B350" s="48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8"/>
      <c r="N350" s="48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8"/>
      <c r="B351" s="48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8"/>
      <c r="N351" s="48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8"/>
      <c r="B352" s="48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8"/>
      <c r="N352" s="48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8"/>
      <c r="B353" s="48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8"/>
      <c r="N353" s="48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8"/>
      <c r="B354" s="48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8"/>
      <c r="N354" s="48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8"/>
      <c r="B355" s="48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8"/>
      <c r="N355" s="48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8"/>
      <c r="B356" s="48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8"/>
      <c r="N356" s="48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8"/>
      <c r="B357" s="48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8"/>
      <c r="N357" s="48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8"/>
      <c r="B358" s="48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8"/>
      <c r="N358" s="48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8"/>
      <c r="B359" s="48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8"/>
      <c r="N359" s="48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8"/>
      <c r="B360" s="48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8"/>
      <c r="N360" s="48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8"/>
      <c r="B361" s="48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8"/>
      <c r="N361" s="48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8"/>
      <c r="B362" s="48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8"/>
      <c r="N362" s="48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8"/>
      <c r="B363" s="48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8"/>
      <c r="N363" s="48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8"/>
      <c r="B364" s="48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8"/>
      <c r="N364" s="48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8"/>
      <c r="B365" s="48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8"/>
      <c r="N365" s="48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8"/>
      <c r="B366" s="48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8"/>
      <c r="N366" s="48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8"/>
      <c r="B367" s="48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8"/>
      <c r="N367" s="48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8"/>
      <c r="B368" s="48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8"/>
      <c r="N368" s="48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8"/>
      <c r="B369" s="48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8"/>
      <c r="N369" s="48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8"/>
      <c r="B370" s="48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8"/>
      <c r="N370" s="48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8"/>
      <c r="B371" s="48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8"/>
      <c r="N371" s="48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8"/>
      <c r="B372" s="48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8"/>
      <c r="N372" s="48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8"/>
      <c r="B373" s="48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8"/>
      <c r="N373" s="48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8"/>
      <c r="B374" s="48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8"/>
      <c r="N374" s="48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8"/>
      <c r="B375" s="48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8"/>
      <c r="N375" s="48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8"/>
      <c r="B376" s="48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8"/>
      <c r="N376" s="48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8"/>
      <c r="B377" s="48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8"/>
      <c r="N377" s="48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8"/>
      <c r="B378" s="48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8"/>
      <c r="N378" s="48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8"/>
      <c r="B379" s="48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8"/>
      <c r="N379" s="48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8"/>
      <c r="B380" s="48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8"/>
      <c r="N380" s="48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8"/>
      <c r="B381" s="48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8"/>
      <c r="N381" s="48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8"/>
      <c r="B382" s="48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8"/>
      <c r="N382" s="48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8"/>
      <c r="B383" s="48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8"/>
      <c r="N383" s="48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8"/>
      <c r="B384" s="48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8"/>
      <c r="N384" s="48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8"/>
      <c r="B385" s="48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8"/>
      <c r="N385" s="48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8"/>
      <c r="B386" s="48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8"/>
      <c r="N386" s="48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8"/>
      <c r="B387" s="48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8"/>
      <c r="N387" s="48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8"/>
      <c r="B388" s="48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8"/>
      <c r="N388" s="48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8"/>
      <c r="B389" s="48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8"/>
      <c r="N389" s="48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8"/>
      <c r="B390" s="48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8"/>
      <c r="N390" s="48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8"/>
      <c r="B391" s="48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8"/>
      <c r="N391" s="48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8"/>
      <c r="B392" s="48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8"/>
      <c r="N392" s="48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8"/>
      <c r="B393" s="48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8"/>
      <c r="N393" s="48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8"/>
      <c r="B394" s="48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8"/>
      <c r="N394" s="48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8"/>
      <c r="B395" s="48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8"/>
      <c r="N395" s="48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8"/>
      <c r="B396" s="48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8"/>
      <c r="N396" s="48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8"/>
      <c r="B397" s="48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8"/>
      <c r="N397" s="48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8"/>
      <c r="B398" s="48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8"/>
      <c r="N398" s="48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8"/>
      <c r="B399" s="48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8"/>
      <c r="N399" s="48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8"/>
      <c r="B400" s="48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8"/>
      <c r="N400" s="48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8"/>
      <c r="B401" s="48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8"/>
      <c r="N401" s="48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8"/>
      <c r="B402" s="48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8"/>
      <c r="N402" s="48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8"/>
      <c r="B403" s="48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8"/>
      <c r="N403" s="48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8"/>
      <c r="B404" s="48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8"/>
      <c r="N404" s="48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8"/>
      <c r="B405" s="48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8"/>
      <c r="N405" s="48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8"/>
      <c r="B406" s="48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8"/>
      <c r="N406" s="48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8"/>
      <c r="B407" s="48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8"/>
      <c r="N407" s="48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8"/>
      <c r="B408" s="48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8"/>
      <c r="N408" s="48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8"/>
      <c r="B409" s="48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8"/>
      <c r="N409" s="48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8"/>
      <c r="B410" s="48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8"/>
      <c r="N410" s="48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8"/>
      <c r="B411" s="48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8"/>
      <c r="N411" s="48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8"/>
      <c r="B412" s="48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8"/>
      <c r="N412" s="48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8"/>
      <c r="B413" s="48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8"/>
      <c r="N413" s="48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8"/>
      <c r="B414" s="48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8"/>
      <c r="N414" s="48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8"/>
      <c r="B415" s="48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8"/>
      <c r="N415" s="48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8"/>
      <c r="B416" s="48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8"/>
      <c r="N416" s="48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8"/>
      <c r="B417" s="48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8"/>
      <c r="N417" s="48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8"/>
      <c r="B418" s="48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8"/>
      <c r="N418" s="48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8"/>
      <c r="B419" s="48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8"/>
      <c r="N419" s="48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8"/>
      <c r="B420" s="48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8"/>
      <c r="N420" s="48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8"/>
      <c r="B421" s="48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8"/>
      <c r="N421" s="48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8"/>
      <c r="B422" s="48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8"/>
      <c r="N422" s="48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8"/>
      <c r="B423" s="48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8"/>
      <c r="N423" s="48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8"/>
      <c r="B424" s="48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8"/>
      <c r="N424" s="48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8"/>
      <c r="B425" s="48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8"/>
      <c r="N425" s="48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8"/>
      <c r="B426" s="48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8"/>
      <c r="N426" s="48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8"/>
      <c r="B427" s="48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8"/>
      <c r="N427" s="48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8"/>
      <c r="B428" s="48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8"/>
      <c r="N428" s="48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8"/>
      <c r="B429" s="48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8"/>
      <c r="N429" s="48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8"/>
      <c r="B430" s="48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8"/>
      <c r="N430" s="48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8"/>
      <c r="B431" s="48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8"/>
      <c r="N431" s="48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8"/>
      <c r="B432" s="48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8"/>
      <c r="N432" s="48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8"/>
      <c r="B433" s="48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8"/>
      <c r="N433" s="48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8"/>
      <c r="B434" s="48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8"/>
      <c r="N434" s="48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8"/>
      <c r="B435" s="48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8"/>
      <c r="N435" s="48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8"/>
      <c r="B436" s="48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8"/>
      <c r="N436" s="48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8"/>
      <c r="B437" s="48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8"/>
      <c r="N437" s="48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8"/>
      <c r="B438" s="48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8"/>
      <c r="N438" s="48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8"/>
      <c r="B439" s="48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8"/>
      <c r="N439" s="48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8"/>
      <c r="B440" s="48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8"/>
      <c r="N440" s="48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8"/>
      <c r="B441" s="48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8"/>
      <c r="N441" s="48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8"/>
      <c r="B442" s="48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8"/>
      <c r="N442" s="48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8"/>
      <c r="B443" s="48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8"/>
      <c r="N443" s="48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8"/>
      <c r="B444" s="48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8"/>
      <c r="N444" s="48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8"/>
      <c r="B445" s="48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8"/>
      <c r="N445" s="48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8"/>
      <c r="B446" s="48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8"/>
      <c r="N446" s="48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8"/>
      <c r="B447" s="48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8"/>
      <c r="N447" s="48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8"/>
      <c r="B448" s="48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8"/>
      <c r="N448" s="48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8"/>
      <c r="B449" s="48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8"/>
      <c r="N449" s="48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8"/>
      <c r="B450" s="48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8"/>
      <c r="N450" s="48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8"/>
      <c r="B451" s="48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8"/>
      <c r="N451" s="48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8"/>
      <c r="B452" s="48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8"/>
      <c r="N452" s="48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8"/>
      <c r="B453" s="48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8"/>
      <c r="N453" s="48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8"/>
      <c r="B454" s="48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8"/>
      <c r="N454" s="48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8"/>
      <c r="B455" s="48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8"/>
      <c r="N455" s="48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8"/>
      <c r="B456" s="48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8"/>
      <c r="N456" s="48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8"/>
      <c r="B457" s="48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8"/>
      <c r="N457" s="48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8"/>
      <c r="B458" s="48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8"/>
      <c r="N458" s="48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8"/>
      <c r="B459" s="48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8"/>
      <c r="N459" s="48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8"/>
      <c r="B460" s="48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8"/>
      <c r="N460" s="48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8"/>
      <c r="B461" s="48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8"/>
      <c r="N461" s="48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8"/>
      <c r="B462" s="48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8"/>
      <c r="N462" s="48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8"/>
      <c r="B463" s="48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8"/>
      <c r="N463" s="48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8"/>
      <c r="B464" s="48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8"/>
      <c r="N464" s="48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8"/>
      <c r="B465" s="48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8"/>
      <c r="N465" s="48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8"/>
      <c r="B466" s="48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8"/>
      <c r="N466" s="48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8"/>
      <c r="B467" s="48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8"/>
      <c r="N467" s="48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8"/>
      <c r="B468" s="48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8"/>
      <c r="N468" s="48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8"/>
      <c r="B469" s="48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8"/>
      <c r="N469" s="48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8"/>
      <c r="B470" s="48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8"/>
      <c r="N470" s="48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8"/>
      <c r="B471" s="48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8"/>
      <c r="N471" s="48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8"/>
      <c r="B472" s="48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8"/>
      <c r="N472" s="48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8"/>
      <c r="B473" s="48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8"/>
      <c r="N473" s="48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8"/>
      <c r="B474" s="48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8"/>
      <c r="N474" s="48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8"/>
      <c r="B475" s="48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8"/>
      <c r="N475" s="48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8"/>
      <c r="B476" s="48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8"/>
      <c r="N476" s="48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8"/>
      <c r="B477" s="48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8"/>
      <c r="N477" s="48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8"/>
      <c r="B478" s="48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8"/>
      <c r="N478" s="48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8"/>
      <c r="B479" s="48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8"/>
      <c r="N479" s="48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8"/>
      <c r="B480" s="48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8"/>
      <c r="N480" s="48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8"/>
      <c r="B481" s="48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8"/>
      <c r="N481" s="48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8"/>
      <c r="B482" s="48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8"/>
      <c r="N482" s="48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8"/>
      <c r="B483" s="48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8"/>
      <c r="N483" s="48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8"/>
      <c r="B484" s="48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8"/>
      <c r="N484" s="48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8"/>
      <c r="B485" s="48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8"/>
      <c r="N485" s="48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8"/>
      <c r="B486" s="48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8"/>
      <c r="N486" s="48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8"/>
      <c r="B487" s="48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8"/>
      <c r="N487" s="48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8"/>
      <c r="B488" s="48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8"/>
      <c r="N488" s="48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8"/>
      <c r="B489" s="48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8"/>
      <c r="N489" s="48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8"/>
      <c r="B490" s="48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8"/>
      <c r="N490" s="48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8"/>
      <c r="B491" s="48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8"/>
      <c r="N491" s="48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8"/>
      <c r="B492" s="48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8"/>
      <c r="N492" s="48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8"/>
      <c r="B493" s="48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8"/>
      <c r="N493" s="48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8"/>
      <c r="B494" s="48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8"/>
      <c r="N494" s="48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8"/>
      <c r="B495" s="48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8"/>
      <c r="N495" s="48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8"/>
      <c r="B496" s="48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8"/>
      <c r="N496" s="48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8"/>
      <c r="B497" s="48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8"/>
      <c r="N497" s="48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8"/>
      <c r="B498" s="48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8"/>
      <c r="N498" s="48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8"/>
      <c r="B499" s="48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8"/>
      <c r="N499" s="48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8"/>
      <c r="B500" s="48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8"/>
      <c r="N500" s="48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8"/>
      <c r="B501" s="48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8"/>
      <c r="N501" s="48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8"/>
      <c r="B502" s="48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8"/>
      <c r="N502" s="48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8"/>
      <c r="B503" s="48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8"/>
      <c r="N503" s="48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8"/>
      <c r="B504" s="48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8"/>
      <c r="N504" s="48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8"/>
      <c r="B505" s="48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8"/>
      <c r="N505" s="48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8"/>
      <c r="B506" s="48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8"/>
      <c r="N506" s="48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8"/>
      <c r="B507" s="48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8"/>
      <c r="N507" s="48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8"/>
      <c r="B508" s="48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8"/>
      <c r="N508" s="48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8"/>
      <c r="B509" s="48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8"/>
      <c r="N509" s="48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8"/>
      <c r="B510" s="48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8"/>
      <c r="N510" s="48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8"/>
      <c r="B511" s="48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8"/>
      <c r="N511" s="48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8"/>
      <c r="B512" s="48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8"/>
      <c r="N512" s="48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8"/>
      <c r="B513" s="48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8"/>
      <c r="N513" s="48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8"/>
      <c r="B514" s="48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8"/>
      <c r="N514" s="48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8"/>
      <c r="B515" s="48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8"/>
      <c r="N515" s="48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8"/>
      <c r="B516" s="48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8"/>
      <c r="N516" s="48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8"/>
      <c r="B517" s="48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8"/>
      <c r="N517" s="48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8"/>
      <c r="B518" s="48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8"/>
      <c r="N518" s="48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8"/>
      <c r="B519" s="48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8"/>
      <c r="N519" s="48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8"/>
      <c r="B520" s="48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8"/>
      <c r="N520" s="48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8"/>
      <c r="B521" s="48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8"/>
      <c r="N521" s="48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8"/>
      <c r="B522" s="48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8"/>
      <c r="N522" s="48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8"/>
      <c r="B523" s="48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8"/>
      <c r="N523" s="48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8"/>
      <c r="B524" s="48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8"/>
      <c r="N524" s="48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8"/>
      <c r="B525" s="48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8"/>
      <c r="N525" s="48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8"/>
      <c r="B526" s="48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8"/>
      <c r="N526" s="48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8"/>
      <c r="B527" s="48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8"/>
      <c r="N527" s="48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8"/>
      <c r="B528" s="48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8"/>
      <c r="N528" s="48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8"/>
      <c r="B529" s="48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8"/>
      <c r="N529" s="48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8"/>
      <c r="B530" s="48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8"/>
      <c r="N530" s="48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8"/>
      <c r="B531" s="48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8"/>
      <c r="N531" s="48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8"/>
      <c r="B532" s="48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8"/>
      <c r="N532" s="48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8"/>
      <c r="B533" s="48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8"/>
      <c r="N533" s="48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8"/>
      <c r="B534" s="48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8"/>
      <c r="N534" s="48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8"/>
      <c r="B535" s="48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8"/>
      <c r="N535" s="48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8"/>
      <c r="B536" s="48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8"/>
      <c r="N536" s="48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8"/>
      <c r="B537" s="48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8"/>
      <c r="N537" s="48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8"/>
      <c r="B538" s="48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8"/>
      <c r="N538" s="48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8"/>
      <c r="B539" s="48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8"/>
      <c r="N539" s="48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8"/>
      <c r="B540" s="48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8"/>
      <c r="N540" s="48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8"/>
      <c r="B541" s="48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8"/>
      <c r="N541" s="48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8"/>
      <c r="B542" s="48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8"/>
      <c r="N542" s="48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8"/>
      <c r="B543" s="48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8"/>
      <c r="N543" s="48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8"/>
      <c r="B544" s="48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8"/>
      <c r="N544" s="48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8"/>
      <c r="B545" s="48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8"/>
      <c r="N545" s="48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8"/>
      <c r="B546" s="48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8"/>
      <c r="N546" s="48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8"/>
      <c r="B547" s="48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8"/>
      <c r="N547" s="48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8"/>
      <c r="B548" s="48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8"/>
      <c r="N548" s="48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8"/>
      <c r="B549" s="48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8"/>
      <c r="N549" s="48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8"/>
      <c r="B550" s="48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8"/>
      <c r="N550" s="48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8"/>
      <c r="B551" s="48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8"/>
      <c r="N551" s="48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8"/>
      <c r="B552" s="48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8"/>
      <c r="N552" s="48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8"/>
      <c r="B553" s="48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8"/>
      <c r="N553" s="48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8"/>
      <c r="B554" s="48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8"/>
      <c r="N554" s="48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8"/>
      <c r="B555" s="48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8"/>
      <c r="N555" s="48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8"/>
      <c r="B556" s="48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8"/>
      <c r="N556" s="48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8"/>
      <c r="B557" s="48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8"/>
      <c r="N557" s="48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8"/>
      <c r="B558" s="48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8"/>
      <c r="N558" s="48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8"/>
      <c r="B559" s="48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8"/>
      <c r="N559" s="48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8"/>
      <c r="B560" s="48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8"/>
      <c r="N560" s="48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8"/>
      <c r="B561" s="48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8"/>
      <c r="N561" s="48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8"/>
      <c r="B562" s="48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8"/>
      <c r="N562" s="48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8"/>
      <c r="B563" s="48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8"/>
      <c r="N563" s="48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8"/>
      <c r="B564" s="48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8"/>
      <c r="N564" s="48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8"/>
      <c r="B565" s="48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8"/>
      <c r="N565" s="48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8"/>
      <c r="B566" s="48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8"/>
      <c r="N566" s="48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8"/>
      <c r="B567" s="48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8"/>
      <c r="N567" s="48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8"/>
      <c r="B568" s="48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8"/>
      <c r="N568" s="48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8"/>
      <c r="B569" s="48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8"/>
      <c r="N569" s="48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8"/>
      <c r="B570" s="48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8"/>
      <c r="N570" s="48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8"/>
      <c r="B571" s="48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8"/>
      <c r="N571" s="48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8"/>
      <c r="B572" s="48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8"/>
      <c r="N572" s="48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8"/>
      <c r="B573" s="48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8"/>
      <c r="N573" s="48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8"/>
      <c r="B574" s="48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8"/>
      <c r="N574" s="48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8"/>
      <c r="B575" s="48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8"/>
      <c r="N575" s="48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8"/>
      <c r="B576" s="48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8"/>
      <c r="N576" s="48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8"/>
      <c r="B577" s="48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8"/>
      <c r="N577" s="48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8"/>
      <c r="B578" s="48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8"/>
      <c r="N578" s="48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8"/>
      <c r="B579" s="48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8"/>
      <c r="N579" s="48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8"/>
      <c r="B580" s="48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8"/>
      <c r="N580" s="48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8"/>
      <c r="B581" s="48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8"/>
      <c r="N581" s="48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8"/>
      <c r="B582" s="48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8"/>
      <c r="N582" s="48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8"/>
      <c r="B583" s="48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8"/>
      <c r="N583" s="48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8"/>
      <c r="B584" s="48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8"/>
      <c r="N584" s="48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8"/>
      <c r="B585" s="48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8"/>
      <c r="N585" s="48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8"/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8"/>
      <c r="N586" s="48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8"/>
      <c r="B587" s="48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8"/>
      <c r="N587" s="48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8"/>
      <c r="B588" s="48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8"/>
      <c r="N588" s="48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8"/>
      <c r="B589" s="48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8"/>
      <c r="N589" s="48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8"/>
      <c r="B590" s="48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8"/>
      <c r="N590" s="48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8"/>
      <c r="B591" s="48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8"/>
      <c r="N591" s="48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8"/>
      <c r="B592" s="48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8"/>
      <c r="N592" s="48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8"/>
      <c r="B593" s="48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8"/>
      <c r="N593" s="48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8"/>
      <c r="B594" s="48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8"/>
      <c r="N594" s="48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8"/>
      <c r="B595" s="48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8"/>
      <c r="N595" s="48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8"/>
      <c r="B596" s="48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8"/>
      <c r="N596" s="48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8"/>
      <c r="B597" s="48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8"/>
      <c r="N597" s="48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8"/>
      <c r="B598" s="48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8"/>
      <c r="N598" s="48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8"/>
      <c r="B599" s="48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8"/>
      <c r="N599" s="48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8"/>
      <c r="B600" s="48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8"/>
      <c r="N600" s="48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8"/>
      <c r="B601" s="48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8"/>
      <c r="N601" s="48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8"/>
      <c r="B602" s="48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8"/>
      <c r="N602" s="48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8"/>
      <c r="B603" s="48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8"/>
      <c r="N603" s="48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8"/>
      <c r="B604" s="48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8"/>
      <c r="N604" s="48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8"/>
      <c r="B605" s="48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8"/>
      <c r="N605" s="48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8"/>
      <c r="B606" s="48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8"/>
      <c r="N606" s="48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8"/>
      <c r="B607" s="48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8"/>
      <c r="N607" s="48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8"/>
      <c r="B608" s="48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8"/>
      <c r="N608" s="48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8"/>
      <c r="B609" s="48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8"/>
      <c r="N609" s="48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8"/>
      <c r="B610" s="48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8"/>
      <c r="N610" s="48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8"/>
      <c r="B611" s="48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8"/>
      <c r="N611" s="48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8"/>
      <c r="B612" s="48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8"/>
      <c r="N612" s="48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8"/>
      <c r="B613" s="48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8"/>
      <c r="N613" s="48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8"/>
      <c r="B614" s="48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8"/>
      <c r="N614" s="48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8"/>
      <c r="B615" s="48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8"/>
      <c r="N615" s="48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8"/>
      <c r="B616" s="48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8"/>
      <c r="N616" s="48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8"/>
      <c r="B617" s="48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8"/>
      <c r="N617" s="48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8"/>
      <c r="B618" s="48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8"/>
      <c r="N618" s="48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8"/>
      <c r="B619" s="48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8"/>
      <c r="N619" s="48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8"/>
      <c r="B620" s="48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8"/>
      <c r="N620" s="48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8"/>
      <c r="B621" s="48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8"/>
      <c r="N621" s="48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8"/>
      <c r="B622" s="48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8"/>
      <c r="N622" s="48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8"/>
      <c r="B623" s="48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8"/>
      <c r="N623" s="48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8"/>
      <c r="B624" s="48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8"/>
      <c r="N624" s="48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8"/>
      <c r="B625" s="48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8"/>
      <c r="N625" s="48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8"/>
      <c r="B626" s="48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8"/>
      <c r="N626" s="48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8"/>
      <c r="B627" s="48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8"/>
      <c r="N627" s="48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8"/>
      <c r="B628" s="48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8"/>
      <c r="N628" s="48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8"/>
      <c r="B629" s="48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8"/>
      <c r="N629" s="48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8"/>
      <c r="B630" s="48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8"/>
      <c r="N630" s="48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8"/>
      <c r="B631" s="48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8"/>
      <c r="N631" s="48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8"/>
      <c r="B632" s="48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8"/>
      <c r="N632" s="48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8"/>
      <c r="B633" s="48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8"/>
      <c r="N633" s="48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8"/>
      <c r="B634" s="48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8"/>
      <c r="N634" s="48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8"/>
      <c r="B635" s="48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8"/>
      <c r="N635" s="48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8"/>
      <c r="B636" s="48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8"/>
      <c r="N636" s="48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8"/>
      <c r="B637" s="48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8"/>
      <c r="N637" s="48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8"/>
      <c r="B638" s="48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8"/>
      <c r="N638" s="48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8"/>
      <c r="B639" s="48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8"/>
      <c r="N639" s="48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8"/>
      <c r="B640" s="48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8"/>
      <c r="N640" s="48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8"/>
      <c r="B641" s="48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8"/>
      <c r="N641" s="48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8"/>
      <c r="B642" s="48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8"/>
      <c r="N642" s="48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8"/>
      <c r="B643" s="48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8"/>
      <c r="N643" s="48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8"/>
      <c r="B644" s="48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8"/>
      <c r="N644" s="48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8"/>
      <c r="B645" s="48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8"/>
      <c r="N645" s="48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8"/>
      <c r="B646" s="48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8"/>
      <c r="N646" s="48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8"/>
      <c r="B647" s="48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8"/>
      <c r="N647" s="48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8"/>
      <c r="B648" s="48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8"/>
      <c r="N648" s="48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8"/>
      <c r="B649" s="48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8"/>
      <c r="N649" s="48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8"/>
      <c r="B650" s="48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8"/>
      <c r="N650" s="48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8"/>
      <c r="B651" s="48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8"/>
      <c r="N651" s="48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8"/>
      <c r="B652" s="48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8"/>
      <c r="N652" s="48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8"/>
      <c r="B653" s="48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8"/>
      <c r="N653" s="48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8"/>
      <c r="B654" s="48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8"/>
      <c r="N654" s="48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8"/>
      <c r="B655" s="48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8"/>
      <c r="N655" s="48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8"/>
      <c r="B656" s="48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8"/>
      <c r="N656" s="48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8"/>
      <c r="B657" s="48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8"/>
      <c r="N657" s="48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8"/>
      <c r="B658" s="48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8"/>
      <c r="N658" s="48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8"/>
      <c r="B659" s="48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8"/>
      <c r="N659" s="48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8"/>
      <c r="B660" s="48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8"/>
      <c r="N660" s="48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8"/>
      <c r="B661" s="48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8"/>
      <c r="N661" s="48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8"/>
      <c r="B662" s="48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8"/>
      <c r="N662" s="48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8"/>
      <c r="B663" s="48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8"/>
      <c r="N663" s="48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8"/>
      <c r="B664" s="48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8"/>
      <c r="N664" s="48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8"/>
      <c r="B665" s="48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8"/>
      <c r="N665" s="48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8"/>
      <c r="B666" s="48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8"/>
      <c r="N666" s="48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8"/>
      <c r="B667" s="48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8"/>
      <c r="N667" s="48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8"/>
      <c r="B668" s="48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8"/>
      <c r="N668" s="48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8"/>
      <c r="B669" s="48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8"/>
      <c r="N669" s="48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8"/>
      <c r="B670" s="48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8"/>
      <c r="N670" s="48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8"/>
      <c r="B671" s="48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8"/>
      <c r="N671" s="48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8"/>
      <c r="B672" s="48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8"/>
      <c r="N672" s="48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8"/>
      <c r="B673" s="48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8"/>
      <c r="N673" s="48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8"/>
      <c r="B674" s="48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8"/>
      <c r="N674" s="48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8"/>
      <c r="B675" s="48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8"/>
      <c r="N675" s="48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8"/>
      <c r="B676" s="48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8"/>
      <c r="N676" s="48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8"/>
      <c r="B677" s="48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8"/>
      <c r="N677" s="48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8"/>
      <c r="B678" s="48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8"/>
      <c r="N678" s="48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8"/>
      <c r="B679" s="48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8"/>
      <c r="N679" s="48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8"/>
      <c r="B680" s="48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8"/>
      <c r="N680" s="48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8"/>
      <c r="B681" s="48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8"/>
      <c r="N681" s="48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8"/>
      <c r="B682" s="48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8"/>
      <c r="N682" s="48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8"/>
      <c r="B683" s="48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8"/>
      <c r="N683" s="48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8"/>
      <c r="B684" s="48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8"/>
      <c r="N684" s="48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8"/>
      <c r="B685" s="48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8"/>
      <c r="N685" s="48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8"/>
      <c r="B686" s="48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8"/>
      <c r="N686" s="48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8"/>
      <c r="B687" s="48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8"/>
      <c r="N687" s="48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8"/>
      <c r="B688" s="48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8"/>
      <c r="N688" s="48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8"/>
      <c r="B689" s="48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8"/>
      <c r="N689" s="48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8"/>
      <c r="B690" s="48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8"/>
      <c r="N690" s="48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8"/>
      <c r="B691" s="48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8"/>
      <c r="N691" s="48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8"/>
      <c r="B692" s="48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8"/>
      <c r="N692" s="48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8"/>
      <c r="B693" s="48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8"/>
      <c r="N693" s="48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8"/>
      <c r="B694" s="48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8"/>
      <c r="N694" s="48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8"/>
      <c r="B695" s="48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8"/>
      <c r="N695" s="48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8"/>
      <c r="B696" s="48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8"/>
      <c r="N696" s="48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8"/>
      <c r="B697" s="48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8"/>
      <c r="N697" s="48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8"/>
      <c r="B698" s="48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8"/>
      <c r="N698" s="48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8"/>
      <c r="B699" s="48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8"/>
      <c r="N699" s="48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8"/>
      <c r="B700" s="48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8"/>
      <c r="N700" s="48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8"/>
      <c r="B701" s="48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8"/>
      <c r="N701" s="48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8"/>
      <c r="B702" s="48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8"/>
      <c r="N702" s="48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8"/>
      <c r="B703" s="48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8"/>
      <c r="N703" s="48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8"/>
      <c r="B704" s="48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8"/>
      <c r="N704" s="48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8"/>
      <c r="B705" s="48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8"/>
      <c r="N705" s="48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8"/>
      <c r="B706" s="48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8"/>
      <c r="N706" s="48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8"/>
      <c r="B707" s="48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8"/>
      <c r="N707" s="48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8"/>
      <c r="B708" s="48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8"/>
      <c r="N708" s="48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8"/>
      <c r="B709" s="48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8"/>
      <c r="N709" s="48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8"/>
      <c r="B710" s="48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8"/>
      <c r="N710" s="48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8"/>
      <c r="B711" s="48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8"/>
      <c r="N711" s="48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8"/>
      <c r="B712" s="48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8"/>
      <c r="N712" s="48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8"/>
      <c r="B713" s="48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8"/>
      <c r="N713" s="48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8"/>
      <c r="B714" s="48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8"/>
      <c r="N714" s="48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8"/>
      <c r="B715" s="48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8"/>
      <c r="N715" s="48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8"/>
      <c r="B716" s="48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8"/>
      <c r="N716" s="48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8"/>
      <c r="B717" s="48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8"/>
      <c r="N717" s="48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8"/>
      <c r="B718" s="48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8"/>
      <c r="N718" s="48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8"/>
      <c r="B719" s="48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8"/>
      <c r="N719" s="48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8"/>
      <c r="B720" s="48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8"/>
      <c r="N720" s="48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8"/>
      <c r="B721" s="48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8"/>
      <c r="N721" s="48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8"/>
      <c r="B722" s="48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8"/>
      <c r="N722" s="48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8"/>
      <c r="B723" s="48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8"/>
      <c r="N723" s="48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8"/>
      <c r="B724" s="48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8"/>
      <c r="N724" s="48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8"/>
      <c r="B725" s="48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8"/>
      <c r="N725" s="48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8"/>
      <c r="B726" s="48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8"/>
      <c r="N726" s="48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8"/>
      <c r="B727" s="48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8"/>
      <c r="N727" s="48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8"/>
      <c r="B728" s="48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8"/>
      <c r="N728" s="48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8"/>
      <c r="B729" s="48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8"/>
      <c r="N729" s="48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8"/>
      <c r="B730" s="48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8"/>
      <c r="N730" s="48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8"/>
      <c r="B731" s="48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8"/>
      <c r="N731" s="48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8"/>
      <c r="B732" s="48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8"/>
      <c r="N732" s="48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8"/>
      <c r="B733" s="48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8"/>
      <c r="N733" s="48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8"/>
      <c r="B734" s="48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8"/>
      <c r="N734" s="48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8"/>
      <c r="B735" s="48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8"/>
      <c r="N735" s="48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8"/>
      <c r="B736" s="48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8"/>
      <c r="N736" s="48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8"/>
      <c r="B737" s="48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8"/>
      <c r="N737" s="48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8"/>
      <c r="B738" s="48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8"/>
      <c r="N738" s="48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8"/>
      <c r="B739" s="48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8"/>
      <c r="N739" s="48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8"/>
      <c r="B740" s="48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8"/>
      <c r="N740" s="48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8"/>
      <c r="B741" s="48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8"/>
      <c r="N741" s="48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8"/>
      <c r="B742" s="48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8"/>
      <c r="N742" s="48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8"/>
      <c r="B743" s="48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8"/>
      <c r="N743" s="48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8"/>
      <c r="B744" s="48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8"/>
      <c r="N744" s="48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8"/>
      <c r="B745" s="48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8"/>
      <c r="N745" s="48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8"/>
      <c r="B746" s="48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8"/>
      <c r="N746" s="48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8"/>
      <c r="B747" s="48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8"/>
      <c r="N747" s="48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8"/>
      <c r="B748" s="48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8"/>
      <c r="N748" s="48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8"/>
      <c r="B749" s="48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8"/>
      <c r="N749" s="48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8"/>
      <c r="B750" s="48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8"/>
      <c r="N750" s="48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8"/>
      <c r="B751" s="48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8"/>
      <c r="N751" s="48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8"/>
      <c r="B752" s="48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8"/>
      <c r="N752" s="48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8"/>
      <c r="B753" s="48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8"/>
      <c r="N753" s="48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8"/>
      <c r="B754" s="48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8"/>
      <c r="N754" s="48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8"/>
      <c r="B755" s="48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8"/>
      <c r="N755" s="48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8"/>
      <c r="B756" s="48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8"/>
      <c r="N756" s="48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8"/>
      <c r="B757" s="48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8"/>
      <c r="N757" s="48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8"/>
      <c r="B758" s="48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8"/>
      <c r="N758" s="48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8"/>
      <c r="B759" s="48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8"/>
      <c r="N759" s="48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8"/>
      <c r="B760" s="48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8"/>
      <c r="N760" s="48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8"/>
      <c r="B761" s="48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8"/>
      <c r="N761" s="48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8"/>
      <c r="B762" s="48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8"/>
      <c r="N762" s="48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8"/>
      <c r="B763" s="48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8"/>
      <c r="N763" s="48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8"/>
      <c r="B764" s="48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8"/>
      <c r="N764" s="48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8"/>
      <c r="B765" s="48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8"/>
      <c r="N765" s="48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8"/>
      <c r="B766" s="48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8"/>
      <c r="N766" s="48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8"/>
      <c r="B767" s="48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8"/>
      <c r="N767" s="48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8"/>
      <c r="B768" s="48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8"/>
      <c r="N768" s="48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8"/>
      <c r="B769" s="48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8"/>
      <c r="N769" s="48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8"/>
      <c r="B770" s="48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8"/>
      <c r="N770" s="48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8"/>
      <c r="B771" s="48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8"/>
      <c r="N771" s="48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8"/>
      <c r="B772" s="48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8"/>
      <c r="N772" s="48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8"/>
      <c r="B773" s="48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8"/>
      <c r="N773" s="48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8"/>
      <c r="B774" s="48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8"/>
      <c r="N774" s="48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8"/>
      <c r="B775" s="48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8"/>
      <c r="N775" s="48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8"/>
      <c r="B776" s="48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8"/>
      <c r="N776" s="48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8"/>
      <c r="B777" s="48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8"/>
      <c r="N777" s="48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8"/>
      <c r="B778" s="48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8"/>
      <c r="N778" s="48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8"/>
      <c r="B779" s="48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8"/>
      <c r="N779" s="48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8"/>
      <c r="B780" s="48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8"/>
      <c r="N780" s="48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8"/>
      <c r="B781" s="48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8"/>
      <c r="N781" s="48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8"/>
      <c r="B782" s="48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8"/>
      <c r="N782" s="48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8"/>
      <c r="B783" s="48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8"/>
      <c r="N783" s="48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8"/>
      <c r="B784" s="48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8"/>
      <c r="N784" s="48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8"/>
      <c r="B785" s="48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8"/>
      <c r="N785" s="48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8"/>
      <c r="B786" s="48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8"/>
      <c r="N786" s="48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8"/>
      <c r="B787" s="48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8"/>
      <c r="N787" s="48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8"/>
      <c r="B788" s="48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8"/>
      <c r="N788" s="48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8"/>
      <c r="B789" s="48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8"/>
      <c r="N789" s="48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8"/>
      <c r="B790" s="48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8"/>
      <c r="N790" s="48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8"/>
      <c r="B791" s="48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8"/>
      <c r="N791" s="48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8"/>
      <c r="B792" s="48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8"/>
      <c r="N792" s="48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8"/>
      <c r="B793" s="48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8"/>
      <c r="N793" s="48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8"/>
      <c r="B794" s="48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8"/>
      <c r="N794" s="48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8"/>
      <c r="B795" s="48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8"/>
      <c r="N795" s="48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8"/>
      <c r="B796" s="48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8"/>
      <c r="N796" s="48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8"/>
      <c r="B797" s="48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8"/>
      <c r="N797" s="48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8"/>
      <c r="B798" s="48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8"/>
      <c r="N798" s="48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8"/>
      <c r="B799" s="48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8"/>
      <c r="N799" s="48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8"/>
      <c r="B800" s="48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8"/>
      <c r="N800" s="48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8"/>
      <c r="B801" s="48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8"/>
      <c r="N801" s="48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8"/>
      <c r="B802" s="48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8"/>
      <c r="N802" s="48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8"/>
      <c r="B803" s="48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8"/>
      <c r="N803" s="48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8"/>
      <c r="B804" s="48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8"/>
      <c r="N804" s="48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8"/>
      <c r="B805" s="48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8"/>
      <c r="N805" s="48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8"/>
      <c r="B806" s="48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8"/>
      <c r="N806" s="48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8"/>
      <c r="B807" s="48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8"/>
      <c r="N807" s="48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8"/>
      <c r="B808" s="48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8"/>
      <c r="N808" s="48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8"/>
      <c r="B809" s="48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8"/>
      <c r="N809" s="48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8"/>
      <c r="B810" s="48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8"/>
      <c r="N810" s="48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8"/>
      <c r="B811" s="48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8"/>
      <c r="N811" s="48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8"/>
      <c r="B812" s="48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8"/>
      <c r="N812" s="48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8"/>
      <c r="B813" s="48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8"/>
      <c r="N813" s="48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8"/>
      <c r="B814" s="48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8"/>
      <c r="N814" s="48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8"/>
      <c r="B815" s="48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8"/>
      <c r="N815" s="48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8"/>
      <c r="B816" s="48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8"/>
      <c r="N816" s="48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8"/>
      <c r="B817" s="48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8"/>
      <c r="N817" s="48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8"/>
      <c r="B818" s="48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8"/>
      <c r="N818" s="48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8"/>
      <c r="B819" s="48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8"/>
      <c r="N819" s="48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8"/>
      <c r="B820" s="48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8"/>
      <c r="N820" s="48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8"/>
      <c r="B821" s="48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8"/>
      <c r="N821" s="48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8"/>
      <c r="B822" s="48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8"/>
      <c r="N822" s="48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8"/>
      <c r="B823" s="48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8"/>
      <c r="N823" s="48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8"/>
      <c r="B824" s="48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8"/>
      <c r="N824" s="48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8"/>
      <c r="B825" s="48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8"/>
      <c r="N825" s="48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8"/>
      <c r="B826" s="48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8"/>
      <c r="N826" s="48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8"/>
      <c r="B827" s="48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8"/>
      <c r="N827" s="48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8"/>
      <c r="B828" s="48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8"/>
      <c r="N828" s="48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8"/>
      <c r="B829" s="48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8"/>
      <c r="N829" s="48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8"/>
      <c r="B830" s="48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8"/>
      <c r="N830" s="48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8"/>
      <c r="B831" s="48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8"/>
      <c r="N831" s="48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8"/>
      <c r="B832" s="48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8"/>
      <c r="N832" s="48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8"/>
      <c r="B833" s="48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8"/>
      <c r="N833" s="48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8"/>
      <c r="B834" s="48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8"/>
      <c r="N834" s="48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8"/>
      <c r="B835" s="48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8"/>
      <c r="N835" s="48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8"/>
      <c r="B836" s="48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8"/>
      <c r="N836" s="48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8"/>
      <c r="B837" s="48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8"/>
      <c r="N837" s="48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8"/>
      <c r="B838" s="48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8"/>
      <c r="N838" s="48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8"/>
      <c r="B839" s="48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8"/>
      <c r="N839" s="48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8"/>
      <c r="B840" s="48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8"/>
      <c r="N840" s="48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8"/>
      <c r="B841" s="48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8"/>
      <c r="N841" s="48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8"/>
      <c r="B842" s="48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8"/>
      <c r="N842" s="48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8"/>
      <c r="B843" s="48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8"/>
      <c r="N843" s="48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8"/>
      <c r="B844" s="48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8"/>
      <c r="N844" s="48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8"/>
      <c r="B845" s="48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8"/>
      <c r="N845" s="48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8"/>
      <c r="B846" s="48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8"/>
      <c r="N846" s="48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8"/>
      <c r="B847" s="48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8"/>
      <c r="N847" s="48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8"/>
      <c r="B848" s="48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8"/>
      <c r="N848" s="48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8"/>
      <c r="B849" s="48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8"/>
      <c r="N849" s="48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8"/>
      <c r="B850" s="48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8"/>
      <c r="N850" s="48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8"/>
      <c r="B851" s="48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8"/>
      <c r="N851" s="48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8"/>
      <c r="B852" s="48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8"/>
      <c r="N852" s="48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8"/>
      <c r="B853" s="48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8"/>
      <c r="N853" s="48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8"/>
      <c r="B854" s="48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8"/>
      <c r="N854" s="48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8"/>
      <c r="B855" s="48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8"/>
      <c r="N855" s="48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8"/>
      <c r="B856" s="48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8"/>
      <c r="N856" s="48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8"/>
      <c r="B857" s="48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8"/>
      <c r="N857" s="48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8"/>
      <c r="B858" s="48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8"/>
      <c r="N858" s="48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8"/>
      <c r="B859" s="48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8"/>
      <c r="N859" s="48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8"/>
      <c r="B860" s="48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8"/>
      <c r="N860" s="48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8"/>
      <c r="B861" s="48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8"/>
      <c r="N861" s="48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8"/>
      <c r="B862" s="48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8"/>
      <c r="N862" s="48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8"/>
      <c r="B863" s="48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8"/>
      <c r="N863" s="48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8"/>
      <c r="B864" s="48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8"/>
      <c r="N864" s="48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8"/>
      <c r="B865" s="48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8"/>
      <c r="N865" s="48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8"/>
      <c r="B866" s="48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8"/>
      <c r="N866" s="48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8"/>
      <c r="B867" s="48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8"/>
      <c r="N867" s="48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8"/>
      <c r="B868" s="48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8"/>
      <c r="N868" s="48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8"/>
      <c r="B869" s="48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8"/>
      <c r="N869" s="48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8"/>
      <c r="B870" s="48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8"/>
      <c r="N870" s="48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8"/>
      <c r="B871" s="48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8"/>
      <c r="N871" s="48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8"/>
      <c r="B872" s="48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8"/>
      <c r="N872" s="48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8"/>
      <c r="B873" s="48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8"/>
      <c r="N873" s="48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8"/>
      <c r="B874" s="48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8"/>
      <c r="N874" s="48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8"/>
      <c r="B875" s="48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8"/>
      <c r="N875" s="48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8"/>
      <c r="B876" s="48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8"/>
      <c r="N876" s="48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8"/>
      <c r="B877" s="48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8"/>
      <c r="N877" s="48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8"/>
      <c r="B878" s="48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8"/>
      <c r="N878" s="48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8"/>
      <c r="B879" s="48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8"/>
      <c r="N879" s="48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8"/>
      <c r="B880" s="48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8"/>
      <c r="N880" s="48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8"/>
      <c r="B881" s="48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8"/>
      <c r="N881" s="48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8"/>
      <c r="B882" s="48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8"/>
      <c r="N882" s="48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8"/>
      <c r="B883" s="48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8"/>
      <c r="N883" s="48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8"/>
      <c r="B884" s="48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8"/>
      <c r="N884" s="48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8"/>
      <c r="B885" s="48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8"/>
      <c r="N885" s="48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8"/>
      <c r="B886" s="48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8"/>
      <c r="N886" s="48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8"/>
      <c r="B887" s="48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8"/>
      <c r="N887" s="48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8"/>
      <c r="B888" s="48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8"/>
      <c r="N888" s="48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8"/>
      <c r="B889" s="48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8"/>
      <c r="N889" s="48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8"/>
      <c r="B890" s="48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8"/>
      <c r="N890" s="48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8"/>
      <c r="B891" s="48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8"/>
      <c r="N891" s="48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8"/>
      <c r="B892" s="48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8"/>
      <c r="N892" s="48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8"/>
      <c r="B893" s="48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8"/>
      <c r="N893" s="48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8"/>
      <c r="B894" s="48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8"/>
      <c r="N894" s="48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8"/>
      <c r="B895" s="48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8"/>
      <c r="N895" s="48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8"/>
      <c r="B896" s="48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8"/>
      <c r="N896" s="48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8"/>
      <c r="B897" s="48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8"/>
      <c r="N897" s="48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8"/>
      <c r="B898" s="48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8"/>
      <c r="N898" s="48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8"/>
      <c r="B899" s="48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8"/>
      <c r="N899" s="48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8"/>
      <c r="B900" s="48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8"/>
      <c r="N900" s="48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8"/>
      <c r="B901" s="48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8"/>
      <c r="N901" s="48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8"/>
      <c r="B902" s="48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8"/>
      <c r="N902" s="48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8"/>
      <c r="B903" s="48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8"/>
      <c r="N903" s="48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8"/>
      <c r="B904" s="48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8"/>
      <c r="N904" s="48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8"/>
      <c r="B905" s="48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8"/>
      <c r="N905" s="48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8"/>
      <c r="B906" s="48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8"/>
      <c r="N906" s="48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8"/>
      <c r="B907" s="48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8"/>
      <c r="N907" s="48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8"/>
      <c r="B908" s="48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8"/>
      <c r="N908" s="48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8"/>
      <c r="B909" s="48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8"/>
      <c r="N909" s="48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8"/>
      <c r="B910" s="48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8"/>
      <c r="N910" s="48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8"/>
      <c r="B911" s="48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8"/>
      <c r="N911" s="48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8"/>
      <c r="B912" s="48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8"/>
      <c r="N912" s="48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8"/>
      <c r="B913" s="48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8"/>
      <c r="N913" s="48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8"/>
      <c r="B914" s="48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8"/>
      <c r="N914" s="48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8"/>
      <c r="B915" s="48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8"/>
      <c r="N915" s="48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8"/>
      <c r="B916" s="48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8"/>
      <c r="N916" s="48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8"/>
      <c r="B917" s="48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8"/>
      <c r="N917" s="48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8"/>
      <c r="B918" s="48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8"/>
      <c r="N918" s="48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8"/>
      <c r="B919" s="48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8"/>
      <c r="N919" s="48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8"/>
      <c r="B920" s="48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8"/>
      <c r="N920" s="48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8"/>
      <c r="B921" s="48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8"/>
      <c r="N921" s="48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8"/>
      <c r="B922" s="48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8"/>
      <c r="N922" s="48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8"/>
      <c r="B923" s="48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8"/>
      <c r="N923" s="48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8"/>
      <c r="B924" s="48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8"/>
      <c r="N924" s="48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8"/>
      <c r="B925" s="48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8"/>
      <c r="N925" s="48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8"/>
      <c r="B926" s="48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8"/>
      <c r="N926" s="48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8"/>
      <c r="B927" s="48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8"/>
      <c r="N927" s="48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8"/>
      <c r="B928" s="48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8"/>
      <c r="N928" s="48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8"/>
      <c r="B929" s="48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8"/>
      <c r="N929" s="48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8"/>
      <c r="B930" s="48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8"/>
      <c r="N930" s="48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8"/>
      <c r="B931" s="48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8"/>
      <c r="N931" s="48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8"/>
      <c r="B932" s="48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8"/>
      <c r="N932" s="48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8"/>
      <c r="B933" s="48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8"/>
      <c r="N933" s="48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8"/>
      <c r="B934" s="48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8"/>
      <c r="N934" s="48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8"/>
      <c r="B935" s="48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8"/>
      <c r="N935" s="48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8"/>
      <c r="B936" s="48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8"/>
      <c r="N936" s="48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8"/>
      <c r="B937" s="48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8"/>
      <c r="N937" s="48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8"/>
      <c r="B938" s="48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8"/>
      <c r="N938" s="48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8"/>
      <c r="B939" s="48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8"/>
      <c r="N939" s="48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8"/>
      <c r="B940" s="48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8"/>
      <c r="N940" s="48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8"/>
      <c r="B941" s="48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8"/>
      <c r="N941" s="48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8"/>
      <c r="B942" s="48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8"/>
      <c r="N942" s="48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8"/>
      <c r="B943" s="48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8"/>
      <c r="N943" s="48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8"/>
      <c r="B944" s="48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8"/>
      <c r="N944" s="48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8"/>
      <c r="B945" s="48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8"/>
      <c r="N945" s="48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8"/>
      <c r="B946" s="48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8"/>
      <c r="N946" s="48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8"/>
      <c r="B947" s="48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8"/>
      <c r="N947" s="48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8"/>
      <c r="B948" s="48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8"/>
      <c r="N948" s="48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8"/>
      <c r="B949" s="48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8"/>
      <c r="N949" s="48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8"/>
      <c r="B950" s="48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8"/>
      <c r="N950" s="48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8"/>
      <c r="B951" s="48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8"/>
      <c r="N951" s="48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8"/>
      <c r="B952" s="48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8"/>
      <c r="N952" s="48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8"/>
      <c r="B953" s="48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8"/>
      <c r="N953" s="48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8"/>
      <c r="B954" s="48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8"/>
      <c r="N954" s="48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8"/>
      <c r="B955" s="48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8"/>
      <c r="N955" s="48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8"/>
      <c r="B956" s="48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8"/>
      <c r="N956" s="48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8"/>
      <c r="B957" s="48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8"/>
      <c r="N957" s="48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8"/>
      <c r="B958" s="48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8"/>
      <c r="N958" s="48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8"/>
      <c r="B959" s="48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8"/>
      <c r="N959" s="48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8"/>
      <c r="B960" s="48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8"/>
      <c r="N960" s="48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8"/>
      <c r="B961" s="48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8"/>
      <c r="N961" s="48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8"/>
      <c r="B962" s="48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8"/>
      <c r="N962" s="48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8"/>
      <c r="B963" s="48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8"/>
      <c r="N963" s="48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8"/>
      <c r="B964" s="48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8"/>
      <c r="N964" s="48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8"/>
      <c r="B965" s="48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8"/>
      <c r="N965" s="48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8"/>
      <c r="B966" s="48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8"/>
      <c r="N966" s="48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8"/>
      <c r="B967" s="48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8"/>
      <c r="N967" s="48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8"/>
      <c r="B968" s="48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8"/>
      <c r="N968" s="48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8"/>
      <c r="B969" s="48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8"/>
      <c r="N969" s="48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8"/>
      <c r="B970" s="48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8"/>
      <c r="N970" s="48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8"/>
      <c r="B971" s="48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8"/>
      <c r="N971" s="48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8"/>
      <c r="B972" s="48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8"/>
      <c r="N972" s="48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8"/>
      <c r="B973" s="48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8"/>
      <c r="N973" s="48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8"/>
      <c r="B974" s="48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8"/>
      <c r="N974" s="48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8"/>
      <c r="B975" s="48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8"/>
      <c r="N975" s="48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8"/>
      <c r="B976" s="48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8"/>
      <c r="N976" s="48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8"/>
      <c r="B977" s="48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8"/>
      <c r="N977" s="48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8"/>
      <c r="B978" s="48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8"/>
      <c r="N978" s="48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8"/>
      <c r="B979" s="48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8"/>
      <c r="N979" s="48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8"/>
      <c r="B980" s="48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8"/>
      <c r="N980" s="48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8"/>
      <c r="B981" s="48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8"/>
      <c r="N981" s="48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8"/>
      <c r="B982" s="48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8"/>
      <c r="N982" s="48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8"/>
      <c r="B983" s="48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8"/>
      <c r="N983" s="48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8"/>
      <c r="B984" s="48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8"/>
      <c r="N984" s="48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8"/>
      <c r="B985" s="48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8"/>
      <c r="N985" s="48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8"/>
      <c r="B986" s="48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8"/>
      <c r="N986" s="48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8"/>
      <c r="B987" s="48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8"/>
      <c r="N987" s="48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8"/>
      <c r="B988" s="48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8"/>
      <c r="N988" s="48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8"/>
      <c r="B989" s="48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8"/>
      <c r="N989" s="48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8"/>
      <c r="B990" s="48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8"/>
      <c r="N990" s="48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8"/>
      <c r="B991" s="48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8"/>
      <c r="N991" s="48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8"/>
      <c r="B992" s="48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8"/>
      <c r="N992" s="48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8"/>
      <c r="B993" s="48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8"/>
      <c r="N993" s="48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8"/>
      <c r="B994" s="48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8"/>
      <c r="N994" s="48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8"/>
      <c r="B995" s="48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8"/>
      <c r="N995" s="48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8"/>
      <c r="B996" s="48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8"/>
      <c r="N996" s="48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8"/>
      <c r="B997" s="48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8"/>
      <c r="N997" s="48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8"/>
      <c r="B998" s="48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8"/>
      <c r="N998" s="48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8"/>
      <c r="B999" s="48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8"/>
      <c r="N999" s="48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8"/>
      <c r="B1000" s="48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8"/>
      <c r="N1000" s="48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6:K91">
    <cfRule type="cellIs" dxfId="3" priority="1" operator="equal">
      <formula>"A"</formula>
    </cfRule>
  </conditionalFormatting>
  <conditionalFormatting sqref="K6:K91">
    <cfRule type="cellIs" dxfId="4" priority="2" operator="equal">
      <formula>"B"</formula>
    </cfRule>
  </conditionalFormatting>
  <conditionalFormatting sqref="K6:K91">
    <cfRule type="cellIs" dxfId="5" priority="3" operator="equal">
      <formula>"C"</formula>
    </cfRule>
  </conditionalFormatting>
  <conditionalFormatting sqref="K6:K91">
    <cfRule type="cellIs" dxfId="6" priority="4" operator="equal">
      <formula>"D"</formula>
    </cfRule>
  </conditionalFormatting>
  <conditionalFormatting sqref="K6:K91">
    <cfRule type="cellIs" dxfId="7" priority="5" operator="equal">
      <formula>"E"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3" max="3" width="31.25"/>
    <col customWidth="1" min="4" max="4" width="8.13"/>
    <col customWidth="1" min="5" max="5" width="9.88"/>
  </cols>
  <sheetData>
    <row r="1">
      <c r="A1" s="74" t="s">
        <v>120</v>
      </c>
      <c r="B1" s="75"/>
    </row>
    <row r="2">
      <c r="A2" s="75"/>
      <c r="B2" s="75"/>
    </row>
    <row r="3">
      <c r="A3" s="19" t="s">
        <v>143</v>
      </c>
      <c r="B3" s="19" t="s">
        <v>2</v>
      </c>
      <c r="C3" s="19" t="s">
        <v>3</v>
      </c>
      <c r="D3" s="76" t="s">
        <v>138</v>
      </c>
      <c r="E3" s="76" t="s">
        <v>140</v>
      </c>
    </row>
    <row r="4">
      <c r="A4" s="23"/>
      <c r="B4" s="23"/>
      <c r="C4" s="23"/>
      <c r="D4" s="23"/>
      <c r="E4" s="23"/>
      <c r="F4" s="77"/>
      <c r="G4" s="77"/>
      <c r="H4" s="77"/>
      <c r="I4" s="77"/>
      <c r="J4" s="77"/>
    </row>
    <row r="5">
      <c r="A5" s="63">
        <f>'INPUT DAFTAR PESERTA'!A4</f>
        <v>1</v>
      </c>
      <c r="B5" s="78">
        <f>'INPUT DAFTAR PESERTA'!B4</f>
        <v>2309056046</v>
      </c>
      <c r="C5" s="26" t="str">
        <f>'INPUT DAFTAR PESERTA'!C4</f>
        <v>Erwin</v>
      </c>
      <c r="D5" s="28">
        <f>'NILAI AKHIR'!I6</f>
        <v>48.71875</v>
      </c>
      <c r="E5" s="63" t="str">
        <f>'NILAI AKHIR'!K6</f>
        <v>D</v>
      </c>
    </row>
    <row r="6">
      <c r="A6" s="63">
        <f>'INPUT DAFTAR PESERTA'!A5</f>
        <v>2</v>
      </c>
      <c r="B6" s="78">
        <f>'INPUT DAFTAR PESERTA'!B5</f>
        <v>2409056015</v>
      </c>
      <c r="C6" s="26" t="str">
        <f>'INPUT DAFTAR PESERTA'!C5</f>
        <v>Denny Setiawan</v>
      </c>
      <c r="D6" s="28">
        <f>'NILAI AKHIR'!I7</f>
        <v>10.1875</v>
      </c>
      <c r="E6" s="63" t="str">
        <f>'NILAI AKHIR'!K7</f>
        <v>E</v>
      </c>
      <c r="G6" s="79" t="s">
        <v>144</v>
      </c>
      <c r="H6" s="79" t="s">
        <v>145</v>
      </c>
    </row>
    <row r="7">
      <c r="A7" s="63">
        <f>'INPUT DAFTAR PESERTA'!A6</f>
        <v>3</v>
      </c>
      <c r="B7" s="78">
        <f>'INPUT DAFTAR PESERTA'!B6</f>
        <v>2409056031</v>
      </c>
      <c r="C7" s="26" t="str">
        <f>'INPUT DAFTAR PESERTA'!C6</f>
        <v>Rahmad Oka Aufa Ramadan</v>
      </c>
      <c r="D7" s="28">
        <f>'NILAI AKHIR'!I8</f>
        <v>10.1875</v>
      </c>
      <c r="E7" s="63" t="str">
        <f>'NILAI AKHIR'!K8</f>
        <v>E</v>
      </c>
      <c r="G7" s="80" t="s">
        <v>146</v>
      </c>
      <c r="H7" s="80">
        <f>COUNTIF(E5:E98,"A")</f>
        <v>5</v>
      </c>
    </row>
    <row r="8">
      <c r="A8" s="63">
        <f>'INPUT DAFTAR PESERTA'!A7</f>
        <v>4</v>
      </c>
      <c r="B8" s="78">
        <f>'INPUT DAFTAR PESERTA'!B7</f>
        <v>2409056032</v>
      </c>
      <c r="C8" s="26" t="str">
        <f>'INPUT DAFTAR PESERTA'!C7</f>
        <v>Stewa Syaifa Bakhid</v>
      </c>
      <c r="D8" s="28">
        <f>'NILAI AKHIR'!I9</f>
        <v>10.1875</v>
      </c>
      <c r="E8" s="63" t="str">
        <f>'NILAI AKHIR'!K9</f>
        <v>E</v>
      </c>
      <c r="G8" s="80" t="s">
        <v>147</v>
      </c>
      <c r="H8" s="80">
        <f>COUNTIF(E5:E98,"B")</f>
        <v>22</v>
      </c>
    </row>
    <row r="9">
      <c r="A9" s="63">
        <f>'INPUT DAFTAR PESERTA'!A8</f>
        <v>5</v>
      </c>
      <c r="B9" s="78">
        <f>'INPUT DAFTAR PESERTA'!B8</f>
        <v>2409056033</v>
      </c>
      <c r="C9" s="26" t="str">
        <f>'INPUT DAFTAR PESERTA'!C8</f>
        <v>Adnan Fadil Annur</v>
      </c>
      <c r="D9" s="28">
        <f>'NILAI AKHIR'!I10</f>
        <v>17.59375</v>
      </c>
      <c r="E9" s="63" t="str">
        <f>'NILAI AKHIR'!K10</f>
        <v>E</v>
      </c>
      <c r="G9" s="80" t="s">
        <v>148</v>
      </c>
      <c r="H9" s="80">
        <f>COUNTIF(E5:E98,"C")</f>
        <v>8</v>
      </c>
    </row>
    <row r="10">
      <c r="A10" s="63">
        <f>'INPUT DAFTAR PESERTA'!A9</f>
        <v>6</v>
      </c>
      <c r="B10" s="78">
        <f>'INPUT DAFTAR PESERTA'!B9</f>
        <v>2409056039</v>
      </c>
      <c r="C10" s="26" t="str">
        <f>'INPUT DAFTAR PESERTA'!C9</f>
        <v>Muhammad Hasbi Ash Shiddieqy</v>
      </c>
      <c r="D10" s="28">
        <f>'NILAI AKHIR'!I11</f>
        <v>10.1875</v>
      </c>
      <c r="E10" s="63" t="str">
        <f>'NILAI AKHIR'!K11</f>
        <v>E</v>
      </c>
      <c r="G10" s="80" t="s">
        <v>149</v>
      </c>
      <c r="H10" s="80">
        <f>COUNTIF(E5:E98,"D")</f>
        <v>5</v>
      </c>
    </row>
    <row r="11">
      <c r="A11" s="63">
        <f>'INPUT DAFTAR PESERTA'!A10</f>
        <v>7</v>
      </c>
      <c r="B11" s="78">
        <f>'INPUT DAFTAR PESERTA'!B10</f>
        <v>2409056044</v>
      </c>
      <c r="C11" s="26" t="str">
        <f>'INPUT DAFTAR PESERTA'!C10</f>
        <v>Siti Aisyah Hasanah</v>
      </c>
      <c r="D11" s="28">
        <f>'NILAI AKHIR'!I12</f>
        <v>10.1875</v>
      </c>
      <c r="E11" s="63" t="str">
        <f>'NILAI AKHIR'!K12</f>
        <v>E</v>
      </c>
      <c r="G11" s="80" t="s">
        <v>150</v>
      </c>
      <c r="H11" s="80">
        <f>COUNTIF(E5:E98,"E")</f>
        <v>46</v>
      </c>
    </row>
    <row r="12">
      <c r="A12" s="63">
        <f>'INPUT DAFTAR PESERTA'!A11</f>
        <v>8</v>
      </c>
      <c r="B12" s="78">
        <f>'INPUT DAFTAR PESERTA'!B11</f>
        <v>2409056047</v>
      </c>
      <c r="C12" s="26" t="str">
        <f>'INPUT DAFTAR PESERTA'!C11</f>
        <v>D’arch Hweng Junior</v>
      </c>
      <c r="D12" s="28">
        <f>'NILAI AKHIR'!I13</f>
        <v>10.1875</v>
      </c>
      <c r="E12" s="63" t="str">
        <f>'NILAI AKHIR'!K13</f>
        <v>E</v>
      </c>
    </row>
    <row r="13">
      <c r="A13" s="63">
        <f>'INPUT DAFTAR PESERTA'!A12</f>
        <v>9</v>
      </c>
      <c r="B13" s="78">
        <f>'INPUT DAFTAR PESERTA'!B12</f>
        <v>2409056052</v>
      </c>
      <c r="C13" s="26" t="str">
        <f>'INPUT DAFTAR PESERTA'!C12</f>
        <v>Andi Syaifullah Al Maslulil Agri</v>
      </c>
      <c r="D13" s="28">
        <f>'NILAI AKHIR'!I14</f>
        <v>10.1875</v>
      </c>
      <c r="E13" s="63" t="str">
        <f>'NILAI AKHIR'!K14</f>
        <v>E</v>
      </c>
    </row>
    <row r="14">
      <c r="A14" s="63">
        <f>'INPUT DAFTAR PESERTA'!A13</f>
        <v>10</v>
      </c>
      <c r="B14" s="78">
        <f>'INPUT DAFTAR PESERTA'!B13</f>
        <v>2409056058</v>
      </c>
      <c r="C14" s="26" t="str">
        <f>'INPUT DAFTAR PESERTA'!C13</f>
        <v>Andre Pratama</v>
      </c>
      <c r="D14" s="28">
        <f>'NILAI AKHIR'!I15</f>
        <v>10.1875</v>
      </c>
      <c r="E14" s="63" t="str">
        <f>'NILAI AKHIR'!K15</f>
        <v>E</v>
      </c>
    </row>
    <row r="15">
      <c r="A15" s="63">
        <f>'INPUT DAFTAR PESERTA'!A14</f>
        <v>11</v>
      </c>
      <c r="B15" s="78">
        <f>'INPUT DAFTAR PESERTA'!B14</f>
        <v>2409056067</v>
      </c>
      <c r="C15" s="26" t="str">
        <f>'INPUT DAFTAR PESERTA'!C14</f>
        <v>Andi Afif Najib Abdillah</v>
      </c>
      <c r="D15" s="28">
        <f>'NILAI AKHIR'!I16</f>
        <v>10.1875</v>
      </c>
      <c r="E15" s="63" t="str">
        <f>'NILAI AKHIR'!K16</f>
        <v>E</v>
      </c>
    </row>
    <row r="16">
      <c r="A16" s="63">
        <f>'INPUT DAFTAR PESERTA'!A15</f>
        <v>12</v>
      </c>
      <c r="B16" s="78">
        <f>'INPUT DAFTAR PESERTA'!B15</f>
        <v>2409056068</v>
      </c>
      <c r="C16" s="26" t="str">
        <f>'INPUT DAFTAR PESERTA'!C15</f>
        <v>Christianus Gonzaga</v>
      </c>
      <c r="D16" s="28">
        <f>'NILAI AKHIR'!I17</f>
        <v>10.1875</v>
      </c>
      <c r="E16" s="63" t="str">
        <f>'NILAI AKHIR'!K17</f>
        <v>E</v>
      </c>
    </row>
    <row r="17">
      <c r="A17" s="63">
        <f>'INPUT DAFTAR PESERTA'!A16</f>
        <v>13</v>
      </c>
      <c r="B17" s="78">
        <f>'INPUT DAFTAR PESERTA'!B16</f>
        <v>2509056001</v>
      </c>
      <c r="C17" s="26" t="str">
        <f>'INPUT DAFTAR PESERTA'!C16</f>
        <v>Mutiara Suci Rahmadani</v>
      </c>
      <c r="D17" s="28">
        <f>'NILAI AKHIR'!I18</f>
        <v>81.10625</v>
      </c>
      <c r="E17" s="63" t="str">
        <f>'NILAI AKHIR'!K18</f>
        <v>A</v>
      </c>
    </row>
    <row r="18">
      <c r="A18" s="63">
        <f>'INPUT DAFTAR PESERTA'!A17</f>
        <v>14</v>
      </c>
      <c r="B18" s="78">
        <f>'INPUT DAFTAR PESERTA'!B17</f>
        <v>2509056002</v>
      </c>
      <c r="C18" s="26" t="str">
        <f>'INPUT DAFTAR PESERTA'!C17</f>
        <v>Adhwa Ghinna Febrianty</v>
      </c>
      <c r="D18" s="28">
        <f>'NILAI AKHIR'!I19</f>
        <v>73.9125</v>
      </c>
      <c r="E18" s="63" t="str">
        <f>'NILAI AKHIR'!K19</f>
        <v>B</v>
      </c>
    </row>
    <row r="19">
      <c r="A19" s="63">
        <f>'INPUT DAFTAR PESERTA'!A18</f>
        <v>15</v>
      </c>
      <c r="B19" s="78">
        <f>'INPUT DAFTAR PESERTA'!B18</f>
        <v>2509056003</v>
      </c>
      <c r="C19" s="26" t="str">
        <f>'INPUT DAFTAR PESERTA'!C18</f>
        <v>Muhammad Daffa Alifiansyah</v>
      </c>
      <c r="D19" s="28">
        <f>'NILAI AKHIR'!I20</f>
        <v>77.64375</v>
      </c>
      <c r="E19" s="63" t="str">
        <f>'NILAI AKHIR'!K20</f>
        <v>B</v>
      </c>
    </row>
    <row r="20">
      <c r="A20" s="63">
        <f>'INPUT DAFTAR PESERTA'!A19</f>
        <v>16</v>
      </c>
      <c r="B20" s="78">
        <f>'INPUT DAFTAR PESERTA'!B19</f>
        <v>2509056004</v>
      </c>
      <c r="C20" s="26" t="str">
        <f>'INPUT DAFTAR PESERTA'!C19</f>
        <v>Adya Nur Adzhuriva</v>
      </c>
      <c r="D20" s="28">
        <f>'NILAI AKHIR'!I21</f>
        <v>18.94375</v>
      </c>
      <c r="E20" s="63" t="str">
        <f>'NILAI AKHIR'!K21</f>
        <v>E</v>
      </c>
    </row>
    <row r="21">
      <c r="A21" s="63">
        <f>'INPUT DAFTAR PESERTA'!A20</f>
        <v>17</v>
      </c>
      <c r="B21" s="78">
        <f>'INPUT DAFTAR PESERTA'!B20</f>
        <v>2509056005</v>
      </c>
      <c r="C21" s="26" t="str">
        <f>'INPUT DAFTAR PESERTA'!C20</f>
        <v>Cheva Fasha Prathama</v>
      </c>
      <c r="D21" s="28">
        <f>'NILAI AKHIR'!I22</f>
        <v>1.875</v>
      </c>
      <c r="E21" s="63" t="str">
        <f>'NILAI AKHIR'!K22</f>
        <v>E</v>
      </c>
    </row>
    <row r="22">
      <c r="A22" s="63">
        <f>'INPUT DAFTAR PESERTA'!A21</f>
        <v>18</v>
      </c>
      <c r="B22" s="78">
        <f>'INPUT DAFTAR PESERTA'!B21</f>
        <v>2509056006</v>
      </c>
      <c r="C22" s="26" t="str">
        <f>'INPUT DAFTAR PESERTA'!C21</f>
        <v>Muhammad Zaki Fadillah</v>
      </c>
      <c r="D22" s="28">
        <f>'NILAI AKHIR'!I23</f>
        <v>8.875</v>
      </c>
      <c r="E22" s="63" t="str">
        <f>'NILAI AKHIR'!K23</f>
        <v>E</v>
      </c>
    </row>
    <row r="23">
      <c r="A23" s="63">
        <f>'INPUT DAFTAR PESERTA'!A22</f>
        <v>19</v>
      </c>
      <c r="B23" s="78">
        <f>'INPUT DAFTAR PESERTA'!B22</f>
        <v>2509056007</v>
      </c>
      <c r="C23" s="26" t="str">
        <f>'INPUT DAFTAR PESERTA'!C22</f>
        <v>Widdyanti Fetrina Sefriany</v>
      </c>
      <c r="D23" s="28">
        <f>'NILAI AKHIR'!I24</f>
        <v>10.675</v>
      </c>
      <c r="E23" s="63" t="str">
        <f>'NILAI AKHIR'!K24</f>
        <v>E</v>
      </c>
    </row>
    <row r="24">
      <c r="A24" s="63">
        <f>'INPUT DAFTAR PESERTA'!A23</f>
        <v>20</v>
      </c>
      <c r="B24" s="78">
        <f>'INPUT DAFTAR PESERTA'!B23</f>
        <v>2509056008</v>
      </c>
      <c r="C24" s="26" t="str">
        <f>'INPUT DAFTAR PESERTA'!C23</f>
        <v>Gita Mufidatuzahrah</v>
      </c>
      <c r="D24" s="28">
        <f>'NILAI AKHIR'!I25</f>
        <v>24.25625</v>
      </c>
      <c r="E24" s="63" t="str">
        <f>'NILAI AKHIR'!K25</f>
        <v>E</v>
      </c>
    </row>
    <row r="25">
      <c r="A25" s="63">
        <f>'INPUT DAFTAR PESERTA'!A24</f>
        <v>21</v>
      </c>
      <c r="B25" s="78">
        <f>'INPUT DAFTAR PESERTA'!B24</f>
        <v>2509056009</v>
      </c>
      <c r="C25" s="26" t="str">
        <f>'INPUT DAFTAR PESERTA'!C24</f>
        <v>Muhammad Hersal Ramadhan</v>
      </c>
      <c r="D25" s="28">
        <f>'NILAI AKHIR'!I26</f>
        <v>74.58125</v>
      </c>
      <c r="E25" s="63" t="str">
        <f>'NILAI AKHIR'!K26</f>
        <v>B</v>
      </c>
    </row>
    <row r="26">
      <c r="A26" s="63">
        <f>'INPUT DAFTAR PESERTA'!A25</f>
        <v>22</v>
      </c>
      <c r="B26" s="78">
        <f>'INPUT DAFTAR PESERTA'!B25</f>
        <v>2509056010</v>
      </c>
      <c r="C26" s="26" t="str">
        <f>'INPUT DAFTAR PESERTA'!C25</f>
        <v>Chikal Fattiya Putri</v>
      </c>
      <c r="D26" s="28">
        <f>'NILAI AKHIR'!I27</f>
        <v>19.25625</v>
      </c>
      <c r="E26" s="63" t="str">
        <f>'NILAI AKHIR'!K27</f>
        <v>E</v>
      </c>
    </row>
    <row r="27">
      <c r="A27" s="63">
        <f>'INPUT DAFTAR PESERTA'!A26</f>
        <v>23</v>
      </c>
      <c r="B27" s="78">
        <f>'INPUT DAFTAR PESERTA'!B26</f>
        <v>2509056011</v>
      </c>
      <c r="C27" s="26" t="str">
        <f>'INPUT DAFTAR PESERTA'!C26</f>
        <v>Muhammad Daffa Lailitama Sinaga</v>
      </c>
      <c r="D27" s="28">
        <f>'NILAI AKHIR'!I28</f>
        <v>81.4125</v>
      </c>
      <c r="E27" s="63" t="str">
        <f>'NILAI AKHIR'!K28</f>
        <v>A</v>
      </c>
    </row>
    <row r="28">
      <c r="A28" s="63">
        <f>'INPUT DAFTAR PESERTA'!A27</f>
        <v>24</v>
      </c>
      <c r="B28" s="78">
        <f>'INPUT DAFTAR PESERTA'!B27</f>
        <v>2509056012</v>
      </c>
      <c r="C28" s="26" t="str">
        <f>'INPUT DAFTAR PESERTA'!C27</f>
        <v>Sera Ayu Ningsih</v>
      </c>
      <c r="D28" s="28">
        <f>'NILAI AKHIR'!I29</f>
        <v>61</v>
      </c>
      <c r="E28" s="63" t="str">
        <f>'NILAI AKHIR'!K29</f>
        <v>C</v>
      </c>
    </row>
    <row r="29">
      <c r="A29" s="63">
        <f>'INPUT DAFTAR PESERTA'!A28</f>
        <v>25</v>
      </c>
      <c r="B29" s="78">
        <f>'INPUT DAFTAR PESERTA'!B28</f>
        <v>2509056013</v>
      </c>
      <c r="C29" s="26" t="str">
        <f>'INPUT DAFTAR PESERTA'!C28</f>
        <v>Naufal Firdaus Syauqi</v>
      </c>
      <c r="D29" s="28">
        <f>'NILAI AKHIR'!I30</f>
        <v>70.18125</v>
      </c>
      <c r="E29" s="63" t="str">
        <f>'NILAI AKHIR'!K30</f>
        <v>B</v>
      </c>
    </row>
    <row r="30">
      <c r="A30" s="63">
        <f>'INPUT DAFTAR PESERTA'!A29</f>
        <v>26</v>
      </c>
      <c r="B30" s="78">
        <f>'INPUT DAFTAR PESERTA'!B29</f>
        <v>2509056014</v>
      </c>
      <c r="C30" s="26" t="str">
        <f>'INPUT DAFTAR PESERTA'!C29</f>
        <v>Alexander Radja Roben Saragih</v>
      </c>
      <c r="D30" s="28">
        <f>'NILAI AKHIR'!I31</f>
        <v>81.4875</v>
      </c>
      <c r="E30" s="63" t="str">
        <f>'NILAI AKHIR'!K31</f>
        <v>A</v>
      </c>
    </row>
    <row r="31">
      <c r="A31" s="63">
        <f>'INPUT DAFTAR PESERTA'!A30</f>
        <v>27</v>
      </c>
      <c r="B31" s="78">
        <f>'INPUT DAFTAR PESERTA'!B30</f>
        <v>2509056015</v>
      </c>
      <c r="C31" s="26" t="str">
        <f>'INPUT DAFTAR PESERTA'!C30</f>
        <v>Tiara Aqila Azzahra</v>
      </c>
      <c r="D31" s="28">
        <f>'NILAI AKHIR'!I32</f>
        <v>74.9375</v>
      </c>
      <c r="E31" s="63" t="str">
        <f>'NILAI AKHIR'!K32</f>
        <v>B</v>
      </c>
    </row>
    <row r="32">
      <c r="A32" s="63">
        <f>'INPUT DAFTAR PESERTA'!A31</f>
        <v>28</v>
      </c>
      <c r="B32" s="78">
        <f>'INPUT DAFTAR PESERTA'!B31</f>
        <v>2509056016</v>
      </c>
      <c r="C32" s="26" t="str">
        <f>'INPUT DAFTAR PESERTA'!C31</f>
        <v>Muhammad Haikal Islamy Saputra</v>
      </c>
      <c r="D32" s="28">
        <f>'NILAI AKHIR'!I33</f>
        <v>73.71875</v>
      </c>
      <c r="E32" s="63" t="str">
        <f>'NILAI AKHIR'!K33</f>
        <v>B</v>
      </c>
    </row>
    <row r="33">
      <c r="A33" s="63">
        <f>'INPUT DAFTAR PESERTA'!A32</f>
        <v>29</v>
      </c>
      <c r="B33" s="78">
        <f>'INPUT DAFTAR PESERTA'!B32</f>
        <v>2509056017</v>
      </c>
      <c r="C33" s="26" t="str">
        <f>'INPUT DAFTAR PESERTA'!C32</f>
        <v>Faatihur Rizki</v>
      </c>
      <c r="D33" s="28">
        <f>'NILAI AKHIR'!I34</f>
        <v>72.2125</v>
      </c>
      <c r="E33" s="63" t="str">
        <f>'NILAI AKHIR'!K34</f>
        <v>B</v>
      </c>
    </row>
    <row r="34">
      <c r="A34" s="63">
        <f>'INPUT DAFTAR PESERTA'!A33</f>
        <v>30</v>
      </c>
      <c r="B34" s="78">
        <f>'INPUT DAFTAR PESERTA'!B33</f>
        <v>2509056018</v>
      </c>
      <c r="C34" s="26" t="str">
        <f>'INPUT DAFTAR PESERTA'!C33</f>
        <v>Rashya Annara Salsabilla Tomasoa</v>
      </c>
      <c r="D34" s="28">
        <f>'NILAI AKHIR'!I35</f>
        <v>80.7375</v>
      </c>
      <c r="E34" s="63" t="str">
        <f>'NILAI AKHIR'!K35</f>
        <v>A</v>
      </c>
    </row>
    <row r="35">
      <c r="A35" s="63">
        <f>'INPUT DAFTAR PESERTA'!A34</f>
        <v>31</v>
      </c>
      <c r="B35" s="78">
        <f>'INPUT DAFTAR PESERTA'!B34</f>
        <v>2509056019</v>
      </c>
      <c r="C35" s="26" t="str">
        <f>'INPUT DAFTAR PESERTA'!C34</f>
        <v>Desta Novie Sulfianie</v>
      </c>
      <c r="D35" s="28">
        <f>'NILAI AKHIR'!I36</f>
        <v>28.90625</v>
      </c>
      <c r="E35" s="63" t="str">
        <f>'NILAI AKHIR'!K36</f>
        <v>E</v>
      </c>
    </row>
    <row r="36">
      <c r="A36" s="63">
        <f>'INPUT DAFTAR PESERTA'!A35</f>
        <v>32</v>
      </c>
      <c r="B36" s="78">
        <f>'INPUT DAFTAR PESERTA'!B35</f>
        <v>2509056020</v>
      </c>
      <c r="C36" s="26" t="str">
        <f>'INPUT DAFTAR PESERTA'!C35</f>
        <v>Chandra Ahmad Dwinata</v>
      </c>
      <c r="D36" s="28">
        <f>'NILAI AKHIR'!I37</f>
        <v>54.93125</v>
      </c>
      <c r="E36" s="63" t="str">
        <f>'NILAI AKHIR'!K37</f>
        <v>D</v>
      </c>
    </row>
    <row r="37">
      <c r="A37" s="63">
        <f>'INPUT DAFTAR PESERTA'!A36</f>
        <v>33</v>
      </c>
      <c r="B37" s="78">
        <f>'INPUT DAFTAR PESERTA'!B36</f>
        <v>2509056021</v>
      </c>
      <c r="C37" s="26" t="str">
        <f>'INPUT DAFTAR PESERTA'!C36</f>
        <v>Sopando Imanuel Sipayung</v>
      </c>
      <c r="D37" s="28">
        <f>'NILAI AKHIR'!I38</f>
        <v>78.40625</v>
      </c>
      <c r="E37" s="63" t="str">
        <f>'NILAI AKHIR'!K38</f>
        <v>B</v>
      </c>
    </row>
    <row r="38">
      <c r="A38" s="63">
        <f>'INPUT DAFTAR PESERTA'!A37</f>
        <v>34</v>
      </c>
      <c r="B38" s="78">
        <f>'INPUT DAFTAR PESERTA'!B37</f>
        <v>2509056022</v>
      </c>
      <c r="C38" s="26" t="str">
        <f>'INPUT DAFTAR PESERTA'!C37</f>
        <v>Rayhan Winata Prabowo</v>
      </c>
      <c r="D38" s="28">
        <f>'NILAI AKHIR'!I39</f>
        <v>74.86875</v>
      </c>
      <c r="E38" s="63" t="str">
        <f>'NILAI AKHIR'!K39</f>
        <v>B</v>
      </c>
    </row>
    <row r="39">
      <c r="A39" s="63">
        <f>'INPUT DAFTAR PESERTA'!A38</f>
        <v>35</v>
      </c>
      <c r="B39" s="78">
        <f>'INPUT DAFTAR PESERTA'!B38</f>
        <v>2509056023</v>
      </c>
      <c r="C39" s="26" t="str">
        <f>'INPUT DAFTAR PESERTA'!C38</f>
        <v>Ahmad Din Nejad</v>
      </c>
      <c r="D39" s="28">
        <f>'NILAI AKHIR'!I40</f>
        <v>28.35</v>
      </c>
      <c r="E39" s="63" t="str">
        <f>'NILAI AKHIR'!K40</f>
        <v>E</v>
      </c>
    </row>
    <row r="40">
      <c r="A40" s="63">
        <f>'INPUT DAFTAR PESERTA'!A39</f>
        <v>36</v>
      </c>
      <c r="B40" s="78">
        <f>'INPUT DAFTAR PESERTA'!B39</f>
        <v>2509056024</v>
      </c>
      <c r="C40" s="26" t="str">
        <f>'INPUT DAFTAR PESERTA'!C39</f>
        <v>Nabil Candra Hartanto</v>
      </c>
      <c r="D40" s="28">
        <f>'NILAI AKHIR'!I41</f>
        <v>70.8125</v>
      </c>
      <c r="E40" s="63" t="str">
        <f>'NILAI AKHIR'!K41</f>
        <v>B</v>
      </c>
    </row>
    <row r="41">
      <c r="A41" s="63">
        <f>'INPUT DAFTAR PESERTA'!A40</f>
        <v>37</v>
      </c>
      <c r="B41" s="78">
        <f>'INPUT DAFTAR PESERTA'!B40</f>
        <v>2509056025</v>
      </c>
      <c r="C41" s="26" t="str">
        <f>'INPUT DAFTAR PESERTA'!C40</f>
        <v>Muhammad Rifqi Ibnu Malik</v>
      </c>
      <c r="D41" s="28">
        <f>'NILAI AKHIR'!I42</f>
        <v>29.49375</v>
      </c>
      <c r="E41" s="63" t="str">
        <f>'NILAI AKHIR'!K42</f>
        <v>E</v>
      </c>
    </row>
    <row r="42">
      <c r="A42" s="63">
        <f>'INPUT DAFTAR PESERTA'!A41</f>
        <v>38</v>
      </c>
      <c r="B42" s="78">
        <f>'INPUT DAFTAR PESERTA'!B41</f>
        <v>2509056026</v>
      </c>
      <c r="C42" s="26" t="str">
        <f>'INPUT DAFTAR PESERTA'!C41</f>
        <v>Aditya Alfiansyah</v>
      </c>
      <c r="D42" s="28">
        <f>'NILAI AKHIR'!I43</f>
        <v>17.55</v>
      </c>
      <c r="E42" s="63" t="str">
        <f>'NILAI AKHIR'!K43</f>
        <v>E</v>
      </c>
    </row>
    <row r="43">
      <c r="A43" s="63">
        <f>'INPUT DAFTAR PESERTA'!A42</f>
        <v>39</v>
      </c>
      <c r="B43" s="78">
        <f>'INPUT DAFTAR PESERTA'!B42</f>
        <v>2509056027</v>
      </c>
      <c r="C43" s="26" t="str">
        <f>'INPUT DAFTAR PESERTA'!C42</f>
        <v>Muhammad Syauqi Nail</v>
      </c>
      <c r="D43" s="28">
        <f>'NILAI AKHIR'!I44</f>
        <v>79.74375</v>
      </c>
      <c r="E43" s="63" t="str">
        <f>'NILAI AKHIR'!K44</f>
        <v>B</v>
      </c>
    </row>
    <row r="44">
      <c r="A44" s="63">
        <f>'INPUT DAFTAR PESERTA'!A43</f>
        <v>40</v>
      </c>
      <c r="B44" s="78">
        <f>'INPUT DAFTAR PESERTA'!B43</f>
        <v>2509056028</v>
      </c>
      <c r="C44" s="26" t="str">
        <f>'INPUT DAFTAR PESERTA'!C43</f>
        <v>Muhammad Rizky Nugraha</v>
      </c>
      <c r="D44" s="28">
        <f>'NILAI AKHIR'!I45</f>
        <v>70.89375</v>
      </c>
      <c r="E44" s="63" t="str">
        <f>'NILAI AKHIR'!K45</f>
        <v>B</v>
      </c>
    </row>
    <row r="45">
      <c r="A45" s="63">
        <f>'INPUT DAFTAR PESERTA'!A44</f>
        <v>41</v>
      </c>
      <c r="B45" s="78">
        <f>'INPUT DAFTAR PESERTA'!B44</f>
        <v>2509056029</v>
      </c>
      <c r="C45" s="26" t="str">
        <f>'INPUT DAFTAR PESERTA'!C44</f>
        <v>Reyska Bintang Afdillah</v>
      </c>
      <c r="D45" s="28">
        <f>'NILAI AKHIR'!I46</f>
        <v>31.91875</v>
      </c>
      <c r="E45" s="63" t="str">
        <f>'NILAI AKHIR'!K46</f>
        <v>E</v>
      </c>
    </row>
    <row r="46">
      <c r="A46" s="63">
        <f>'INPUT DAFTAR PESERTA'!A45</f>
        <v>42</v>
      </c>
      <c r="B46" s="78">
        <f>'INPUT DAFTAR PESERTA'!B45</f>
        <v>2509056030</v>
      </c>
      <c r="C46" s="26" t="str">
        <f>'INPUT DAFTAR PESERTA'!C45</f>
        <v>Muhammad Elo</v>
      </c>
      <c r="D46" s="28">
        <f>'NILAI AKHIR'!I47</f>
        <v>72.43125</v>
      </c>
      <c r="E46" s="63" t="str">
        <f>'NILAI AKHIR'!K47</f>
        <v>B</v>
      </c>
    </row>
    <row r="47">
      <c r="A47" s="63">
        <f>'INPUT DAFTAR PESERTA'!A46</f>
        <v>43</v>
      </c>
      <c r="B47" s="78">
        <f>'INPUT DAFTAR PESERTA'!B46</f>
        <v>2509056031</v>
      </c>
      <c r="C47" s="26" t="str">
        <f>'INPUT DAFTAR PESERTA'!C46</f>
        <v>Naufal Herdizza Akbar Ps</v>
      </c>
      <c r="D47" s="28">
        <f>'NILAI AKHIR'!I48</f>
        <v>78.88125</v>
      </c>
      <c r="E47" s="63" t="str">
        <f>'NILAI AKHIR'!K48</f>
        <v>B</v>
      </c>
    </row>
    <row r="48">
      <c r="A48" s="63">
        <f>'INPUT DAFTAR PESERTA'!A47</f>
        <v>44</v>
      </c>
      <c r="B48" s="78">
        <f>'INPUT DAFTAR PESERTA'!B47</f>
        <v>2509056032</v>
      </c>
      <c r="C48" s="26" t="str">
        <f>'INPUT DAFTAR PESERTA'!C47</f>
        <v>Dea Mila Marsela</v>
      </c>
      <c r="D48" s="28">
        <f>'NILAI AKHIR'!I49</f>
        <v>54.05625</v>
      </c>
      <c r="E48" s="63" t="str">
        <f>'NILAI AKHIR'!K49</f>
        <v>D</v>
      </c>
    </row>
    <row r="49">
      <c r="A49" s="63">
        <f>'INPUT DAFTAR PESERTA'!A48</f>
        <v>45</v>
      </c>
      <c r="B49" s="78">
        <f>'INPUT DAFTAR PESERTA'!B48</f>
        <v>2509056033</v>
      </c>
      <c r="C49" s="26" t="str">
        <f>'INPUT DAFTAR PESERTA'!C48</f>
        <v>Ahmad Salman Nur</v>
      </c>
      <c r="D49" s="28">
        <f>'NILAI AKHIR'!I50</f>
        <v>71.228125</v>
      </c>
      <c r="E49" s="63" t="str">
        <f>'NILAI AKHIR'!K50</f>
        <v>B</v>
      </c>
    </row>
    <row r="50">
      <c r="A50" s="63">
        <f>'INPUT DAFTAR PESERTA'!A49</f>
        <v>46</v>
      </c>
      <c r="B50" s="78">
        <f>'INPUT DAFTAR PESERTA'!B49</f>
        <v>2509056035</v>
      </c>
      <c r="C50" s="26" t="str">
        <f>'INPUT DAFTAR PESERTA'!C49</f>
        <v>Syahputra Lumbantoruan</v>
      </c>
      <c r="D50" s="28">
        <f>'NILAI AKHIR'!I51</f>
        <v>5.8125</v>
      </c>
      <c r="E50" s="63" t="str">
        <f>'NILAI AKHIR'!K51</f>
        <v>E</v>
      </c>
    </row>
    <row r="51">
      <c r="A51" s="63">
        <f>'INPUT DAFTAR PESERTA'!A50</f>
        <v>47</v>
      </c>
      <c r="B51" s="78">
        <f>'INPUT DAFTAR PESERTA'!B50</f>
        <v>2509056036</v>
      </c>
      <c r="C51" s="26" t="str">
        <f>'INPUT DAFTAR PESERTA'!C50</f>
        <v>Furqan Ahmad</v>
      </c>
      <c r="D51" s="28">
        <f>'NILAI AKHIR'!I52</f>
        <v>22.3375</v>
      </c>
      <c r="E51" s="63" t="str">
        <f>'NILAI AKHIR'!K52</f>
        <v>E</v>
      </c>
    </row>
    <row r="52">
      <c r="A52" s="63">
        <f>'INPUT DAFTAR PESERTA'!A51</f>
        <v>48</v>
      </c>
      <c r="B52" s="78">
        <f>'INPUT DAFTAR PESERTA'!B51</f>
        <v>2509056037</v>
      </c>
      <c r="C52" s="26" t="str">
        <f>'INPUT DAFTAR PESERTA'!C51</f>
        <v>Muhammad An Naafi Zaini</v>
      </c>
      <c r="D52" s="28">
        <f>'NILAI AKHIR'!I53</f>
        <v>37.6125</v>
      </c>
      <c r="E52" s="63" t="str">
        <f>'NILAI AKHIR'!K53</f>
        <v>E</v>
      </c>
    </row>
    <row r="53">
      <c r="A53" s="63">
        <f>'INPUT DAFTAR PESERTA'!A52</f>
        <v>49</v>
      </c>
      <c r="B53" s="78">
        <f>'INPUT DAFTAR PESERTA'!B52</f>
        <v>2509056038</v>
      </c>
      <c r="C53" s="26" t="str">
        <f>'INPUT DAFTAR PESERTA'!C52</f>
        <v>Muh. Afriansyah Syafani</v>
      </c>
      <c r="D53" s="28">
        <f>'NILAI AKHIR'!I54</f>
        <v>16.95625</v>
      </c>
      <c r="E53" s="63" t="str">
        <f>'NILAI AKHIR'!K54</f>
        <v>E</v>
      </c>
    </row>
    <row r="54">
      <c r="A54" s="63">
        <f>'INPUT DAFTAR PESERTA'!A53</f>
        <v>50</v>
      </c>
      <c r="B54" s="78">
        <f>'INPUT DAFTAR PESERTA'!B53</f>
        <v>2509056039</v>
      </c>
      <c r="C54" s="26" t="str">
        <f>'INPUT DAFTAR PESERTA'!C53</f>
        <v>Evan Hizky Edward Juliano Sahata Manihuruk</v>
      </c>
      <c r="D54" s="28">
        <f>'NILAI AKHIR'!I55</f>
        <v>11.075</v>
      </c>
      <c r="E54" s="63" t="str">
        <f>'NILAI AKHIR'!K55</f>
        <v>E</v>
      </c>
    </row>
    <row r="55">
      <c r="A55" s="63">
        <f>'INPUT DAFTAR PESERTA'!A54</f>
        <v>51</v>
      </c>
      <c r="B55" s="78">
        <f>'INPUT DAFTAR PESERTA'!B54</f>
        <v>2509056040</v>
      </c>
      <c r="C55" s="26" t="str">
        <f>'INPUT DAFTAR PESERTA'!C54</f>
        <v>Rasya Ataullah Arnata</v>
      </c>
      <c r="D55" s="28">
        <f>'NILAI AKHIR'!I56</f>
        <v>11.275</v>
      </c>
      <c r="E55" s="63" t="str">
        <f>'NILAI AKHIR'!K56</f>
        <v>E</v>
      </c>
    </row>
    <row r="56">
      <c r="A56" s="63">
        <f>'INPUT DAFTAR PESERTA'!A55</f>
        <v>52</v>
      </c>
      <c r="B56" s="78">
        <f>'INPUT DAFTAR PESERTA'!B55</f>
        <v>2509056041</v>
      </c>
      <c r="C56" s="26" t="str">
        <f>'INPUT DAFTAR PESERTA'!C55</f>
        <v>Yadi Ramadani</v>
      </c>
      <c r="D56" s="28">
        <f>'NILAI AKHIR'!I57</f>
        <v>65.725</v>
      </c>
      <c r="E56" s="63" t="str">
        <f>'NILAI AKHIR'!K57</f>
        <v>C</v>
      </c>
    </row>
    <row r="57">
      <c r="A57" s="63">
        <f>'INPUT DAFTAR PESERTA'!A56</f>
        <v>53</v>
      </c>
      <c r="B57" s="78">
        <f>'INPUT DAFTAR PESERTA'!B56</f>
        <v>2509056042</v>
      </c>
      <c r="C57" s="26" t="str">
        <f>'INPUT DAFTAR PESERTA'!C56</f>
        <v>Muhammad Alief Adz Dzikry Abdillah</v>
      </c>
      <c r="D57" s="28">
        <f>'NILAI AKHIR'!I58</f>
        <v>1.875</v>
      </c>
      <c r="E57" s="63" t="str">
        <f>'NILAI AKHIR'!K58</f>
        <v>E</v>
      </c>
    </row>
    <row r="58">
      <c r="A58" s="63">
        <f>'INPUT DAFTAR PESERTA'!A57</f>
        <v>54</v>
      </c>
      <c r="B58" s="78">
        <f>'INPUT DAFTAR PESERTA'!B57</f>
        <v>2509056043</v>
      </c>
      <c r="C58" s="26" t="str">
        <f>'INPUT DAFTAR PESERTA'!C57</f>
        <v>Hubert Abraham Pranoto Sirait</v>
      </c>
      <c r="D58" s="28">
        <f>'NILAI AKHIR'!I59</f>
        <v>51.6625</v>
      </c>
      <c r="E58" s="63" t="str">
        <f>'NILAI AKHIR'!K59</f>
        <v>D</v>
      </c>
    </row>
    <row r="59">
      <c r="A59" s="63">
        <f>'INPUT DAFTAR PESERTA'!A58</f>
        <v>55</v>
      </c>
      <c r="B59" s="78">
        <f>'INPUT DAFTAR PESERTA'!B58</f>
        <v>2509056044</v>
      </c>
      <c r="C59" s="26" t="str">
        <f>'INPUT DAFTAR PESERTA'!C58</f>
        <v>Indah Tessalonica</v>
      </c>
      <c r="D59" s="28">
        <f>'NILAI AKHIR'!I60</f>
        <v>11.075</v>
      </c>
      <c r="E59" s="63" t="str">
        <f>'NILAI AKHIR'!K60</f>
        <v>E</v>
      </c>
    </row>
    <row r="60">
      <c r="A60" s="63">
        <f>'INPUT DAFTAR PESERTA'!A59</f>
        <v>56</v>
      </c>
      <c r="B60" s="78">
        <f>'INPUT DAFTAR PESERTA'!B59</f>
        <v>2509056045</v>
      </c>
      <c r="C60" s="26" t="str">
        <f>'INPUT DAFTAR PESERTA'!C59</f>
        <v>Fahrizi Al Rosid</v>
      </c>
      <c r="D60" s="28">
        <f>'NILAI AKHIR'!I61</f>
        <v>1.875</v>
      </c>
      <c r="E60" s="63" t="str">
        <f>'NILAI AKHIR'!K61</f>
        <v>E</v>
      </c>
    </row>
    <row r="61">
      <c r="A61" s="63">
        <f>'INPUT DAFTAR PESERTA'!A60</f>
        <v>57</v>
      </c>
      <c r="B61" s="78">
        <f>'INPUT DAFTAR PESERTA'!B60</f>
        <v>2509056046</v>
      </c>
      <c r="C61" s="26" t="str">
        <f>'INPUT DAFTAR PESERTA'!C60</f>
        <v>Syadid Musoffa</v>
      </c>
      <c r="D61" s="28">
        <f>'NILAI AKHIR'!I62</f>
        <v>1.875</v>
      </c>
      <c r="E61" s="63" t="str">
        <f>'NILAI AKHIR'!K62</f>
        <v>E</v>
      </c>
    </row>
    <row r="62">
      <c r="A62" s="63">
        <f>'INPUT DAFTAR PESERTA'!A61</f>
        <v>58</v>
      </c>
      <c r="B62" s="78">
        <f>'INPUT DAFTAR PESERTA'!B61</f>
        <v>2509056047</v>
      </c>
      <c r="C62" s="26" t="str">
        <f>'INPUT DAFTAR PESERTA'!C61</f>
        <v>Oktovianus Sirante</v>
      </c>
      <c r="D62" s="28">
        <f>'NILAI AKHIR'!I63</f>
        <v>76.9875</v>
      </c>
      <c r="E62" s="63" t="str">
        <f>'NILAI AKHIR'!K63</f>
        <v>B</v>
      </c>
    </row>
    <row r="63">
      <c r="A63" s="63">
        <f>'INPUT DAFTAR PESERTA'!A62</f>
        <v>59</v>
      </c>
      <c r="B63" s="78">
        <f>'INPUT DAFTAR PESERTA'!B62</f>
        <v>2509056048</v>
      </c>
      <c r="C63" s="26" t="str">
        <f>'INPUT DAFTAR PESERTA'!C62</f>
        <v>Cristover Rafael Milang</v>
      </c>
      <c r="D63" s="28">
        <f>'NILAI AKHIR'!I64</f>
        <v>1.875</v>
      </c>
      <c r="E63" s="63" t="str">
        <f>'NILAI AKHIR'!K64</f>
        <v>E</v>
      </c>
    </row>
    <row r="64">
      <c r="A64" s="63">
        <f>'INPUT DAFTAR PESERTA'!A63</f>
        <v>60</v>
      </c>
      <c r="B64" s="78">
        <f>'INPUT DAFTAR PESERTA'!B63</f>
        <v>2509056049</v>
      </c>
      <c r="C64" s="26" t="str">
        <f>'INPUT DAFTAR PESERTA'!C63</f>
        <v>Kevin Angeliano Jonathan</v>
      </c>
      <c r="D64" s="28">
        <f>'NILAI AKHIR'!I65</f>
        <v>70.1125</v>
      </c>
      <c r="E64" s="63" t="str">
        <f>'NILAI AKHIR'!K65</f>
        <v>B</v>
      </c>
    </row>
    <row r="65">
      <c r="A65" s="63">
        <f>'INPUT DAFTAR PESERTA'!A64</f>
        <v>61</v>
      </c>
      <c r="B65" s="78">
        <f>'INPUT DAFTAR PESERTA'!B64</f>
        <v>2509056050</v>
      </c>
      <c r="C65" s="26" t="str">
        <f>'INPUT DAFTAR PESERTA'!C64</f>
        <v>Fajar Arif Suyanto</v>
      </c>
      <c r="D65" s="28">
        <f>'NILAI AKHIR'!I66</f>
        <v>32.88125</v>
      </c>
      <c r="E65" s="63" t="str">
        <f>'NILAI AKHIR'!K66</f>
        <v>E</v>
      </c>
    </row>
    <row r="66">
      <c r="A66" s="63">
        <f>'INPUT DAFTAR PESERTA'!A65</f>
        <v>62</v>
      </c>
      <c r="B66" s="78">
        <f>'INPUT DAFTAR PESERTA'!B65</f>
        <v>2509056051</v>
      </c>
      <c r="C66" s="26" t="str">
        <f>'INPUT DAFTAR PESERTA'!C65</f>
        <v>Satria Rizla Marlanata</v>
      </c>
      <c r="D66" s="28">
        <f>'NILAI AKHIR'!I67</f>
        <v>76.91875</v>
      </c>
      <c r="E66" s="63" t="str">
        <f>'NILAI AKHIR'!K67</f>
        <v>B</v>
      </c>
    </row>
    <row r="67">
      <c r="A67" s="63">
        <f>'INPUT DAFTAR PESERTA'!A66</f>
        <v>63</v>
      </c>
      <c r="B67" s="78">
        <f>'INPUT DAFTAR PESERTA'!B66</f>
        <v>2509056052</v>
      </c>
      <c r="C67" s="26" t="str">
        <f>'INPUT DAFTAR PESERTA'!C66</f>
        <v>Aulya Azhari</v>
      </c>
      <c r="D67" s="28">
        <f>'NILAI AKHIR'!I68</f>
        <v>25.6875</v>
      </c>
      <c r="E67" s="63" t="str">
        <f>'NILAI AKHIR'!K68</f>
        <v>E</v>
      </c>
    </row>
    <row r="68">
      <c r="A68" s="63">
        <f>'INPUT DAFTAR PESERTA'!A67</f>
        <v>64</v>
      </c>
      <c r="B68" s="78">
        <f>'INPUT DAFTAR PESERTA'!B67</f>
        <v>2509056053</v>
      </c>
      <c r="C68" s="26" t="str">
        <f>'INPUT DAFTAR PESERTA'!C67</f>
        <v>Muhammad Farrel Ardiano</v>
      </c>
      <c r="D68" s="28">
        <f>'NILAI AKHIR'!I69</f>
        <v>76.18125</v>
      </c>
      <c r="E68" s="63" t="str">
        <f>'NILAI AKHIR'!K69</f>
        <v>B</v>
      </c>
    </row>
    <row r="69">
      <c r="A69" s="63">
        <f>'INPUT DAFTAR PESERTA'!A68</f>
        <v>65</v>
      </c>
      <c r="B69" s="78">
        <f>'INPUT DAFTAR PESERTA'!B68</f>
        <v>2509056054</v>
      </c>
      <c r="C69" s="26" t="str">
        <f>'INPUT DAFTAR PESERTA'!C68</f>
        <v>Arlan Candra Antholyn</v>
      </c>
      <c r="D69" s="28">
        <f>'NILAI AKHIR'!I70</f>
        <v>63.4625</v>
      </c>
      <c r="E69" s="63" t="str">
        <f>'NILAI AKHIR'!K70</f>
        <v>C</v>
      </c>
    </row>
    <row r="70">
      <c r="A70" s="63">
        <f>'INPUT DAFTAR PESERTA'!A69</f>
        <v>66</v>
      </c>
      <c r="B70" s="78">
        <f>'INPUT DAFTAR PESERTA'!B69</f>
        <v>2509056055</v>
      </c>
      <c r="C70" s="26" t="str">
        <f>'INPUT DAFTAR PESERTA'!C69</f>
        <v>Taufan Akbar Bunawan</v>
      </c>
      <c r="D70" s="28">
        <f>'NILAI AKHIR'!I71</f>
        <v>63.3125</v>
      </c>
      <c r="E70" s="63" t="str">
        <f>'NILAI AKHIR'!K71</f>
        <v>C</v>
      </c>
    </row>
    <row r="71">
      <c r="A71" s="63">
        <f>'INPUT DAFTAR PESERTA'!A70</f>
        <v>67</v>
      </c>
      <c r="B71" s="78">
        <f>'INPUT DAFTAR PESERTA'!B70</f>
        <v>2509056056</v>
      </c>
      <c r="C71" s="26" t="str">
        <f>'INPUT DAFTAR PESERTA'!C70</f>
        <v>Mario Wildhan Wibisono</v>
      </c>
      <c r="D71" s="28">
        <f>'NILAI AKHIR'!I72</f>
        <v>11.075</v>
      </c>
      <c r="E71" s="63" t="str">
        <f>'NILAI AKHIR'!K72</f>
        <v>E</v>
      </c>
    </row>
    <row r="72">
      <c r="A72" s="63">
        <f>'INPUT DAFTAR PESERTA'!A71</f>
        <v>68</v>
      </c>
      <c r="B72" s="78">
        <f>'INPUT DAFTAR PESERTA'!B71</f>
        <v>2509056057</v>
      </c>
      <c r="C72" s="26" t="str">
        <f>'INPUT DAFTAR PESERTA'!C71</f>
        <v>Immanuel Wisnu Siahaan</v>
      </c>
      <c r="D72" s="28">
        <f>'NILAI AKHIR'!I73</f>
        <v>87.36875</v>
      </c>
      <c r="E72" s="63" t="str">
        <f>'NILAI AKHIR'!K73</f>
        <v>A</v>
      </c>
    </row>
    <row r="73">
      <c r="A73" s="63">
        <f>'INPUT DAFTAR PESERTA'!A72</f>
        <v>69</v>
      </c>
      <c r="B73" s="78">
        <f>'INPUT DAFTAR PESERTA'!B72</f>
        <v>2509056058</v>
      </c>
      <c r="C73" s="26" t="str">
        <f>'INPUT DAFTAR PESERTA'!C72</f>
        <v>Hebron Ketter Pagalla'</v>
      </c>
      <c r="D73" s="28">
        <f>'NILAI AKHIR'!I74</f>
        <v>44.05625</v>
      </c>
      <c r="E73" s="63" t="str">
        <f>'NILAI AKHIR'!K74</f>
        <v>D</v>
      </c>
    </row>
    <row r="74">
      <c r="A74" s="63">
        <f>'INPUT DAFTAR PESERTA'!A73</f>
        <v>70</v>
      </c>
      <c r="B74" s="78">
        <f>'INPUT DAFTAR PESERTA'!B73</f>
        <v>2509056059</v>
      </c>
      <c r="C74" s="26" t="str">
        <f>'INPUT DAFTAR PESERTA'!C73</f>
        <v>Wildan Akmal Zaky</v>
      </c>
      <c r="D74" s="28">
        <f>'NILAI AKHIR'!I75</f>
        <v>71.428125</v>
      </c>
      <c r="E74" s="63" t="str">
        <f>'NILAI AKHIR'!K75</f>
        <v>B</v>
      </c>
    </row>
    <row r="75">
      <c r="A75" s="63">
        <f>'INPUT DAFTAR PESERTA'!A74</f>
        <v>71</v>
      </c>
      <c r="B75" s="78">
        <f>'INPUT DAFTAR PESERTA'!B74</f>
        <v>2509056060</v>
      </c>
      <c r="C75" s="26" t="str">
        <f>'INPUT DAFTAR PESERTA'!C74</f>
        <v>Daglish Santos Peke Deku</v>
      </c>
      <c r="D75" s="28">
        <f>'NILAI AKHIR'!I76</f>
        <v>1.875</v>
      </c>
      <c r="E75" s="63" t="str">
        <f>'NILAI AKHIR'!K76</f>
        <v>E</v>
      </c>
    </row>
    <row r="76">
      <c r="A76" s="63">
        <f>'INPUT DAFTAR PESERTA'!A75</f>
        <v>72</v>
      </c>
      <c r="B76" s="78">
        <f>'INPUT DAFTAR PESERTA'!B75</f>
        <v>2509056061</v>
      </c>
      <c r="C76" s="26" t="str">
        <f>'INPUT DAFTAR PESERTA'!C75</f>
        <v>Muhammad Yazid Ilmani</v>
      </c>
      <c r="D76" s="28">
        <f>'NILAI AKHIR'!I77</f>
        <v>72.14375</v>
      </c>
      <c r="E76" s="63" t="str">
        <f>'NILAI AKHIR'!K77</f>
        <v>B</v>
      </c>
    </row>
    <row r="77">
      <c r="A77" s="63">
        <f>'INPUT DAFTAR PESERTA'!A76</f>
        <v>73</v>
      </c>
      <c r="B77" s="78">
        <f>'INPUT DAFTAR PESERTA'!B76</f>
        <v>2509056062</v>
      </c>
      <c r="C77" s="26" t="str">
        <f>'INPUT DAFTAR PESERTA'!C76</f>
        <v>Reyhan Feryand Tandililing</v>
      </c>
      <c r="D77" s="28">
        <f>'NILAI AKHIR'!I78</f>
        <v>66.41875</v>
      </c>
      <c r="E77" s="63" t="str">
        <f>'NILAI AKHIR'!K78</f>
        <v>C</v>
      </c>
    </row>
    <row r="78">
      <c r="A78" s="63">
        <f>'INPUT DAFTAR PESERTA'!A77</f>
        <v>74</v>
      </c>
      <c r="B78" s="78">
        <f>'INPUT DAFTAR PESERTA'!B77</f>
        <v>2509056063</v>
      </c>
      <c r="C78" s="26" t="str">
        <f>'INPUT DAFTAR PESERTA'!C77</f>
        <v>Riski Apryanto</v>
      </c>
      <c r="D78" s="28">
        <f>'NILAI AKHIR'!I79</f>
        <v>19.5125</v>
      </c>
      <c r="E78" s="63" t="str">
        <f>'NILAI AKHIR'!K79</f>
        <v>E</v>
      </c>
    </row>
    <row r="79">
      <c r="A79" s="63">
        <f>'INPUT DAFTAR PESERTA'!A78</f>
        <v>75</v>
      </c>
      <c r="B79" s="78">
        <f>'INPUT DAFTAR PESERTA'!B78</f>
        <v>2509056064</v>
      </c>
      <c r="C79" s="26" t="str">
        <f>'INPUT DAFTAR PESERTA'!C78</f>
        <v>Dina Molitha Dwi Manggarani</v>
      </c>
      <c r="D79" s="28">
        <f>'NILAI AKHIR'!I80</f>
        <v>78.575</v>
      </c>
      <c r="E79" s="63" t="str">
        <f>'NILAI AKHIR'!K80</f>
        <v>B</v>
      </c>
    </row>
    <row r="80">
      <c r="A80" s="63">
        <f>'INPUT DAFTAR PESERTA'!A79</f>
        <v>76</v>
      </c>
      <c r="B80" s="78">
        <f>'INPUT DAFTAR PESERTA'!B79</f>
        <v>2509056065</v>
      </c>
      <c r="C80" s="26" t="str">
        <f>'INPUT DAFTAR PESERTA'!C79</f>
        <v>Ahmad Dival Halim</v>
      </c>
      <c r="D80" s="28">
        <f>'NILAI AKHIR'!I81</f>
        <v>62.06875</v>
      </c>
      <c r="E80" s="63" t="str">
        <f>'NILAI AKHIR'!K81</f>
        <v>C</v>
      </c>
    </row>
    <row r="81">
      <c r="A81" s="63">
        <f>'INPUT DAFTAR PESERTA'!A80</f>
        <v>77</v>
      </c>
      <c r="B81" s="78">
        <f>'INPUT DAFTAR PESERTA'!B80</f>
        <v>2509056066</v>
      </c>
      <c r="C81" s="26" t="str">
        <f>'INPUT DAFTAR PESERTA'!C80</f>
        <v>Sultan Islamy Pasha</v>
      </c>
      <c r="D81" s="28">
        <f>'NILAI AKHIR'!I82</f>
        <v>67.20625</v>
      </c>
      <c r="E81" s="63" t="str">
        <f>'NILAI AKHIR'!K82</f>
        <v>C</v>
      </c>
    </row>
    <row r="82">
      <c r="A82" s="63">
        <f>'INPUT DAFTAR PESERTA'!A81</f>
        <v>78</v>
      </c>
      <c r="B82" s="78">
        <f>'INPUT DAFTAR PESERTA'!B81</f>
        <v>2509056069</v>
      </c>
      <c r="C82" s="26" t="str">
        <f>'INPUT DAFTAR PESERTA'!C81</f>
        <v>Reyhan Resqy Pratama</v>
      </c>
      <c r="D82" s="28">
        <f>'NILAI AKHIR'!I83</f>
        <v>14.915625</v>
      </c>
      <c r="E82" s="63" t="str">
        <f>'NILAI AKHIR'!K83</f>
        <v>E</v>
      </c>
    </row>
    <row r="83">
      <c r="A83" s="63">
        <f>'INPUT DAFTAR PESERTA'!A82</f>
        <v>79</v>
      </c>
      <c r="B83" s="78">
        <f>'INPUT DAFTAR PESERTA'!B82</f>
        <v>2509056070</v>
      </c>
      <c r="C83" s="26" t="str">
        <f>'INPUT DAFTAR PESERTA'!C82</f>
        <v>Riendri Novtrianto Luden</v>
      </c>
      <c r="D83" s="28">
        <f>'NILAI AKHIR'!I84</f>
        <v>9.475</v>
      </c>
      <c r="E83" s="63" t="str">
        <f>'NILAI AKHIR'!K84</f>
        <v>E</v>
      </c>
    </row>
    <row r="84">
      <c r="A84" s="63">
        <f>'INPUT DAFTAR PESERTA'!A83</f>
        <v>80</v>
      </c>
      <c r="B84" s="78">
        <f>'INPUT DAFTAR PESERTA'!B83</f>
        <v>2509056071</v>
      </c>
      <c r="C84" s="26" t="str">
        <f>'INPUT DAFTAR PESERTA'!C83</f>
        <v>Ergie Yehezkiel Simanjuntak</v>
      </c>
      <c r="D84" s="28">
        <f>'NILAI AKHIR'!I85</f>
        <v>10.075</v>
      </c>
      <c r="E84" s="63" t="str">
        <f>'NILAI AKHIR'!K85</f>
        <v>E</v>
      </c>
    </row>
    <row r="85">
      <c r="A85" s="63">
        <f>'INPUT DAFTAR PESERTA'!A84</f>
        <v>81</v>
      </c>
      <c r="B85" s="78">
        <f>'INPUT DAFTAR PESERTA'!B84</f>
        <v>2509056072</v>
      </c>
      <c r="C85" s="26" t="str">
        <f>'INPUT DAFTAR PESERTA'!C84</f>
        <v>Nobergotardo .A</v>
      </c>
      <c r="D85" s="28">
        <f>'NILAI AKHIR'!I86</f>
        <v>1.875</v>
      </c>
      <c r="E85" s="63" t="str">
        <f>'NILAI AKHIR'!K86</f>
        <v>E</v>
      </c>
    </row>
    <row r="86">
      <c r="A86" s="63">
        <f>'INPUT DAFTAR PESERTA'!A85</f>
        <v>82</v>
      </c>
      <c r="B86" s="78">
        <f>'INPUT DAFTAR PESERTA'!B85</f>
        <v>2509056073</v>
      </c>
      <c r="C86" s="26" t="str">
        <f>'INPUT DAFTAR PESERTA'!C85</f>
        <v>Rasikhah Fitri</v>
      </c>
      <c r="D86" s="28">
        <f>'NILAI AKHIR'!I87</f>
        <v>1.875</v>
      </c>
      <c r="E86" s="63" t="str">
        <f>'NILAI AKHIR'!K87</f>
        <v>E</v>
      </c>
    </row>
    <row r="87">
      <c r="A87" s="63">
        <f>'INPUT DAFTAR PESERTA'!A86</f>
        <v>83</v>
      </c>
      <c r="B87" s="78">
        <f>'INPUT DAFTAR PESERTA'!B86</f>
        <v>2509056075</v>
      </c>
      <c r="C87" s="26" t="str">
        <f>'INPUT DAFTAR PESERTA'!C86</f>
        <v>Cantika Salwa Hanifa</v>
      </c>
      <c r="D87" s="28">
        <f>'NILAI AKHIR'!I88</f>
        <v>31.10625</v>
      </c>
      <c r="E87" s="63" t="str">
        <f>'NILAI AKHIR'!K88</f>
        <v>E</v>
      </c>
    </row>
    <row r="88">
      <c r="A88" s="63">
        <f>'INPUT DAFTAR PESERTA'!A87</f>
        <v>84</v>
      </c>
      <c r="B88" s="78">
        <f>'INPUT DAFTAR PESERTA'!B87</f>
        <v>2509056076</v>
      </c>
      <c r="C88" s="26" t="str">
        <f>'INPUT DAFTAR PESERTA'!C87</f>
        <v>Andi Arief Bintang</v>
      </c>
      <c r="D88" s="28">
        <f>'NILAI AKHIR'!I89</f>
        <v>69.7625</v>
      </c>
      <c r="E88" s="63" t="str">
        <f>'NILAI AKHIR'!K89</f>
        <v>C</v>
      </c>
    </row>
    <row r="89">
      <c r="A89" s="63">
        <f>'INPUT DAFTAR PESERTA'!A88</f>
        <v>85</v>
      </c>
      <c r="B89" s="78">
        <f>'INPUT DAFTAR PESERTA'!B88</f>
        <v>2509056077</v>
      </c>
      <c r="C89" s="26" t="str">
        <f>'INPUT DAFTAR PESERTA'!C88</f>
        <v>Al Hamdan</v>
      </c>
      <c r="D89" s="28">
        <f>'NILAI AKHIR'!I90</f>
        <v>10.3125</v>
      </c>
      <c r="E89" s="63" t="str">
        <f>'NILAI AKHIR'!K90</f>
        <v>E</v>
      </c>
    </row>
    <row r="90">
      <c r="A90" s="63">
        <f>'INPUT DAFTAR PESERTA'!A89</f>
        <v>86</v>
      </c>
      <c r="B90" s="63">
        <f>'INPUT DAFTAR PESERTA'!B89</f>
        <v>2509056074</v>
      </c>
      <c r="C90" s="26" t="str">
        <f>'INPUT DAFTAR PESERTA'!C89</f>
        <v>Andi Muhammad Caeril Irfan</v>
      </c>
      <c r="D90" s="28">
        <f>'NILAI AKHIR'!I91</f>
        <v>18.03125</v>
      </c>
      <c r="E90" s="63" t="str">
        <f>'NILAI AKHIR'!K91</f>
        <v>E</v>
      </c>
    </row>
    <row r="99">
      <c r="A99" s="75" t="str">
        <f>'INPUT DAFTAR PESERTA'!A99</f>
        <v/>
      </c>
      <c r="B99" s="75" t="str">
        <f>'INPUT DAFTAR PESERTA'!B99</f>
        <v/>
      </c>
      <c r="C99" s="81" t="str">
        <f>'INPUT DAFTAR PESERTA'!C99</f>
        <v/>
      </c>
    </row>
    <row r="100">
      <c r="A100" s="75" t="str">
        <f>'INPUT DAFTAR PESERTA'!A100</f>
        <v/>
      </c>
      <c r="B100" s="75" t="str">
        <f>'INPUT DAFTAR PESERTA'!B100</f>
        <v/>
      </c>
      <c r="C100" s="81" t="str">
        <f>'INPUT DAFTAR PESERTA'!C100</f>
        <v/>
      </c>
    </row>
    <row r="101">
      <c r="A101" s="75" t="str">
        <f>'INPUT DAFTAR PESERTA'!A101</f>
        <v/>
      </c>
      <c r="B101" s="75" t="str">
        <f>'INPUT DAFTAR PESERTA'!B101</f>
        <v/>
      </c>
      <c r="C101" s="81" t="str">
        <f>'INPUT DAFTAR PESERTA'!C101</f>
        <v/>
      </c>
    </row>
    <row r="102">
      <c r="A102" s="75" t="str">
        <f>'INPUT DAFTAR PESERTA'!A102</f>
        <v/>
      </c>
      <c r="B102" s="75" t="str">
        <f>'INPUT DAFTAR PESERTA'!B102</f>
        <v/>
      </c>
      <c r="C102" s="81" t="str">
        <f>'INPUT DAFTAR PESERTA'!C102</f>
        <v/>
      </c>
    </row>
    <row r="103">
      <c r="A103" s="75" t="str">
        <f>'INPUT DAFTAR PESERTA'!A103</f>
        <v/>
      </c>
      <c r="B103" s="75" t="str">
        <f>'INPUT DAFTAR PESERTA'!B103</f>
        <v/>
      </c>
      <c r="C103" s="81" t="str">
        <f>'INPUT DAFTAR PESERTA'!C103</f>
        <v/>
      </c>
    </row>
    <row r="104">
      <c r="A104" s="75" t="str">
        <f>'INPUT DAFTAR PESERTA'!A104</f>
        <v/>
      </c>
      <c r="B104" s="75" t="str">
        <f>'INPUT DAFTAR PESERTA'!B104</f>
        <v/>
      </c>
      <c r="C104" s="81" t="str">
        <f>'INPUT DAFTAR PESERTA'!C104</f>
        <v/>
      </c>
    </row>
    <row r="105">
      <c r="A105" s="75" t="str">
        <f>'INPUT DAFTAR PESERTA'!A105</f>
        <v/>
      </c>
      <c r="B105" s="75" t="str">
        <f>'INPUT DAFTAR PESERTA'!B105</f>
        <v/>
      </c>
      <c r="C105" s="81" t="str">
        <f>'INPUT DAFTAR PESERTA'!C105</f>
        <v/>
      </c>
    </row>
    <row r="106">
      <c r="A106" s="75" t="str">
        <f>'INPUT DAFTAR PESERTA'!A106</f>
        <v/>
      </c>
      <c r="B106" s="75" t="str">
        <f>'INPUT DAFTAR PESERTA'!B106</f>
        <v/>
      </c>
      <c r="C106" s="81" t="str">
        <f>'INPUT DAFTAR PESERTA'!C106</f>
        <v/>
      </c>
    </row>
    <row r="107">
      <c r="A107" s="75" t="str">
        <f>'INPUT DAFTAR PESERTA'!A107</f>
        <v/>
      </c>
      <c r="B107" s="75" t="str">
        <f>'INPUT DAFTAR PESERTA'!B107</f>
        <v/>
      </c>
      <c r="C107" s="81" t="str">
        <f>'INPUT DAFTAR PESERTA'!C107</f>
        <v/>
      </c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</sheetData>
  <mergeCells count="5">
    <mergeCell ref="A3:A4"/>
    <mergeCell ref="B3:B4"/>
    <mergeCell ref="C3:C4"/>
    <mergeCell ref="D3:D4"/>
    <mergeCell ref="E3:E4"/>
  </mergeCells>
  <drawing r:id="rId1"/>
</worksheet>
</file>