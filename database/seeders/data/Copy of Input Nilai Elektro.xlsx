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Kuliyahh\Semester 7\SEMPRO\PENILAIAN FISDAS\FISDAS 2025\FISDAS I\Input Nilai Praktikum\"/>
    </mc:Choice>
  </mc:AlternateContent>
  <xr:revisionPtr revIDLastSave="0" documentId="13_ncr:1_{9AECB0A6-D7EB-4364-AA45-010AE155E669}" xr6:coauthVersionLast="47" xr6:coauthVersionMax="47" xr10:uidLastSave="{00000000-0000-0000-0000-000000000000}"/>
  <bookViews>
    <workbookView xWindow="2304" yWindow="2304" windowWidth="14112" windowHeight="8880" firstSheet="3" activeTab="3" xr2:uid="{00000000-000D-0000-FFFF-FFFF00000000}"/>
  </bookViews>
  <sheets>
    <sheet name="INPUT DAFTAR PESERTA" sheetId="1" r:id="rId1"/>
    <sheet name="LAPORAN RESMI" sheetId="2" r:id="rId2"/>
    <sheet name="PENULISAN LAPORAN" sheetId="3" r:id="rId3"/>
    <sheet name="KEMAMPUAN PRAKTIKUM" sheetId="4" r:id="rId4"/>
    <sheet name="NILAI HARIAN" sheetId="5" r:id="rId5"/>
    <sheet name="NILAI AKHIR" sheetId="6" r:id="rId6"/>
    <sheet name="PIE CHART" sheetId="7" r:id="rId7"/>
  </sheets>
  <externalReferences>
    <externalReference r:id="rId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4" l="1"/>
  <c r="W6" i="4"/>
  <c r="M6" i="4"/>
  <c r="H7" i="6"/>
  <c r="E98" i="7"/>
  <c r="D98" i="7"/>
  <c r="C98" i="7"/>
  <c r="B98" i="7"/>
  <c r="A98" i="7"/>
  <c r="E97" i="7"/>
  <c r="D97" i="7"/>
  <c r="C97" i="7"/>
  <c r="B97" i="7"/>
  <c r="A97" i="7"/>
  <c r="E96" i="7"/>
  <c r="D96" i="7"/>
  <c r="C96" i="7"/>
  <c r="B96" i="7"/>
  <c r="A96" i="7"/>
  <c r="E95" i="7"/>
  <c r="D95" i="7"/>
  <c r="C95" i="7"/>
  <c r="B95" i="7"/>
  <c r="A95" i="7"/>
  <c r="E94" i="7"/>
  <c r="D94" i="7"/>
  <c r="C94" i="7"/>
  <c r="B94" i="7"/>
  <c r="A94" i="7"/>
  <c r="E93" i="7"/>
  <c r="D93" i="7"/>
  <c r="C93" i="7"/>
  <c r="B93" i="7"/>
  <c r="A93" i="7"/>
  <c r="E92" i="7"/>
  <c r="D92" i="7"/>
  <c r="C92" i="7"/>
  <c r="B92" i="7"/>
  <c r="A92" i="7"/>
  <c r="E91" i="7"/>
  <c r="D91" i="7"/>
  <c r="C91" i="7"/>
  <c r="B91" i="7"/>
  <c r="A91" i="7"/>
  <c r="E90" i="7"/>
  <c r="D90" i="7"/>
  <c r="C90" i="7"/>
  <c r="B90" i="7"/>
  <c r="A90" i="7"/>
  <c r="E89" i="7"/>
  <c r="D89" i="7"/>
  <c r="C89" i="7"/>
  <c r="B89" i="7"/>
  <c r="A89" i="7"/>
  <c r="E88" i="7"/>
  <c r="D88" i="7"/>
  <c r="C88" i="7"/>
  <c r="B88" i="7"/>
  <c r="A88" i="7"/>
  <c r="E87" i="7"/>
  <c r="D87" i="7"/>
  <c r="C87" i="7"/>
  <c r="B87" i="7"/>
  <c r="A87" i="7"/>
  <c r="E86" i="7"/>
  <c r="D86" i="7"/>
  <c r="C86" i="7"/>
  <c r="B86" i="7"/>
  <c r="A86" i="7"/>
  <c r="E85" i="7"/>
  <c r="D85" i="7"/>
  <c r="C85" i="7"/>
  <c r="B85" i="7"/>
  <c r="A85" i="7"/>
  <c r="E84" i="7"/>
  <c r="D84" i="7"/>
  <c r="C84" i="7"/>
  <c r="B84" i="7"/>
  <c r="A84" i="7"/>
  <c r="E83" i="7"/>
  <c r="D83" i="7"/>
  <c r="C83" i="7"/>
  <c r="B83" i="7"/>
  <c r="A83" i="7"/>
  <c r="E82" i="7"/>
  <c r="D82" i="7"/>
  <c r="C82" i="7"/>
  <c r="B82" i="7"/>
  <c r="A82" i="7"/>
  <c r="E81" i="7"/>
  <c r="D81" i="7"/>
  <c r="C81" i="7"/>
  <c r="B81" i="7"/>
  <c r="A81" i="7"/>
  <c r="E80" i="7"/>
  <c r="D80" i="7"/>
  <c r="C80" i="7"/>
  <c r="B80" i="7"/>
  <c r="A80" i="7"/>
  <c r="C64" i="7"/>
  <c r="B64" i="7"/>
  <c r="A64" i="7"/>
  <c r="C63" i="7"/>
  <c r="B63" i="7"/>
  <c r="A63" i="7"/>
  <c r="C62" i="7"/>
  <c r="B62" i="7"/>
  <c r="A62" i="7"/>
  <c r="C61" i="7"/>
  <c r="B61" i="7"/>
  <c r="A61" i="7"/>
  <c r="C60" i="7"/>
  <c r="B60" i="7"/>
  <c r="A60" i="7"/>
  <c r="C59" i="7"/>
  <c r="B59" i="7"/>
  <c r="A59" i="7"/>
  <c r="C58" i="7"/>
  <c r="B58" i="7"/>
  <c r="A58" i="7"/>
  <c r="C57" i="7"/>
  <c r="B57" i="7"/>
  <c r="A57" i="7"/>
  <c r="C56" i="7"/>
  <c r="B56" i="7"/>
  <c r="A56" i="7"/>
  <c r="C55" i="7"/>
  <c r="B55" i="7"/>
  <c r="A55" i="7"/>
  <c r="C54" i="7"/>
  <c r="B54" i="7"/>
  <c r="A54" i="7"/>
  <c r="C53" i="7"/>
  <c r="B53" i="7"/>
  <c r="A53" i="7"/>
  <c r="C52" i="7"/>
  <c r="B52" i="7"/>
  <c r="A52" i="7"/>
  <c r="C51" i="7"/>
  <c r="B51" i="7"/>
  <c r="A51" i="7"/>
  <c r="C50" i="7"/>
  <c r="B50" i="7"/>
  <c r="A50" i="7"/>
  <c r="C49" i="7"/>
  <c r="B49" i="7"/>
  <c r="A49" i="7"/>
  <c r="C48" i="7"/>
  <c r="B48" i="7"/>
  <c r="A48" i="7"/>
  <c r="C47" i="7"/>
  <c r="B47" i="7"/>
  <c r="A47" i="7"/>
  <c r="C46" i="7"/>
  <c r="B46" i="7"/>
  <c r="A46" i="7"/>
  <c r="C45" i="7"/>
  <c r="B45" i="7"/>
  <c r="A45" i="7"/>
  <c r="C44" i="7"/>
  <c r="B44" i="7"/>
  <c r="A44" i="7"/>
  <c r="C43" i="7"/>
  <c r="B43" i="7"/>
  <c r="A43" i="7"/>
  <c r="C42" i="7"/>
  <c r="B42" i="7"/>
  <c r="A42" i="7"/>
  <c r="C41" i="7"/>
  <c r="B41" i="7"/>
  <c r="A41" i="7"/>
  <c r="C40" i="7"/>
  <c r="B40" i="7"/>
  <c r="A40" i="7"/>
  <c r="C39" i="7"/>
  <c r="B39" i="7"/>
  <c r="A39" i="7"/>
  <c r="C38" i="7"/>
  <c r="B38" i="7"/>
  <c r="A38" i="7"/>
  <c r="C37" i="7"/>
  <c r="B37" i="7"/>
  <c r="A37" i="7"/>
  <c r="C36" i="7"/>
  <c r="B36" i="7"/>
  <c r="A36" i="7"/>
  <c r="C35" i="7"/>
  <c r="B35" i="7"/>
  <c r="A35" i="7"/>
  <c r="C34" i="7"/>
  <c r="B34" i="7"/>
  <c r="A34" i="7"/>
  <c r="C33" i="7"/>
  <c r="B33" i="7"/>
  <c r="A33" i="7"/>
  <c r="C32" i="7"/>
  <c r="B32" i="7"/>
  <c r="A32" i="7"/>
  <c r="C31" i="7"/>
  <c r="B31" i="7"/>
  <c r="A31" i="7"/>
  <c r="C30" i="7"/>
  <c r="B30" i="7"/>
  <c r="A30" i="7"/>
  <c r="C29" i="7"/>
  <c r="B29" i="7"/>
  <c r="A29" i="7"/>
  <c r="C28" i="7"/>
  <c r="B28" i="7"/>
  <c r="A28" i="7"/>
  <c r="C27" i="7"/>
  <c r="B27" i="7"/>
  <c r="A27" i="7"/>
  <c r="C26" i="7"/>
  <c r="B26" i="7"/>
  <c r="A26" i="7"/>
  <c r="C25" i="7"/>
  <c r="B25" i="7"/>
  <c r="A25" i="7"/>
  <c r="C24" i="7"/>
  <c r="B24" i="7"/>
  <c r="A24" i="7"/>
  <c r="C23" i="7"/>
  <c r="B23" i="7"/>
  <c r="A23" i="7"/>
  <c r="C22" i="7"/>
  <c r="B22" i="7"/>
  <c r="A22" i="7"/>
  <c r="C21" i="7"/>
  <c r="B21" i="7"/>
  <c r="A21" i="7"/>
  <c r="C20" i="7"/>
  <c r="B20" i="7"/>
  <c r="A20" i="7"/>
  <c r="C19" i="7"/>
  <c r="B19" i="7"/>
  <c r="A19" i="7"/>
  <c r="C18" i="7"/>
  <c r="B18" i="7"/>
  <c r="A18" i="7"/>
  <c r="C17" i="7"/>
  <c r="B17" i="7"/>
  <c r="A17" i="7"/>
  <c r="C16" i="7"/>
  <c r="B16" i="7"/>
  <c r="A16" i="7"/>
  <c r="C15" i="7"/>
  <c r="B15" i="7"/>
  <c r="A15" i="7"/>
  <c r="C14" i="7"/>
  <c r="B14" i="7"/>
  <c r="A14" i="7"/>
  <c r="C13" i="7"/>
  <c r="B13" i="7"/>
  <c r="A13" i="7"/>
  <c r="C12" i="7"/>
  <c r="B12" i="7"/>
  <c r="A12" i="7"/>
  <c r="C11" i="7"/>
  <c r="B11" i="7"/>
  <c r="A11" i="7"/>
  <c r="C10" i="7"/>
  <c r="B10" i="7"/>
  <c r="A10" i="7"/>
  <c r="C9" i="7"/>
  <c r="B9" i="7"/>
  <c r="A9" i="7"/>
  <c r="C8" i="7"/>
  <c r="B8" i="7"/>
  <c r="A8" i="7"/>
  <c r="C7" i="7"/>
  <c r="B7" i="7"/>
  <c r="A7" i="7"/>
  <c r="C6" i="7"/>
  <c r="B6" i="7"/>
  <c r="A6" i="7"/>
  <c r="C5" i="7"/>
  <c r="B5" i="7"/>
  <c r="A5" i="7"/>
  <c r="C65" i="6"/>
  <c r="B65" i="6"/>
  <c r="A65" i="6"/>
  <c r="C64" i="6"/>
  <c r="B64" i="6"/>
  <c r="A64" i="6"/>
  <c r="G63" i="6"/>
  <c r="C63" i="6"/>
  <c r="B63" i="6"/>
  <c r="A63" i="6"/>
  <c r="F62" i="6"/>
  <c r="C62" i="6"/>
  <c r="B62" i="6"/>
  <c r="A62" i="6"/>
  <c r="C61" i="6"/>
  <c r="B61" i="6"/>
  <c r="A61" i="6"/>
  <c r="D60" i="6"/>
  <c r="C60" i="6"/>
  <c r="B60" i="6"/>
  <c r="A60" i="6"/>
  <c r="C59" i="6"/>
  <c r="B59" i="6"/>
  <c r="A59" i="6"/>
  <c r="G58" i="6"/>
  <c r="C58" i="6"/>
  <c r="B58" i="6"/>
  <c r="A58" i="6"/>
  <c r="C57" i="6"/>
  <c r="B57" i="6"/>
  <c r="A57" i="6"/>
  <c r="F56" i="6"/>
  <c r="E56" i="6"/>
  <c r="C56" i="6"/>
  <c r="B56" i="6"/>
  <c r="A56" i="6"/>
  <c r="D55" i="6"/>
  <c r="C55" i="6"/>
  <c r="B55" i="6"/>
  <c r="A55" i="6"/>
  <c r="D54" i="6"/>
  <c r="C54" i="6"/>
  <c r="B54" i="6"/>
  <c r="A54" i="6"/>
  <c r="C53" i="6"/>
  <c r="B53" i="6"/>
  <c r="A53" i="6"/>
  <c r="C52" i="6"/>
  <c r="B52" i="6"/>
  <c r="A52" i="6"/>
  <c r="C51" i="6"/>
  <c r="B51" i="6"/>
  <c r="A51" i="6"/>
  <c r="C50" i="6"/>
  <c r="B50" i="6"/>
  <c r="A50" i="6"/>
  <c r="C49" i="6"/>
  <c r="B49" i="6"/>
  <c r="A49" i="6"/>
  <c r="C48" i="6"/>
  <c r="B48" i="6"/>
  <c r="A48" i="6"/>
  <c r="C47" i="6"/>
  <c r="B47" i="6"/>
  <c r="A47" i="6"/>
  <c r="C46" i="6"/>
  <c r="B46" i="6"/>
  <c r="A46" i="6"/>
  <c r="G45" i="6"/>
  <c r="C45" i="6"/>
  <c r="B45" i="6"/>
  <c r="A45" i="6"/>
  <c r="C44" i="6"/>
  <c r="B44" i="6"/>
  <c r="A44" i="6"/>
  <c r="D43" i="6"/>
  <c r="C43" i="6"/>
  <c r="B43" i="6"/>
  <c r="A43" i="6"/>
  <c r="G42" i="6"/>
  <c r="D42" i="6"/>
  <c r="C42" i="6"/>
  <c r="B42" i="6"/>
  <c r="A42" i="6"/>
  <c r="C41" i="6"/>
  <c r="B41" i="6"/>
  <c r="A41" i="6"/>
  <c r="C40" i="6"/>
  <c r="B40" i="6"/>
  <c r="A40" i="6"/>
  <c r="C39" i="6"/>
  <c r="B39" i="6"/>
  <c r="A39" i="6"/>
  <c r="F38" i="6"/>
  <c r="C38" i="6"/>
  <c r="B38" i="6"/>
  <c r="A38" i="6"/>
  <c r="C37" i="6"/>
  <c r="B37" i="6"/>
  <c r="A37" i="6"/>
  <c r="D36" i="6"/>
  <c r="C36" i="6"/>
  <c r="B36" i="6"/>
  <c r="A36" i="6"/>
  <c r="C35" i="6"/>
  <c r="B35" i="6"/>
  <c r="A35" i="6"/>
  <c r="G34" i="6"/>
  <c r="C34" i="6"/>
  <c r="B34" i="6"/>
  <c r="A34" i="6"/>
  <c r="C33" i="6"/>
  <c r="B33" i="6"/>
  <c r="A33" i="6"/>
  <c r="G32" i="6"/>
  <c r="C32" i="6"/>
  <c r="B32" i="6"/>
  <c r="A32" i="6"/>
  <c r="D31" i="6"/>
  <c r="C31" i="6"/>
  <c r="B31" i="6"/>
  <c r="A31" i="6"/>
  <c r="D30" i="6"/>
  <c r="C30" i="6"/>
  <c r="B30" i="6"/>
  <c r="A30" i="6"/>
  <c r="F29" i="6"/>
  <c r="D29" i="6"/>
  <c r="C29" i="6"/>
  <c r="B29" i="6"/>
  <c r="A29" i="6"/>
  <c r="C28" i="6"/>
  <c r="B28" i="6"/>
  <c r="A28" i="6"/>
  <c r="D27" i="6"/>
  <c r="C27" i="6"/>
  <c r="B27" i="6"/>
  <c r="A27" i="6"/>
  <c r="C26" i="6"/>
  <c r="B26" i="6"/>
  <c r="A26" i="6"/>
  <c r="C25" i="6"/>
  <c r="B25" i="6"/>
  <c r="A25" i="6"/>
  <c r="D24" i="6"/>
  <c r="C24" i="6"/>
  <c r="B24" i="6"/>
  <c r="A24" i="6"/>
  <c r="C23" i="6"/>
  <c r="B23" i="6"/>
  <c r="A23" i="6"/>
  <c r="C22" i="6"/>
  <c r="B22" i="6"/>
  <c r="A22" i="6"/>
  <c r="D21" i="6"/>
  <c r="C21" i="6"/>
  <c r="B21" i="6"/>
  <c r="A21" i="6"/>
  <c r="G20" i="6"/>
  <c r="C20" i="6"/>
  <c r="B20" i="6"/>
  <c r="A20" i="6"/>
  <c r="F19" i="6"/>
  <c r="D19" i="6"/>
  <c r="C19" i="6"/>
  <c r="B19" i="6"/>
  <c r="A19" i="6"/>
  <c r="C18" i="6"/>
  <c r="B18" i="6"/>
  <c r="A18" i="6"/>
  <c r="G17" i="6"/>
  <c r="C17" i="6"/>
  <c r="B17" i="6"/>
  <c r="A17" i="6"/>
  <c r="C16" i="6"/>
  <c r="B16" i="6"/>
  <c r="A16" i="6"/>
  <c r="G15" i="6"/>
  <c r="C15" i="6"/>
  <c r="B15" i="6"/>
  <c r="A15" i="6"/>
  <c r="C14" i="6"/>
  <c r="B14" i="6"/>
  <c r="A14" i="6"/>
  <c r="C13" i="6"/>
  <c r="B13" i="6"/>
  <c r="A13" i="6"/>
  <c r="G12" i="6"/>
  <c r="D12" i="6"/>
  <c r="C12" i="6"/>
  <c r="B12" i="6"/>
  <c r="A12" i="6"/>
  <c r="C11" i="6"/>
  <c r="B11" i="6"/>
  <c r="A11" i="6"/>
  <c r="C10" i="6"/>
  <c r="B10" i="6"/>
  <c r="A10" i="6"/>
  <c r="G9" i="6"/>
  <c r="D9" i="6"/>
  <c r="C9" i="6"/>
  <c r="B9" i="6"/>
  <c r="A9" i="6"/>
  <c r="C8" i="6"/>
  <c r="B8" i="6"/>
  <c r="A8" i="6"/>
  <c r="C7" i="6"/>
  <c r="B7" i="6"/>
  <c r="A7" i="6"/>
  <c r="D6" i="6"/>
  <c r="C6" i="6"/>
  <c r="B6" i="6"/>
  <c r="A6" i="6"/>
  <c r="AG65" i="5"/>
  <c r="AF65" i="5"/>
  <c r="AE65" i="5"/>
  <c r="G65" i="6" s="1"/>
  <c r="V65" i="5"/>
  <c r="F65" i="6" s="1"/>
  <c r="L65" i="5"/>
  <c r="D65" i="6" s="1"/>
  <c r="C65" i="5"/>
  <c r="B65" i="5"/>
  <c r="A65" i="5"/>
  <c r="AJ64" i="5"/>
  <c r="AI64" i="5"/>
  <c r="AH64" i="5"/>
  <c r="AF64" i="5"/>
  <c r="AE64" i="5"/>
  <c r="G64" i="6" s="1"/>
  <c r="V64" i="5"/>
  <c r="F64" i="6" s="1"/>
  <c r="L64" i="5"/>
  <c r="D64" i="6" s="1"/>
  <c r="C64" i="5"/>
  <c r="B64" i="5"/>
  <c r="A64" i="5"/>
  <c r="AK63" i="5"/>
  <c r="AI63" i="5"/>
  <c r="AH63" i="5"/>
  <c r="V63" i="5"/>
  <c r="F63" i="6" s="1"/>
  <c r="L63" i="5"/>
  <c r="D63" i="6" s="1"/>
  <c r="C63" i="5"/>
  <c r="B63" i="5"/>
  <c r="A63" i="5"/>
  <c r="AM62" i="5"/>
  <c r="AH62" i="5"/>
  <c r="AE62" i="5"/>
  <c r="G62" i="6" s="1"/>
  <c r="V62" i="5"/>
  <c r="L62" i="5"/>
  <c r="D62" i="6" s="1"/>
  <c r="C62" i="5"/>
  <c r="B62" i="5"/>
  <c r="A62" i="5"/>
  <c r="AM61" i="5"/>
  <c r="AI61" i="5"/>
  <c r="AE61" i="5"/>
  <c r="G61" i="6" s="1"/>
  <c r="V61" i="5"/>
  <c r="F61" i="6" s="1"/>
  <c r="L61" i="5"/>
  <c r="D61" i="6" s="1"/>
  <c r="C61" i="5"/>
  <c r="B61" i="5"/>
  <c r="A61" i="5"/>
  <c r="AM60" i="5"/>
  <c r="AF60" i="5"/>
  <c r="AE60" i="5"/>
  <c r="G60" i="6" s="1"/>
  <c r="V60" i="5"/>
  <c r="F60" i="6" s="1"/>
  <c r="L60" i="5"/>
  <c r="C60" i="5"/>
  <c r="B60" i="5"/>
  <c r="A60" i="5"/>
  <c r="AK59" i="5"/>
  <c r="AJ59" i="5"/>
  <c r="AI59" i="5"/>
  <c r="AH59" i="5"/>
  <c r="AF59" i="5"/>
  <c r="AN59" i="5" s="1"/>
  <c r="H59" i="6" s="1"/>
  <c r="AE59" i="5"/>
  <c r="G59" i="6" s="1"/>
  <c r="V59" i="5"/>
  <c r="F59" i="6" s="1"/>
  <c r="L59" i="5"/>
  <c r="D59" i="6" s="1"/>
  <c r="C59" i="5"/>
  <c r="B59" i="5"/>
  <c r="A59" i="5"/>
  <c r="AL58" i="5"/>
  <c r="AJ58" i="5"/>
  <c r="AI58" i="5"/>
  <c r="AF58" i="5"/>
  <c r="AE58" i="5"/>
  <c r="V58" i="5"/>
  <c r="F58" i="6" s="1"/>
  <c r="L58" i="5"/>
  <c r="D58" i="6" s="1"/>
  <c r="C58" i="5"/>
  <c r="B58" i="5"/>
  <c r="A58" i="5"/>
  <c r="AM57" i="5"/>
  <c r="AK57" i="5"/>
  <c r="AJ57" i="5"/>
  <c r="AH57" i="5"/>
  <c r="AE57" i="5"/>
  <c r="G57" i="6" s="1"/>
  <c r="V57" i="5"/>
  <c r="F57" i="6" s="1"/>
  <c r="L57" i="5"/>
  <c r="D57" i="6" s="1"/>
  <c r="C57" i="5"/>
  <c r="B57" i="5"/>
  <c r="A57" i="5"/>
  <c r="AM56" i="5"/>
  <c r="AF56" i="5"/>
  <c r="AE56" i="5"/>
  <c r="G56" i="6" s="1"/>
  <c r="V56" i="5"/>
  <c r="M56" i="5"/>
  <c r="L56" i="5"/>
  <c r="D56" i="6" s="1"/>
  <c r="C56" i="5"/>
  <c r="B56" i="5"/>
  <c r="A56" i="5"/>
  <c r="AI55" i="5"/>
  <c r="AH55" i="5"/>
  <c r="AG55" i="5"/>
  <c r="AF55" i="5"/>
  <c r="AE55" i="5"/>
  <c r="G55" i="6" s="1"/>
  <c r="V55" i="5"/>
  <c r="F55" i="6" s="1"/>
  <c r="L55" i="5"/>
  <c r="C55" i="5"/>
  <c r="B55" i="5"/>
  <c r="A55" i="5"/>
  <c r="AL54" i="5"/>
  <c r="AK54" i="5"/>
  <c r="AJ54" i="5"/>
  <c r="AG54" i="5"/>
  <c r="AE54" i="5"/>
  <c r="G54" i="6" s="1"/>
  <c r="V54" i="5"/>
  <c r="F54" i="6" s="1"/>
  <c r="L54" i="5"/>
  <c r="C54" i="5"/>
  <c r="B54" i="5"/>
  <c r="A54" i="5"/>
  <c r="AM53" i="5"/>
  <c r="AJ53" i="5"/>
  <c r="AE53" i="5"/>
  <c r="G53" i="6" s="1"/>
  <c r="V53" i="5"/>
  <c r="F53" i="6" s="1"/>
  <c r="L53" i="5"/>
  <c r="D53" i="6" s="1"/>
  <c r="C53" i="5"/>
  <c r="B53" i="5"/>
  <c r="A53" i="5"/>
  <c r="AM52" i="5"/>
  <c r="AE52" i="5"/>
  <c r="G52" i="6" s="1"/>
  <c r="V52" i="5"/>
  <c r="F52" i="6" s="1"/>
  <c r="L52" i="5"/>
  <c r="D52" i="6" s="1"/>
  <c r="C52" i="5"/>
  <c r="B52" i="5"/>
  <c r="A52" i="5"/>
  <c r="AM51" i="5"/>
  <c r="AI51" i="5"/>
  <c r="AH51" i="5"/>
  <c r="AG51" i="5"/>
  <c r="AE51" i="5"/>
  <c r="G51" i="6" s="1"/>
  <c r="V51" i="5"/>
  <c r="F51" i="6" s="1"/>
  <c r="L51" i="5"/>
  <c r="D51" i="6" s="1"/>
  <c r="C51" i="5"/>
  <c r="B51" i="5"/>
  <c r="A51" i="5"/>
  <c r="AM50" i="5"/>
  <c r="AL50" i="5"/>
  <c r="AK50" i="5"/>
  <c r="AF50" i="5"/>
  <c r="AE50" i="5"/>
  <c r="G50" i="6" s="1"/>
  <c r="V50" i="5"/>
  <c r="F50" i="6" s="1"/>
  <c r="L50" i="5"/>
  <c r="D50" i="6" s="1"/>
  <c r="C50" i="5"/>
  <c r="B50" i="5"/>
  <c r="A50" i="5"/>
  <c r="AM49" i="5"/>
  <c r="AJ49" i="5"/>
  <c r="AE49" i="5"/>
  <c r="G49" i="6" s="1"/>
  <c r="V49" i="5"/>
  <c r="F49" i="6" s="1"/>
  <c r="L49" i="5"/>
  <c r="D49" i="6" s="1"/>
  <c r="C49" i="5"/>
  <c r="B49" i="5"/>
  <c r="A49" i="5"/>
  <c r="AM48" i="5"/>
  <c r="AJ48" i="5"/>
  <c r="AF48" i="5"/>
  <c r="AE48" i="5"/>
  <c r="G48" i="6" s="1"/>
  <c r="V48" i="5"/>
  <c r="F48" i="6" s="1"/>
  <c r="L48" i="5"/>
  <c r="D48" i="6" s="1"/>
  <c r="C48" i="5"/>
  <c r="B48" i="5"/>
  <c r="A48" i="5"/>
  <c r="AJ47" i="5"/>
  <c r="AI47" i="5"/>
  <c r="AH47" i="5"/>
  <c r="AF47" i="5"/>
  <c r="AE47" i="5"/>
  <c r="G47" i="6" s="1"/>
  <c r="V47" i="5"/>
  <c r="F47" i="6" s="1"/>
  <c r="L47" i="5"/>
  <c r="D47" i="6" s="1"/>
  <c r="C47" i="5"/>
  <c r="B47" i="5"/>
  <c r="A47" i="5"/>
  <c r="AM46" i="5"/>
  <c r="AJ46" i="5"/>
  <c r="AI46" i="5"/>
  <c r="AH46" i="5"/>
  <c r="AG46" i="5"/>
  <c r="AF46" i="5"/>
  <c r="AE46" i="5"/>
  <c r="G46" i="6" s="1"/>
  <c r="V46" i="5"/>
  <c r="F46" i="6" s="1"/>
  <c r="L46" i="5"/>
  <c r="D46" i="6" s="1"/>
  <c r="C46" i="5"/>
  <c r="B46" i="5"/>
  <c r="A46" i="5"/>
  <c r="AM45" i="5"/>
  <c r="AJ45" i="5"/>
  <c r="AG45" i="5"/>
  <c r="AE45" i="5"/>
  <c r="V45" i="5"/>
  <c r="F45" i="6" s="1"/>
  <c r="L45" i="5"/>
  <c r="D45" i="6" s="1"/>
  <c r="C45" i="5"/>
  <c r="B45" i="5"/>
  <c r="A45" i="5"/>
  <c r="AF44" i="5"/>
  <c r="AE44" i="5"/>
  <c r="G44" i="6" s="1"/>
  <c r="V44" i="5"/>
  <c r="F44" i="6" s="1"/>
  <c r="L44" i="5"/>
  <c r="D44" i="6" s="1"/>
  <c r="C44" i="5"/>
  <c r="B44" i="5"/>
  <c r="A44" i="5"/>
  <c r="AH43" i="5"/>
  <c r="AG43" i="5"/>
  <c r="AF43" i="5"/>
  <c r="AE43" i="5"/>
  <c r="G43" i="6" s="1"/>
  <c r="V43" i="5"/>
  <c r="F43" i="6" s="1"/>
  <c r="L43" i="5"/>
  <c r="C43" i="5"/>
  <c r="B43" i="5"/>
  <c r="A43" i="5"/>
  <c r="AK42" i="5"/>
  <c r="AJ42" i="5"/>
  <c r="AG42" i="5"/>
  <c r="AE42" i="5"/>
  <c r="V42" i="5"/>
  <c r="F42" i="6" s="1"/>
  <c r="L42" i="5"/>
  <c r="C42" i="5"/>
  <c r="B42" i="5"/>
  <c r="A42" i="5"/>
  <c r="AJ41" i="5"/>
  <c r="AE41" i="5"/>
  <c r="G41" i="6" s="1"/>
  <c r="V41" i="5"/>
  <c r="F41" i="6" s="1"/>
  <c r="L41" i="5"/>
  <c r="D41" i="6" s="1"/>
  <c r="C41" i="5"/>
  <c r="B41" i="5"/>
  <c r="A41" i="5"/>
  <c r="AM40" i="5"/>
  <c r="AE40" i="5"/>
  <c r="G40" i="6" s="1"/>
  <c r="V40" i="5"/>
  <c r="F40" i="6" s="1"/>
  <c r="L40" i="5"/>
  <c r="D40" i="6" s="1"/>
  <c r="C40" i="5"/>
  <c r="B40" i="5"/>
  <c r="A40" i="5"/>
  <c r="AM39" i="5"/>
  <c r="AI39" i="5"/>
  <c r="AH39" i="5"/>
  <c r="AG39" i="5"/>
  <c r="AE39" i="5"/>
  <c r="G39" i="6" s="1"/>
  <c r="V39" i="5"/>
  <c r="F39" i="6" s="1"/>
  <c r="L39" i="5"/>
  <c r="D39" i="6" s="1"/>
  <c r="C39" i="5"/>
  <c r="B39" i="5"/>
  <c r="A39" i="5"/>
  <c r="AM38" i="5"/>
  <c r="AL38" i="5"/>
  <c r="AK38" i="5"/>
  <c r="AJ38" i="5"/>
  <c r="AF38" i="5"/>
  <c r="AN38" i="5" s="1"/>
  <c r="H38" i="6" s="1"/>
  <c r="AE38" i="5"/>
  <c r="G38" i="6" s="1"/>
  <c r="V38" i="5"/>
  <c r="L38" i="5"/>
  <c r="D38" i="6" s="1"/>
  <c r="C38" i="5"/>
  <c r="B38" i="5"/>
  <c r="A38" i="5"/>
  <c r="AM37" i="5"/>
  <c r="AJ37" i="5"/>
  <c r="AI37" i="5"/>
  <c r="AE37" i="5"/>
  <c r="G37" i="6" s="1"/>
  <c r="V37" i="5"/>
  <c r="F37" i="6" s="1"/>
  <c r="L37" i="5"/>
  <c r="D37" i="6" s="1"/>
  <c r="C37" i="5"/>
  <c r="B37" i="5"/>
  <c r="A37" i="5"/>
  <c r="AM36" i="5"/>
  <c r="AJ36" i="5"/>
  <c r="AF36" i="5"/>
  <c r="AE36" i="5"/>
  <c r="G36" i="6" s="1"/>
  <c r="V36" i="5"/>
  <c r="F36" i="6" s="1"/>
  <c r="L36" i="5"/>
  <c r="C36" i="5"/>
  <c r="B36" i="5"/>
  <c r="A36" i="5"/>
  <c r="AJ35" i="5"/>
  <c r="AI35" i="5"/>
  <c r="AH35" i="5"/>
  <c r="AE35" i="5"/>
  <c r="G35" i="6" s="1"/>
  <c r="V35" i="5"/>
  <c r="F35" i="6" s="1"/>
  <c r="L35" i="5"/>
  <c r="D35" i="6" s="1"/>
  <c r="C35" i="5"/>
  <c r="B35" i="5"/>
  <c r="A35" i="5"/>
  <c r="AM34" i="5"/>
  <c r="AJ34" i="5"/>
  <c r="AI34" i="5"/>
  <c r="AH34" i="5"/>
  <c r="AG34" i="5"/>
  <c r="AE34" i="5"/>
  <c r="V34" i="5"/>
  <c r="F34" i="6" s="1"/>
  <c r="L34" i="5"/>
  <c r="D34" i="6" s="1"/>
  <c r="C34" i="5"/>
  <c r="B34" i="5"/>
  <c r="A34" i="5"/>
  <c r="AM33" i="5"/>
  <c r="AJ33" i="5"/>
  <c r="AG33" i="5"/>
  <c r="AE33" i="5"/>
  <c r="G33" i="6" s="1"/>
  <c r="V33" i="5"/>
  <c r="F33" i="6" s="1"/>
  <c r="L33" i="5"/>
  <c r="D33" i="6" s="1"/>
  <c r="C33" i="5"/>
  <c r="B33" i="5"/>
  <c r="A33" i="5"/>
  <c r="AM32" i="5"/>
  <c r="AF32" i="5"/>
  <c r="AE32" i="5"/>
  <c r="V32" i="5"/>
  <c r="F32" i="6" s="1"/>
  <c r="L32" i="5"/>
  <c r="D32" i="6" s="1"/>
  <c r="C32" i="5"/>
  <c r="B32" i="5"/>
  <c r="A32" i="5"/>
  <c r="AH31" i="5"/>
  <c r="AG31" i="5"/>
  <c r="AF31" i="5"/>
  <c r="AE31" i="5"/>
  <c r="G31" i="6" s="1"/>
  <c r="V31" i="5"/>
  <c r="F31" i="6" s="1"/>
  <c r="L31" i="5"/>
  <c r="C31" i="5"/>
  <c r="B31" i="5"/>
  <c r="A31" i="5"/>
  <c r="AL30" i="5"/>
  <c r="AK30" i="5"/>
  <c r="AJ30" i="5"/>
  <c r="AG30" i="5"/>
  <c r="AE30" i="5"/>
  <c r="G30" i="6" s="1"/>
  <c r="V30" i="5"/>
  <c r="F30" i="6" s="1"/>
  <c r="L30" i="5"/>
  <c r="C30" i="5"/>
  <c r="B30" i="5"/>
  <c r="A30" i="5"/>
  <c r="AM29" i="5"/>
  <c r="AJ29" i="5"/>
  <c r="AE29" i="5"/>
  <c r="G29" i="6" s="1"/>
  <c r="V29" i="5"/>
  <c r="L29" i="5"/>
  <c r="C29" i="5"/>
  <c r="B29" i="5"/>
  <c r="A29" i="5"/>
  <c r="AH28" i="5"/>
  <c r="AG28" i="5"/>
  <c r="AE28" i="5"/>
  <c r="G28" i="6" s="1"/>
  <c r="V28" i="5"/>
  <c r="F28" i="6" s="1"/>
  <c r="L28" i="5"/>
  <c r="D28" i="6" s="1"/>
  <c r="C28" i="5"/>
  <c r="B28" i="5"/>
  <c r="A28" i="5"/>
  <c r="AM27" i="5"/>
  <c r="AL27" i="5"/>
  <c r="AI27" i="5"/>
  <c r="AF27" i="5"/>
  <c r="AE27" i="5"/>
  <c r="G27" i="6" s="1"/>
  <c r="V27" i="5"/>
  <c r="F27" i="6" s="1"/>
  <c r="L27" i="5"/>
  <c r="C27" i="5"/>
  <c r="B27" i="5"/>
  <c r="A27" i="5"/>
  <c r="AM26" i="5"/>
  <c r="AL26" i="5"/>
  <c r="AK26" i="5"/>
  <c r="AE26" i="5"/>
  <c r="G26" i="6" s="1"/>
  <c r="V26" i="5"/>
  <c r="F26" i="6" s="1"/>
  <c r="L26" i="5"/>
  <c r="D26" i="6" s="1"/>
  <c r="C26" i="5"/>
  <c r="B26" i="5"/>
  <c r="A26" i="5"/>
  <c r="AK25" i="5"/>
  <c r="AF25" i="5"/>
  <c r="AN25" i="5" s="1"/>
  <c r="H25" i="6" s="1"/>
  <c r="AE25" i="5"/>
  <c r="G25" i="6" s="1"/>
  <c r="V25" i="5"/>
  <c r="F25" i="6" s="1"/>
  <c r="L25" i="5"/>
  <c r="D25" i="6" s="1"/>
  <c r="C25" i="5"/>
  <c r="B25" i="5"/>
  <c r="A25" i="5"/>
  <c r="AL24" i="5"/>
  <c r="AK24" i="5"/>
  <c r="AJ24" i="5"/>
  <c r="AI24" i="5"/>
  <c r="AE24" i="5"/>
  <c r="G24" i="6" s="1"/>
  <c r="V24" i="5"/>
  <c r="F24" i="6" s="1"/>
  <c r="L24" i="5"/>
  <c r="C24" i="5"/>
  <c r="B24" i="5"/>
  <c r="A24" i="5"/>
  <c r="AL23" i="5"/>
  <c r="AJ23" i="5"/>
  <c r="AE23" i="5"/>
  <c r="G23" i="6" s="1"/>
  <c r="V23" i="5"/>
  <c r="F23" i="6" s="1"/>
  <c r="L23" i="5"/>
  <c r="D23" i="6" s="1"/>
  <c r="C23" i="5"/>
  <c r="B23" i="5"/>
  <c r="A23" i="5"/>
  <c r="AH22" i="5"/>
  <c r="AG22" i="5"/>
  <c r="AE22" i="5"/>
  <c r="G22" i="6" s="1"/>
  <c r="V22" i="5"/>
  <c r="F22" i="6" s="1"/>
  <c r="L22" i="5"/>
  <c r="D22" i="6" s="1"/>
  <c r="C22" i="5"/>
  <c r="B22" i="5"/>
  <c r="A22" i="5"/>
  <c r="AL21" i="5"/>
  <c r="AJ21" i="5"/>
  <c r="AI21" i="5"/>
  <c r="AG21" i="5"/>
  <c r="AF21" i="5"/>
  <c r="AE21" i="5"/>
  <c r="G21" i="6" s="1"/>
  <c r="V21" i="5"/>
  <c r="F21" i="6" s="1"/>
  <c r="L21" i="5"/>
  <c r="C21" i="5"/>
  <c r="B21" i="5"/>
  <c r="A21" i="5"/>
  <c r="AM20" i="5"/>
  <c r="AE20" i="5"/>
  <c r="V20" i="5"/>
  <c r="F20" i="6" s="1"/>
  <c r="L20" i="5"/>
  <c r="D20" i="6" s="1"/>
  <c r="C20" i="5"/>
  <c r="B20" i="5"/>
  <c r="A20" i="5"/>
  <c r="AH19" i="5"/>
  <c r="AG19" i="5"/>
  <c r="AN19" i="5" s="1"/>
  <c r="H19" i="6" s="1"/>
  <c r="AF19" i="5"/>
  <c r="AE19" i="5"/>
  <c r="G19" i="6" s="1"/>
  <c r="V19" i="5"/>
  <c r="L19" i="5"/>
  <c r="C19" i="5"/>
  <c r="B19" i="5"/>
  <c r="A19" i="5"/>
  <c r="AK18" i="5"/>
  <c r="AJ18" i="5"/>
  <c r="AI18" i="5"/>
  <c r="AG18" i="5"/>
  <c r="AF18" i="5"/>
  <c r="AE18" i="5"/>
  <c r="G18" i="6" s="1"/>
  <c r="V18" i="5"/>
  <c r="F18" i="6" s="1"/>
  <c r="L18" i="5"/>
  <c r="D18" i="6" s="1"/>
  <c r="C18" i="5"/>
  <c r="B18" i="5"/>
  <c r="A18" i="5"/>
  <c r="AJ17" i="5"/>
  <c r="AE17" i="5"/>
  <c r="V17" i="5"/>
  <c r="F17" i="6" s="1"/>
  <c r="L17" i="5"/>
  <c r="D17" i="6" s="1"/>
  <c r="C17" i="5"/>
  <c r="B17" i="5"/>
  <c r="A17" i="5"/>
  <c r="AH16" i="5"/>
  <c r="AG16" i="5"/>
  <c r="AE16" i="5"/>
  <c r="G16" i="6" s="1"/>
  <c r="V16" i="5"/>
  <c r="F16" i="6" s="1"/>
  <c r="L16" i="5"/>
  <c r="D16" i="6" s="1"/>
  <c r="C16" i="5"/>
  <c r="B16" i="5"/>
  <c r="A16" i="5"/>
  <c r="AM15" i="5"/>
  <c r="AL15" i="5"/>
  <c r="AF15" i="5"/>
  <c r="AE15" i="5"/>
  <c r="V15" i="5"/>
  <c r="F15" i="6" s="1"/>
  <c r="L15" i="5"/>
  <c r="D15" i="6" s="1"/>
  <c r="C15" i="5"/>
  <c r="B15" i="5"/>
  <c r="A15" i="5"/>
  <c r="AM14" i="5"/>
  <c r="AL14" i="5"/>
  <c r="AK14" i="5"/>
  <c r="AE14" i="5"/>
  <c r="G14" i="6" s="1"/>
  <c r="V14" i="5"/>
  <c r="F14" i="6" s="1"/>
  <c r="M14" i="5"/>
  <c r="E14" i="6" s="1"/>
  <c r="L14" i="5"/>
  <c r="D14" i="6" s="1"/>
  <c r="C14" i="5"/>
  <c r="B14" i="5"/>
  <c r="A14" i="5"/>
  <c r="AK13" i="5"/>
  <c r="AE13" i="5"/>
  <c r="G13" i="6" s="1"/>
  <c r="V13" i="5"/>
  <c r="F13" i="6" s="1"/>
  <c r="L13" i="5"/>
  <c r="D13" i="6" s="1"/>
  <c r="C13" i="5"/>
  <c r="B13" i="5"/>
  <c r="A13" i="5"/>
  <c r="AL12" i="5"/>
  <c r="AK12" i="5"/>
  <c r="AJ12" i="5"/>
  <c r="AI12" i="5"/>
  <c r="AE12" i="5"/>
  <c r="V12" i="5"/>
  <c r="F12" i="6" s="1"/>
  <c r="L12" i="5"/>
  <c r="C12" i="5"/>
  <c r="B12" i="5"/>
  <c r="A12" i="5"/>
  <c r="AL11" i="5"/>
  <c r="AJ11" i="5"/>
  <c r="AE11" i="5"/>
  <c r="G11" i="6" s="1"/>
  <c r="V11" i="5"/>
  <c r="F11" i="6" s="1"/>
  <c r="L11" i="5"/>
  <c r="D11" i="6" s="1"/>
  <c r="C11" i="5"/>
  <c r="B11" i="5"/>
  <c r="A11" i="5"/>
  <c r="AH10" i="5"/>
  <c r="AG10" i="5"/>
  <c r="AE10" i="5"/>
  <c r="G10" i="6" s="1"/>
  <c r="V10" i="5"/>
  <c r="F10" i="6" s="1"/>
  <c r="L10" i="5"/>
  <c r="D10" i="6" s="1"/>
  <c r="C10" i="5"/>
  <c r="B10" i="5"/>
  <c r="A10" i="5"/>
  <c r="AL9" i="5"/>
  <c r="AK9" i="5"/>
  <c r="AJ9" i="5"/>
  <c r="AI9" i="5"/>
  <c r="AG9" i="5"/>
  <c r="AF9" i="5"/>
  <c r="AE9" i="5"/>
  <c r="V9" i="5"/>
  <c r="F9" i="6" s="1"/>
  <c r="L9" i="5"/>
  <c r="C9" i="5"/>
  <c r="B9" i="5"/>
  <c r="A9" i="5"/>
  <c r="AM8" i="5"/>
  <c r="AE8" i="5"/>
  <c r="G8" i="6" s="1"/>
  <c r="V8" i="5"/>
  <c r="F8" i="6" s="1"/>
  <c r="L8" i="5"/>
  <c r="D8" i="6" s="1"/>
  <c r="C8" i="5"/>
  <c r="B8" i="5"/>
  <c r="A8" i="5"/>
  <c r="AH7" i="5"/>
  <c r="AG7" i="5"/>
  <c r="AF7" i="5"/>
  <c r="AN7" i="5" s="1"/>
  <c r="AE7" i="5"/>
  <c r="G7" i="6" s="1"/>
  <c r="V7" i="5"/>
  <c r="F7" i="6" s="1"/>
  <c r="L7" i="5"/>
  <c r="D7" i="6" s="1"/>
  <c r="C7" i="5"/>
  <c r="B7" i="5"/>
  <c r="A7" i="5"/>
  <c r="AJ6" i="5"/>
  <c r="AI6" i="5"/>
  <c r="AG6" i="5"/>
  <c r="AF6" i="5"/>
  <c r="AE6" i="5"/>
  <c r="G6" i="6" s="1"/>
  <c r="V6" i="5"/>
  <c r="F6" i="6" s="1"/>
  <c r="L6" i="5"/>
  <c r="C6" i="5"/>
  <c r="B6" i="5"/>
  <c r="A6" i="5"/>
  <c r="AQ65" i="4"/>
  <c r="AM65" i="5" s="1"/>
  <c r="AL65" i="4"/>
  <c r="AL65" i="5" s="1"/>
  <c r="AG65" i="4"/>
  <c r="AK65" i="5" s="1"/>
  <c r="AB65" i="4"/>
  <c r="AJ65" i="5" s="1"/>
  <c r="W65" i="4"/>
  <c r="AI65" i="5" s="1"/>
  <c r="R65" i="4"/>
  <c r="AH65" i="5" s="1"/>
  <c r="M65" i="4"/>
  <c r="H65" i="4"/>
  <c r="C65" i="4"/>
  <c r="B65" i="4"/>
  <c r="A65" i="4"/>
  <c r="AQ64" i="4"/>
  <c r="AM64" i="5" s="1"/>
  <c r="AL64" i="4"/>
  <c r="AL64" i="5" s="1"/>
  <c r="AG64" i="4"/>
  <c r="AK64" i="5" s="1"/>
  <c r="AB64" i="4"/>
  <c r="W64" i="4"/>
  <c r="R64" i="4"/>
  <c r="M64" i="4"/>
  <c r="AG64" i="5" s="1"/>
  <c r="H64" i="4"/>
  <c r="C64" i="4"/>
  <c r="B64" i="4"/>
  <c r="A64" i="4"/>
  <c r="AQ63" i="4"/>
  <c r="AM63" i="5" s="1"/>
  <c r="AL63" i="4"/>
  <c r="AL63" i="5" s="1"/>
  <c r="AG63" i="4"/>
  <c r="AB63" i="4"/>
  <c r="AJ63" i="5" s="1"/>
  <c r="W63" i="4"/>
  <c r="R63" i="4"/>
  <c r="M63" i="4"/>
  <c r="AG63" i="5" s="1"/>
  <c r="H63" i="4"/>
  <c r="AF63" i="5" s="1"/>
  <c r="C63" i="4"/>
  <c r="B63" i="4"/>
  <c r="A63" i="4"/>
  <c r="AQ62" i="4"/>
  <c r="AL62" i="4"/>
  <c r="AL62" i="5" s="1"/>
  <c r="AG62" i="4"/>
  <c r="AK62" i="5" s="1"/>
  <c r="AB62" i="4"/>
  <c r="AJ62" i="5" s="1"/>
  <c r="W62" i="4"/>
  <c r="AI62" i="5" s="1"/>
  <c r="R62" i="4"/>
  <c r="M62" i="4"/>
  <c r="AG62" i="5" s="1"/>
  <c r="H62" i="4"/>
  <c r="AF62" i="5" s="1"/>
  <c r="AN62" i="5" s="1"/>
  <c r="H62" i="6" s="1"/>
  <c r="C62" i="4"/>
  <c r="B62" i="4"/>
  <c r="A62" i="4"/>
  <c r="AQ61" i="4"/>
  <c r="AL61" i="4"/>
  <c r="AL61" i="5" s="1"/>
  <c r="AG61" i="4"/>
  <c r="AK61" i="5" s="1"/>
  <c r="AB61" i="4"/>
  <c r="AJ61" i="5" s="1"/>
  <c r="W61" i="4"/>
  <c r="R61" i="4"/>
  <c r="AH61" i="5" s="1"/>
  <c r="M61" i="4"/>
  <c r="AG61" i="5" s="1"/>
  <c r="H61" i="4"/>
  <c r="AF61" i="5" s="1"/>
  <c r="AN61" i="5" s="1"/>
  <c r="H61" i="6" s="1"/>
  <c r="C61" i="4"/>
  <c r="B61" i="4"/>
  <c r="A61" i="4"/>
  <c r="AQ60" i="4"/>
  <c r="AL60" i="4"/>
  <c r="AL60" i="5" s="1"/>
  <c r="AG60" i="4"/>
  <c r="AK60" i="5" s="1"/>
  <c r="AB60" i="4"/>
  <c r="AJ60" i="5" s="1"/>
  <c r="W60" i="4"/>
  <c r="AI60" i="5" s="1"/>
  <c r="R60" i="4"/>
  <c r="AH60" i="5" s="1"/>
  <c r="M60" i="4"/>
  <c r="AG60" i="5" s="1"/>
  <c r="H60" i="4"/>
  <c r="C60" i="4"/>
  <c r="B60" i="4"/>
  <c r="A60" i="4"/>
  <c r="AQ59" i="4"/>
  <c r="AM59" i="5" s="1"/>
  <c r="AL59" i="4"/>
  <c r="AL59" i="5" s="1"/>
  <c r="AG59" i="4"/>
  <c r="AB59" i="4"/>
  <c r="W59" i="4"/>
  <c r="R59" i="4"/>
  <c r="M59" i="4"/>
  <c r="AG59" i="5" s="1"/>
  <c r="H59" i="4"/>
  <c r="C59" i="4"/>
  <c r="B59" i="4"/>
  <c r="AQ58" i="4"/>
  <c r="AM58" i="5" s="1"/>
  <c r="AL58" i="4"/>
  <c r="AG58" i="4"/>
  <c r="AK58" i="5" s="1"/>
  <c r="AB58" i="4"/>
  <c r="W58" i="4"/>
  <c r="R58" i="4"/>
  <c r="AH58" i="5" s="1"/>
  <c r="M58" i="4"/>
  <c r="AG58" i="5" s="1"/>
  <c r="H58" i="4"/>
  <c r="C58" i="4"/>
  <c r="B58" i="4"/>
  <c r="A58" i="4"/>
  <c r="AQ57" i="4"/>
  <c r="AL57" i="4"/>
  <c r="AL57" i="5" s="1"/>
  <c r="AG57" i="4"/>
  <c r="AB57" i="4"/>
  <c r="W57" i="4"/>
  <c r="AI57" i="5" s="1"/>
  <c r="R57" i="4"/>
  <c r="M57" i="4"/>
  <c r="AG57" i="5" s="1"/>
  <c r="H57" i="4"/>
  <c r="AF57" i="5" s="1"/>
  <c r="AN57" i="5" s="1"/>
  <c r="H57" i="6" s="1"/>
  <c r="C57" i="4"/>
  <c r="B57" i="4"/>
  <c r="A57" i="4"/>
  <c r="AQ56" i="4"/>
  <c r="AL56" i="4"/>
  <c r="AL56" i="5" s="1"/>
  <c r="AG56" i="4"/>
  <c r="AK56" i="5" s="1"/>
  <c r="AB56" i="4"/>
  <c r="AJ56" i="5" s="1"/>
  <c r="W56" i="4"/>
  <c r="AI56" i="5" s="1"/>
  <c r="R56" i="4"/>
  <c r="AH56" i="5" s="1"/>
  <c r="M56" i="4"/>
  <c r="AG56" i="5" s="1"/>
  <c r="H56" i="4"/>
  <c r="C56" i="4"/>
  <c r="B56" i="4"/>
  <c r="A56" i="4"/>
  <c r="AQ55" i="4"/>
  <c r="AM55" i="5" s="1"/>
  <c r="AL55" i="4"/>
  <c r="AL55" i="5" s="1"/>
  <c r="AG55" i="4"/>
  <c r="AK55" i="5" s="1"/>
  <c r="AB55" i="4"/>
  <c r="AJ55" i="5" s="1"/>
  <c r="W55" i="4"/>
  <c r="R55" i="4"/>
  <c r="M55" i="4"/>
  <c r="H55" i="4"/>
  <c r="C55" i="4"/>
  <c r="B55" i="4"/>
  <c r="AQ54" i="4"/>
  <c r="AM54" i="5" s="1"/>
  <c r="AL54" i="4"/>
  <c r="AG54" i="4"/>
  <c r="AB54" i="4"/>
  <c r="W54" i="4"/>
  <c r="AI54" i="5" s="1"/>
  <c r="R54" i="4"/>
  <c r="AH54" i="5" s="1"/>
  <c r="M54" i="4"/>
  <c r="H54" i="4"/>
  <c r="AF54" i="5" s="1"/>
  <c r="C54" i="4"/>
  <c r="B54" i="4"/>
  <c r="A54" i="4"/>
  <c r="AQ53" i="4"/>
  <c r="AL53" i="4"/>
  <c r="AL53" i="5" s="1"/>
  <c r="AG53" i="4"/>
  <c r="AK53" i="5" s="1"/>
  <c r="AB53" i="4"/>
  <c r="W53" i="4"/>
  <c r="AI53" i="5" s="1"/>
  <c r="R53" i="4"/>
  <c r="AH53" i="5" s="1"/>
  <c r="M53" i="4"/>
  <c r="AG53" i="5" s="1"/>
  <c r="H53" i="4"/>
  <c r="AF53" i="5" s="1"/>
  <c r="AN53" i="5" s="1"/>
  <c r="H53" i="6" s="1"/>
  <c r="C53" i="4"/>
  <c r="B53" i="4"/>
  <c r="A53" i="4"/>
  <c r="AQ52" i="4"/>
  <c r="AL52" i="4"/>
  <c r="AL52" i="5" s="1"/>
  <c r="AG52" i="4"/>
  <c r="AK52" i="5" s="1"/>
  <c r="AB52" i="4"/>
  <c r="AJ52" i="5" s="1"/>
  <c r="W52" i="4"/>
  <c r="AI52" i="5" s="1"/>
  <c r="R52" i="4"/>
  <c r="AH52" i="5" s="1"/>
  <c r="M52" i="4"/>
  <c r="AG52" i="5" s="1"/>
  <c r="H52" i="4"/>
  <c r="AF52" i="5" s="1"/>
  <c r="AN52" i="5" s="1"/>
  <c r="H52" i="6" s="1"/>
  <c r="C52" i="4"/>
  <c r="B52" i="4"/>
  <c r="A52" i="4"/>
  <c r="AQ51" i="4"/>
  <c r="AL51" i="4"/>
  <c r="AL51" i="5" s="1"/>
  <c r="AG51" i="4"/>
  <c r="AK51" i="5" s="1"/>
  <c r="AB51" i="4"/>
  <c r="AJ51" i="5" s="1"/>
  <c r="W51" i="4"/>
  <c r="R51" i="4"/>
  <c r="M51" i="4"/>
  <c r="H51" i="4"/>
  <c r="AF51" i="5" s="1"/>
  <c r="C51" i="4"/>
  <c r="B51" i="4"/>
  <c r="A51" i="4"/>
  <c r="AQ50" i="4"/>
  <c r="AL50" i="4"/>
  <c r="AG50" i="4"/>
  <c r="AB50" i="4"/>
  <c r="AJ50" i="5" s="1"/>
  <c r="W50" i="4"/>
  <c r="AI50" i="5" s="1"/>
  <c r="R50" i="4"/>
  <c r="AH50" i="5" s="1"/>
  <c r="M50" i="4"/>
  <c r="AG50" i="5" s="1"/>
  <c r="H50" i="4"/>
  <c r="C50" i="4"/>
  <c r="B50" i="4"/>
  <c r="A50" i="4"/>
  <c r="AQ49" i="4"/>
  <c r="AL49" i="4"/>
  <c r="AL49" i="5" s="1"/>
  <c r="AG49" i="4"/>
  <c r="AK49" i="5" s="1"/>
  <c r="AB49" i="4"/>
  <c r="W49" i="4"/>
  <c r="AI49" i="5" s="1"/>
  <c r="R49" i="4"/>
  <c r="AH49" i="5" s="1"/>
  <c r="AN49" i="5" s="1"/>
  <c r="H49" i="6" s="1"/>
  <c r="M49" i="4"/>
  <c r="AG49" i="5" s="1"/>
  <c r="H49" i="4"/>
  <c r="AF49" i="5" s="1"/>
  <c r="C49" i="4"/>
  <c r="B49" i="4"/>
  <c r="A49" i="4"/>
  <c r="AQ48" i="4"/>
  <c r="AL48" i="4"/>
  <c r="AL48" i="5" s="1"/>
  <c r="AG48" i="4"/>
  <c r="AK48" i="5" s="1"/>
  <c r="AB48" i="4"/>
  <c r="W48" i="4"/>
  <c r="AI48" i="5" s="1"/>
  <c r="R48" i="4"/>
  <c r="AH48" i="5" s="1"/>
  <c r="M48" i="4"/>
  <c r="AG48" i="5" s="1"/>
  <c r="H48" i="4"/>
  <c r="C48" i="4"/>
  <c r="B48" i="4"/>
  <c r="A48" i="4"/>
  <c r="AQ47" i="4"/>
  <c r="AM47" i="5" s="1"/>
  <c r="AL47" i="4"/>
  <c r="AL47" i="5" s="1"/>
  <c r="AG47" i="4"/>
  <c r="AK47" i="5" s="1"/>
  <c r="AB47" i="4"/>
  <c r="W47" i="4"/>
  <c r="R47" i="4"/>
  <c r="M47" i="4"/>
  <c r="AG47" i="5" s="1"/>
  <c r="H47" i="4"/>
  <c r="C47" i="4"/>
  <c r="B47" i="4"/>
  <c r="A47" i="4"/>
  <c r="AQ46" i="4"/>
  <c r="AL46" i="4"/>
  <c r="AL46" i="5" s="1"/>
  <c r="AG46" i="4"/>
  <c r="AK46" i="5" s="1"/>
  <c r="AB46" i="4"/>
  <c r="W46" i="4"/>
  <c r="R46" i="4"/>
  <c r="M46" i="4"/>
  <c r="H46" i="4"/>
  <c r="C46" i="4"/>
  <c r="B46" i="4"/>
  <c r="A46" i="4"/>
  <c r="AQ45" i="4"/>
  <c r="AL45" i="4"/>
  <c r="AL45" i="5" s="1"/>
  <c r="AG45" i="4"/>
  <c r="AK45" i="5" s="1"/>
  <c r="AB45" i="4"/>
  <c r="W45" i="4"/>
  <c r="AI45" i="5" s="1"/>
  <c r="R45" i="4"/>
  <c r="AH45" i="5" s="1"/>
  <c r="AN45" i="5" s="1"/>
  <c r="H45" i="6" s="1"/>
  <c r="M45" i="4"/>
  <c r="H45" i="4"/>
  <c r="AF45" i="5" s="1"/>
  <c r="C45" i="4"/>
  <c r="B45" i="4"/>
  <c r="A45" i="4"/>
  <c r="AQ44" i="4"/>
  <c r="AM44" i="5" s="1"/>
  <c r="AL44" i="4"/>
  <c r="AL44" i="5" s="1"/>
  <c r="AG44" i="4"/>
  <c r="AK44" i="5" s="1"/>
  <c r="AB44" i="4"/>
  <c r="AJ44" i="5" s="1"/>
  <c r="W44" i="4"/>
  <c r="AI44" i="5" s="1"/>
  <c r="R44" i="4"/>
  <c r="AH44" i="5" s="1"/>
  <c r="M44" i="4"/>
  <c r="AG44" i="5" s="1"/>
  <c r="H44" i="4"/>
  <c r="C44" i="4"/>
  <c r="B44" i="4"/>
  <c r="A44" i="4"/>
  <c r="AQ43" i="4"/>
  <c r="AM43" i="5" s="1"/>
  <c r="AL43" i="4"/>
  <c r="AL43" i="5" s="1"/>
  <c r="AG43" i="4"/>
  <c r="AK43" i="5" s="1"/>
  <c r="AB43" i="4"/>
  <c r="AJ43" i="5" s="1"/>
  <c r="W43" i="4"/>
  <c r="AI43" i="5" s="1"/>
  <c r="R43" i="4"/>
  <c r="M43" i="4"/>
  <c r="H43" i="4"/>
  <c r="C43" i="4"/>
  <c r="B43" i="4"/>
  <c r="A43" i="4"/>
  <c r="AQ42" i="4"/>
  <c r="AM42" i="5" s="1"/>
  <c r="AL42" i="4"/>
  <c r="AL42" i="5" s="1"/>
  <c r="AG42" i="4"/>
  <c r="AB42" i="4"/>
  <c r="W42" i="4"/>
  <c r="AI42" i="5" s="1"/>
  <c r="R42" i="4"/>
  <c r="AH42" i="5" s="1"/>
  <c r="M42" i="4"/>
  <c r="H42" i="4"/>
  <c r="AF42" i="5" s="1"/>
  <c r="C42" i="4"/>
  <c r="B42" i="4"/>
  <c r="A42" i="4"/>
  <c r="AQ41" i="4"/>
  <c r="AM41" i="5" s="1"/>
  <c r="AL41" i="4"/>
  <c r="AL41" i="5" s="1"/>
  <c r="AG41" i="4"/>
  <c r="AK41" i="5" s="1"/>
  <c r="AB41" i="4"/>
  <c r="W41" i="4"/>
  <c r="AI41" i="5" s="1"/>
  <c r="R41" i="4"/>
  <c r="AH41" i="5" s="1"/>
  <c r="M41" i="4"/>
  <c r="AG41" i="5" s="1"/>
  <c r="H41" i="4"/>
  <c r="AF41" i="5" s="1"/>
  <c r="C41" i="4"/>
  <c r="B41" i="4"/>
  <c r="A41" i="4"/>
  <c r="AQ40" i="4"/>
  <c r="AL40" i="4"/>
  <c r="AL40" i="5" s="1"/>
  <c r="AG40" i="4"/>
  <c r="AK40" i="5" s="1"/>
  <c r="AB40" i="4"/>
  <c r="AJ40" i="5" s="1"/>
  <c r="W40" i="4"/>
  <c r="AI40" i="5" s="1"/>
  <c r="R40" i="4"/>
  <c r="AH40" i="5" s="1"/>
  <c r="M40" i="4"/>
  <c r="AG40" i="5" s="1"/>
  <c r="H40" i="4"/>
  <c r="AF40" i="5" s="1"/>
  <c r="AN40" i="5" s="1"/>
  <c r="H40" i="6" s="1"/>
  <c r="C40" i="4"/>
  <c r="B40" i="4"/>
  <c r="A40" i="4"/>
  <c r="AQ39" i="4"/>
  <c r="AL39" i="4"/>
  <c r="AL39" i="5" s="1"/>
  <c r="AG39" i="4"/>
  <c r="AK39" i="5" s="1"/>
  <c r="AB39" i="4"/>
  <c r="AJ39" i="5" s="1"/>
  <c r="W39" i="4"/>
  <c r="R39" i="4"/>
  <c r="M39" i="4"/>
  <c r="H39" i="4"/>
  <c r="AF39" i="5" s="1"/>
  <c r="C39" i="4"/>
  <c r="B39" i="4"/>
  <c r="A39" i="4"/>
  <c r="AQ38" i="4"/>
  <c r="AL38" i="4"/>
  <c r="AG38" i="4"/>
  <c r="AB38" i="4"/>
  <c r="W38" i="4"/>
  <c r="AI38" i="5" s="1"/>
  <c r="R38" i="4"/>
  <c r="AH38" i="5" s="1"/>
  <c r="M38" i="4"/>
  <c r="AG38" i="5" s="1"/>
  <c r="H38" i="4"/>
  <c r="C38" i="4"/>
  <c r="B38" i="4"/>
  <c r="A38" i="4"/>
  <c r="AQ37" i="4"/>
  <c r="AL37" i="4"/>
  <c r="AL37" i="5" s="1"/>
  <c r="AG37" i="4"/>
  <c r="AK37" i="5" s="1"/>
  <c r="AB37" i="4"/>
  <c r="W37" i="4"/>
  <c r="R37" i="4"/>
  <c r="AH37" i="5" s="1"/>
  <c r="M37" i="4"/>
  <c r="AG37" i="5" s="1"/>
  <c r="H37" i="4"/>
  <c r="AF37" i="5" s="1"/>
  <c r="AN37" i="5" s="1"/>
  <c r="H37" i="6" s="1"/>
  <c r="C37" i="4"/>
  <c r="B37" i="4"/>
  <c r="A37" i="4"/>
  <c r="AQ36" i="4"/>
  <c r="AL36" i="4"/>
  <c r="AL36" i="5" s="1"/>
  <c r="AG36" i="4"/>
  <c r="AK36" i="5" s="1"/>
  <c r="AB36" i="4"/>
  <c r="W36" i="4"/>
  <c r="AI36" i="5" s="1"/>
  <c r="R36" i="4"/>
  <c r="AH36" i="5" s="1"/>
  <c r="M36" i="4"/>
  <c r="AG36" i="5" s="1"/>
  <c r="H36" i="4"/>
  <c r="C36" i="4"/>
  <c r="B36" i="4"/>
  <c r="A36" i="4"/>
  <c r="AQ35" i="4"/>
  <c r="AM35" i="5" s="1"/>
  <c r="AL35" i="4"/>
  <c r="AL35" i="5" s="1"/>
  <c r="AG35" i="4"/>
  <c r="AK35" i="5" s="1"/>
  <c r="AB35" i="4"/>
  <c r="W35" i="4"/>
  <c r="R35" i="4"/>
  <c r="M35" i="4"/>
  <c r="AG35" i="5" s="1"/>
  <c r="H35" i="4"/>
  <c r="AF35" i="5" s="1"/>
  <c r="AN35" i="5" s="1"/>
  <c r="H35" i="6" s="1"/>
  <c r="C35" i="4"/>
  <c r="B35" i="4"/>
  <c r="A35" i="4"/>
  <c r="AQ34" i="4"/>
  <c r="AL34" i="4"/>
  <c r="AL34" i="5" s="1"/>
  <c r="AG34" i="4"/>
  <c r="AK34" i="5" s="1"/>
  <c r="AB34" i="4"/>
  <c r="W34" i="4"/>
  <c r="R34" i="4"/>
  <c r="M34" i="4"/>
  <c r="H34" i="4"/>
  <c r="AF34" i="5" s="1"/>
  <c r="C34" i="4"/>
  <c r="B34" i="4"/>
  <c r="A34" i="4"/>
  <c r="AQ33" i="4"/>
  <c r="AL33" i="4"/>
  <c r="AL33" i="5" s="1"/>
  <c r="AG33" i="4"/>
  <c r="AK33" i="5" s="1"/>
  <c r="AB33" i="4"/>
  <c r="W33" i="4"/>
  <c r="AI33" i="5" s="1"/>
  <c r="R33" i="4"/>
  <c r="AH33" i="5" s="1"/>
  <c r="M33" i="4"/>
  <c r="H33" i="4"/>
  <c r="AF33" i="5" s="1"/>
  <c r="AN33" i="5" s="1"/>
  <c r="H33" i="6" s="1"/>
  <c r="C33" i="4"/>
  <c r="B33" i="4"/>
  <c r="A33" i="4"/>
  <c r="AQ32" i="4"/>
  <c r="AL32" i="4"/>
  <c r="AL32" i="5" s="1"/>
  <c r="AG32" i="4"/>
  <c r="AK32" i="5" s="1"/>
  <c r="AB32" i="4"/>
  <c r="AJ32" i="5" s="1"/>
  <c r="W32" i="4"/>
  <c r="AI32" i="5" s="1"/>
  <c r="R32" i="4"/>
  <c r="AH32" i="5" s="1"/>
  <c r="M32" i="4"/>
  <c r="AG32" i="5" s="1"/>
  <c r="H32" i="4"/>
  <c r="C32" i="4"/>
  <c r="B32" i="4"/>
  <c r="A32" i="4"/>
  <c r="AQ31" i="4"/>
  <c r="AM31" i="5" s="1"/>
  <c r="AL31" i="4"/>
  <c r="AL31" i="5" s="1"/>
  <c r="AG31" i="4"/>
  <c r="AK31" i="5" s="1"/>
  <c r="AB31" i="4"/>
  <c r="AJ31" i="5" s="1"/>
  <c r="W31" i="4"/>
  <c r="AI31" i="5" s="1"/>
  <c r="R31" i="4"/>
  <c r="M31" i="4"/>
  <c r="H31" i="4"/>
  <c r="C31" i="4"/>
  <c r="B31" i="4"/>
  <c r="A31" i="4"/>
  <c r="AQ30" i="4"/>
  <c r="AM30" i="5" s="1"/>
  <c r="AL30" i="4"/>
  <c r="AG30" i="4"/>
  <c r="AB30" i="4"/>
  <c r="W30" i="4"/>
  <c r="AI30" i="5" s="1"/>
  <c r="R30" i="4"/>
  <c r="AH30" i="5" s="1"/>
  <c r="M30" i="4"/>
  <c r="H30" i="4"/>
  <c r="AF30" i="5" s="1"/>
  <c r="C30" i="4"/>
  <c r="B30" i="4"/>
  <c r="A30" i="4"/>
  <c r="AQ29" i="4"/>
  <c r="AL29" i="4"/>
  <c r="AL29" i="5" s="1"/>
  <c r="AG29" i="4"/>
  <c r="AK29" i="5" s="1"/>
  <c r="AB29" i="4"/>
  <c r="W29" i="4"/>
  <c r="AI29" i="5" s="1"/>
  <c r="R29" i="4"/>
  <c r="AH29" i="5" s="1"/>
  <c r="M29" i="4"/>
  <c r="AG29" i="5" s="1"/>
  <c r="H29" i="4"/>
  <c r="AF29" i="5" s="1"/>
  <c r="AN29" i="5" s="1"/>
  <c r="H29" i="6" s="1"/>
  <c r="C29" i="4"/>
  <c r="B29" i="4"/>
  <c r="A29" i="4"/>
  <c r="AQ28" i="4"/>
  <c r="AM28" i="5" s="1"/>
  <c r="AL28" i="4"/>
  <c r="AL28" i="5" s="1"/>
  <c r="AG28" i="4"/>
  <c r="AK28" i="5" s="1"/>
  <c r="AB28" i="4"/>
  <c r="AJ28" i="5" s="1"/>
  <c r="W28" i="4"/>
  <c r="AI28" i="5" s="1"/>
  <c r="R28" i="4"/>
  <c r="M28" i="4"/>
  <c r="H28" i="4"/>
  <c r="AF28" i="5" s="1"/>
  <c r="AN28" i="5" s="1"/>
  <c r="H28" i="6" s="1"/>
  <c r="C28" i="4"/>
  <c r="B28" i="4"/>
  <c r="A28" i="4"/>
  <c r="AQ27" i="4"/>
  <c r="AL27" i="4"/>
  <c r="AG27" i="4"/>
  <c r="AK27" i="5" s="1"/>
  <c r="AB27" i="4"/>
  <c r="AJ27" i="5" s="1"/>
  <c r="W27" i="4"/>
  <c r="R27" i="4"/>
  <c r="AH27" i="5" s="1"/>
  <c r="M27" i="4"/>
  <c r="AG27" i="5" s="1"/>
  <c r="H27" i="4"/>
  <c r="C27" i="4"/>
  <c r="B27" i="4"/>
  <c r="A27" i="4"/>
  <c r="AQ26" i="4"/>
  <c r="AL26" i="4"/>
  <c r="AG26" i="4"/>
  <c r="AB26" i="4"/>
  <c r="AJ26" i="5" s="1"/>
  <c r="W26" i="4"/>
  <c r="AI26" i="5" s="1"/>
  <c r="R26" i="4"/>
  <c r="AH26" i="5" s="1"/>
  <c r="M26" i="4"/>
  <c r="AG26" i="5" s="1"/>
  <c r="H26" i="4"/>
  <c r="AF26" i="5" s="1"/>
  <c r="AN26" i="5" s="1"/>
  <c r="H26" i="6" s="1"/>
  <c r="C26" i="4"/>
  <c r="B26" i="4"/>
  <c r="A26" i="4"/>
  <c r="AQ25" i="4"/>
  <c r="AM25" i="5" s="1"/>
  <c r="AL25" i="4"/>
  <c r="AL25" i="5" s="1"/>
  <c r="AG25" i="4"/>
  <c r="AB25" i="4"/>
  <c r="AJ25" i="5" s="1"/>
  <c r="W25" i="4"/>
  <c r="AI25" i="5" s="1"/>
  <c r="R25" i="4"/>
  <c r="AH25" i="5" s="1"/>
  <c r="M25" i="4"/>
  <c r="AG25" i="5" s="1"/>
  <c r="H25" i="4"/>
  <c r="C25" i="4"/>
  <c r="B25" i="4"/>
  <c r="A25" i="4"/>
  <c r="AQ24" i="4"/>
  <c r="AM24" i="5" s="1"/>
  <c r="AL24" i="4"/>
  <c r="AG24" i="4"/>
  <c r="AB24" i="4"/>
  <c r="W24" i="4"/>
  <c r="R24" i="4"/>
  <c r="AH24" i="5" s="1"/>
  <c r="M24" i="4"/>
  <c r="AG24" i="5" s="1"/>
  <c r="H24" i="4"/>
  <c r="AF24" i="5" s="1"/>
  <c r="AN24" i="5" s="1"/>
  <c r="H24" i="6" s="1"/>
  <c r="C24" i="4"/>
  <c r="B24" i="4"/>
  <c r="A24" i="4"/>
  <c r="AQ23" i="4"/>
  <c r="AM23" i="5" s="1"/>
  <c r="AL23" i="4"/>
  <c r="AG23" i="4"/>
  <c r="AK23" i="5" s="1"/>
  <c r="AB23" i="4"/>
  <c r="W23" i="4"/>
  <c r="AI23" i="5" s="1"/>
  <c r="R23" i="4"/>
  <c r="AH23" i="5" s="1"/>
  <c r="M23" i="4"/>
  <c r="AG23" i="5" s="1"/>
  <c r="H23" i="4"/>
  <c r="AF23" i="5" s="1"/>
  <c r="C23" i="4"/>
  <c r="B23" i="4"/>
  <c r="A23" i="4"/>
  <c r="AQ22" i="4"/>
  <c r="AM22" i="5" s="1"/>
  <c r="AL22" i="4"/>
  <c r="AL22" i="5" s="1"/>
  <c r="AG22" i="4"/>
  <c r="AK22" i="5" s="1"/>
  <c r="AB22" i="4"/>
  <c r="AJ22" i="5" s="1"/>
  <c r="W22" i="4"/>
  <c r="AI22" i="5" s="1"/>
  <c r="R22" i="4"/>
  <c r="M22" i="4"/>
  <c r="H22" i="4"/>
  <c r="AF22" i="5" s="1"/>
  <c r="AN22" i="5" s="1"/>
  <c r="H22" i="6" s="1"/>
  <c r="C22" i="4"/>
  <c r="B22" i="4"/>
  <c r="A22" i="4"/>
  <c r="AQ21" i="4"/>
  <c r="AM21" i="5" s="1"/>
  <c r="AL21" i="4"/>
  <c r="AG21" i="4"/>
  <c r="AK21" i="5" s="1"/>
  <c r="AB21" i="4"/>
  <c r="W21" i="4"/>
  <c r="R21" i="4"/>
  <c r="AH21" i="5" s="1"/>
  <c r="M21" i="4"/>
  <c r="H21" i="4"/>
  <c r="C21" i="4"/>
  <c r="B21" i="4"/>
  <c r="A21" i="4"/>
  <c r="AQ20" i="4"/>
  <c r="AL20" i="4"/>
  <c r="AL20" i="5" s="1"/>
  <c r="AG20" i="4"/>
  <c r="AK20" i="5" s="1"/>
  <c r="AB20" i="4"/>
  <c r="AJ20" i="5" s="1"/>
  <c r="W20" i="4"/>
  <c r="AI20" i="5" s="1"/>
  <c r="R20" i="4"/>
  <c r="AH20" i="5" s="1"/>
  <c r="M20" i="4"/>
  <c r="AG20" i="5" s="1"/>
  <c r="H20" i="4"/>
  <c r="AF20" i="5" s="1"/>
  <c r="C20" i="4"/>
  <c r="B20" i="4"/>
  <c r="A20" i="4"/>
  <c r="AQ19" i="4"/>
  <c r="AM19" i="5" s="1"/>
  <c r="AL19" i="4"/>
  <c r="AL19" i="5" s="1"/>
  <c r="AG19" i="4"/>
  <c r="AK19" i="5" s="1"/>
  <c r="AB19" i="4"/>
  <c r="AJ19" i="5" s="1"/>
  <c r="W19" i="4"/>
  <c r="AI19" i="5" s="1"/>
  <c r="R19" i="4"/>
  <c r="M19" i="4"/>
  <c r="H19" i="4"/>
  <c r="C19" i="4"/>
  <c r="B19" i="4"/>
  <c r="A19" i="4"/>
  <c r="AQ18" i="4"/>
  <c r="AM18" i="5" s="1"/>
  <c r="AL18" i="4"/>
  <c r="AL18" i="5" s="1"/>
  <c r="AG18" i="4"/>
  <c r="AB18" i="4"/>
  <c r="W18" i="4"/>
  <c r="R18" i="4"/>
  <c r="AH18" i="5" s="1"/>
  <c r="M18" i="4"/>
  <c r="H18" i="4"/>
  <c r="C18" i="4"/>
  <c r="B18" i="4"/>
  <c r="A18" i="4"/>
  <c r="AQ17" i="4"/>
  <c r="AM17" i="5" s="1"/>
  <c r="AL17" i="4"/>
  <c r="AL17" i="5" s="1"/>
  <c r="AG17" i="4"/>
  <c r="AK17" i="5" s="1"/>
  <c r="AB17" i="4"/>
  <c r="W17" i="4"/>
  <c r="AI17" i="5" s="1"/>
  <c r="R17" i="4"/>
  <c r="AH17" i="5" s="1"/>
  <c r="M17" i="4"/>
  <c r="AG17" i="5" s="1"/>
  <c r="H17" i="4"/>
  <c r="AF17" i="5" s="1"/>
  <c r="C17" i="4"/>
  <c r="B17" i="4"/>
  <c r="A17" i="4"/>
  <c r="AQ16" i="4"/>
  <c r="AM16" i="5" s="1"/>
  <c r="AL16" i="4"/>
  <c r="AL16" i="5" s="1"/>
  <c r="AG16" i="4"/>
  <c r="AK16" i="5" s="1"/>
  <c r="AB16" i="4"/>
  <c r="AJ16" i="5" s="1"/>
  <c r="W16" i="4"/>
  <c r="AI16" i="5" s="1"/>
  <c r="R16" i="4"/>
  <c r="M16" i="4"/>
  <c r="H16" i="4"/>
  <c r="AF16" i="5" s="1"/>
  <c r="AN16" i="5" s="1"/>
  <c r="H16" i="6" s="1"/>
  <c r="C16" i="4"/>
  <c r="B16" i="4"/>
  <c r="A16" i="4"/>
  <c r="AQ15" i="4"/>
  <c r="AL15" i="4"/>
  <c r="AG15" i="4"/>
  <c r="AK15" i="5" s="1"/>
  <c r="AB15" i="4"/>
  <c r="AJ15" i="5" s="1"/>
  <c r="W15" i="4"/>
  <c r="AI15" i="5" s="1"/>
  <c r="R15" i="4"/>
  <c r="AH15" i="5" s="1"/>
  <c r="M15" i="4"/>
  <c r="AG15" i="5" s="1"/>
  <c r="H15" i="4"/>
  <c r="C15" i="4"/>
  <c r="B15" i="4"/>
  <c r="A15" i="4"/>
  <c r="AQ14" i="4"/>
  <c r="AL14" i="4"/>
  <c r="AG14" i="4"/>
  <c r="AB14" i="4"/>
  <c r="AJ14" i="5" s="1"/>
  <c r="W14" i="4"/>
  <c r="AI14" i="5" s="1"/>
  <c r="R14" i="4"/>
  <c r="AH14" i="5" s="1"/>
  <c r="M14" i="4"/>
  <c r="AG14" i="5" s="1"/>
  <c r="H14" i="4"/>
  <c r="AF14" i="5" s="1"/>
  <c r="AN14" i="5" s="1"/>
  <c r="H14" i="6" s="1"/>
  <c r="C14" i="4"/>
  <c r="B14" i="4"/>
  <c r="A14" i="4"/>
  <c r="AQ13" i="4"/>
  <c r="AM13" i="5" s="1"/>
  <c r="AL13" i="4"/>
  <c r="AL13" i="5" s="1"/>
  <c r="AG13" i="4"/>
  <c r="AB13" i="4"/>
  <c r="AJ13" i="5" s="1"/>
  <c r="W13" i="4"/>
  <c r="AI13" i="5" s="1"/>
  <c r="R13" i="4"/>
  <c r="AH13" i="5" s="1"/>
  <c r="M13" i="4"/>
  <c r="AG13" i="5" s="1"/>
  <c r="H13" i="4"/>
  <c r="AF13" i="5" s="1"/>
  <c r="AN13" i="5" s="1"/>
  <c r="H13" i="6" s="1"/>
  <c r="C13" i="4"/>
  <c r="B13" i="4"/>
  <c r="A13" i="4"/>
  <c r="AQ12" i="4"/>
  <c r="AM12" i="5" s="1"/>
  <c r="AL12" i="4"/>
  <c r="AG12" i="4"/>
  <c r="AB12" i="4"/>
  <c r="W12" i="4"/>
  <c r="R12" i="4"/>
  <c r="AH12" i="5" s="1"/>
  <c r="M12" i="4"/>
  <c r="AG12" i="5" s="1"/>
  <c r="H12" i="4"/>
  <c r="AF12" i="5" s="1"/>
  <c r="AN12" i="5" s="1"/>
  <c r="H12" i="6" s="1"/>
  <c r="C12" i="4"/>
  <c r="B12" i="4"/>
  <c r="A12" i="4"/>
  <c r="AQ11" i="4"/>
  <c r="AM11" i="5" s="1"/>
  <c r="AL11" i="4"/>
  <c r="AG11" i="4"/>
  <c r="AK11" i="5" s="1"/>
  <c r="AB11" i="4"/>
  <c r="W11" i="4"/>
  <c r="AI11" i="5" s="1"/>
  <c r="R11" i="4"/>
  <c r="AH11" i="5" s="1"/>
  <c r="M11" i="4"/>
  <c r="AG11" i="5" s="1"/>
  <c r="H11" i="4"/>
  <c r="AF11" i="5" s="1"/>
  <c r="C11" i="4"/>
  <c r="B11" i="4"/>
  <c r="A11" i="4"/>
  <c r="AQ10" i="4"/>
  <c r="AM10" i="5" s="1"/>
  <c r="AL10" i="4"/>
  <c r="AL10" i="5" s="1"/>
  <c r="AG10" i="4"/>
  <c r="AK10" i="5" s="1"/>
  <c r="AB10" i="4"/>
  <c r="AJ10" i="5" s="1"/>
  <c r="W10" i="4"/>
  <c r="AI10" i="5" s="1"/>
  <c r="R10" i="4"/>
  <c r="M10" i="4"/>
  <c r="H10" i="4"/>
  <c r="AF10" i="5" s="1"/>
  <c r="AN10" i="5" s="1"/>
  <c r="H10" i="6" s="1"/>
  <c r="C10" i="4"/>
  <c r="B10" i="4"/>
  <c r="A10" i="4"/>
  <c r="AQ9" i="4"/>
  <c r="AM9" i="5" s="1"/>
  <c r="AL9" i="4"/>
  <c r="AG9" i="4"/>
  <c r="AB9" i="4"/>
  <c r="W9" i="4"/>
  <c r="R9" i="4"/>
  <c r="AH9" i="5" s="1"/>
  <c r="M9" i="4"/>
  <c r="H9" i="4"/>
  <c r="C9" i="4"/>
  <c r="B9" i="4"/>
  <c r="A9" i="4"/>
  <c r="AQ8" i="4"/>
  <c r="AL8" i="4"/>
  <c r="AL8" i="5" s="1"/>
  <c r="AG8" i="4"/>
  <c r="AK8" i="5" s="1"/>
  <c r="AB8" i="4"/>
  <c r="AJ8" i="5" s="1"/>
  <c r="W8" i="4"/>
  <c r="AI8" i="5" s="1"/>
  <c r="R8" i="4"/>
  <c r="AH8" i="5" s="1"/>
  <c r="M8" i="4"/>
  <c r="AG8" i="5" s="1"/>
  <c r="H8" i="4"/>
  <c r="AF8" i="5" s="1"/>
  <c r="C8" i="4"/>
  <c r="B8" i="4"/>
  <c r="A8" i="4"/>
  <c r="AQ7" i="4"/>
  <c r="AM7" i="5" s="1"/>
  <c r="AL7" i="4"/>
  <c r="AL7" i="5" s="1"/>
  <c r="AG7" i="4"/>
  <c r="AK7" i="5" s="1"/>
  <c r="AB7" i="4"/>
  <c r="AJ7" i="5" s="1"/>
  <c r="W7" i="4"/>
  <c r="AI7" i="5" s="1"/>
  <c r="R7" i="4"/>
  <c r="M7" i="4"/>
  <c r="H7" i="4"/>
  <c r="C7" i="4"/>
  <c r="B7" i="4"/>
  <c r="A7" i="4"/>
  <c r="AQ6" i="4"/>
  <c r="AM6" i="5" s="1"/>
  <c r="AL6" i="4"/>
  <c r="AL6" i="5" s="1"/>
  <c r="AG6" i="4"/>
  <c r="AK6" i="5" s="1"/>
  <c r="AB6" i="4"/>
  <c r="R6" i="4"/>
  <c r="AH6" i="5" s="1"/>
  <c r="C6" i="4"/>
  <c r="B6" i="4"/>
  <c r="A6" i="4"/>
  <c r="M64" i="3"/>
  <c r="N64" i="3" s="1"/>
  <c r="M65" i="5" s="1"/>
  <c r="E65" i="6" s="1"/>
  <c r="L64" i="3"/>
  <c r="C64" i="3"/>
  <c r="B64" i="3"/>
  <c r="A64" i="3"/>
  <c r="N63" i="3"/>
  <c r="M64" i="5" s="1"/>
  <c r="E64" i="6" s="1"/>
  <c r="L63" i="3"/>
  <c r="C63" i="3"/>
  <c r="B63" i="3"/>
  <c r="A63" i="3"/>
  <c r="L62" i="3"/>
  <c r="C62" i="3"/>
  <c r="B62" i="3"/>
  <c r="A62" i="3"/>
  <c r="N61" i="3"/>
  <c r="M62" i="5" s="1"/>
  <c r="E62" i="6" s="1"/>
  <c r="M61" i="3"/>
  <c r="L61" i="3"/>
  <c r="C61" i="3"/>
  <c r="B61" i="3"/>
  <c r="A61" i="3"/>
  <c r="L60" i="3"/>
  <c r="C60" i="3"/>
  <c r="B60" i="3"/>
  <c r="A60" i="3"/>
  <c r="L59" i="3"/>
  <c r="C59" i="3"/>
  <c r="B59" i="3"/>
  <c r="A59" i="3"/>
  <c r="M58" i="3"/>
  <c r="L58" i="3"/>
  <c r="N58" i="3" s="1"/>
  <c r="M59" i="5" s="1"/>
  <c r="E59" i="6" s="1"/>
  <c r="C58" i="3"/>
  <c r="B58" i="3"/>
  <c r="A58" i="3"/>
  <c r="L57" i="3"/>
  <c r="C57" i="3"/>
  <c r="B57" i="3"/>
  <c r="A57" i="3"/>
  <c r="L56" i="3"/>
  <c r="C56" i="3"/>
  <c r="B56" i="3"/>
  <c r="A56" i="3"/>
  <c r="N55" i="3"/>
  <c r="M55" i="3"/>
  <c r="L55" i="3"/>
  <c r="C55" i="3"/>
  <c r="B55" i="3"/>
  <c r="A55" i="3"/>
  <c r="L54" i="3"/>
  <c r="C54" i="3"/>
  <c r="B54" i="3"/>
  <c r="A54" i="3"/>
  <c r="L53" i="3"/>
  <c r="C53" i="3"/>
  <c r="B53" i="3"/>
  <c r="A53" i="3"/>
  <c r="M52" i="3"/>
  <c r="N52" i="3" s="1"/>
  <c r="M53" i="5" s="1"/>
  <c r="E53" i="6" s="1"/>
  <c r="L52" i="3"/>
  <c r="C52" i="3"/>
  <c r="B52" i="3"/>
  <c r="A52" i="3"/>
  <c r="L51" i="3"/>
  <c r="C51" i="3"/>
  <c r="B51" i="3"/>
  <c r="A51" i="3"/>
  <c r="L50" i="3"/>
  <c r="C50" i="3"/>
  <c r="B50" i="3"/>
  <c r="A50" i="3"/>
  <c r="N49" i="3"/>
  <c r="M50" i="5" s="1"/>
  <c r="E50" i="6" s="1"/>
  <c r="M49" i="3"/>
  <c r="L49" i="3"/>
  <c r="C49" i="3"/>
  <c r="B49" i="3"/>
  <c r="A49" i="3"/>
  <c r="L48" i="3"/>
  <c r="C48" i="3"/>
  <c r="B48" i="3"/>
  <c r="A48" i="3"/>
  <c r="L47" i="3"/>
  <c r="C47" i="3"/>
  <c r="B47" i="3"/>
  <c r="A47" i="3"/>
  <c r="M46" i="3"/>
  <c r="N46" i="3" s="1"/>
  <c r="M47" i="5" s="1"/>
  <c r="E47" i="6" s="1"/>
  <c r="L46" i="3"/>
  <c r="C46" i="3"/>
  <c r="B46" i="3"/>
  <c r="A46" i="3"/>
  <c r="L45" i="3"/>
  <c r="N45" i="3" s="1"/>
  <c r="M46" i="5" s="1"/>
  <c r="E46" i="6" s="1"/>
  <c r="C45" i="3"/>
  <c r="B45" i="3"/>
  <c r="A45" i="3"/>
  <c r="M44" i="3"/>
  <c r="L44" i="3"/>
  <c r="N44" i="3" s="1"/>
  <c r="M45" i="5" s="1"/>
  <c r="E45" i="6" s="1"/>
  <c r="C44" i="3"/>
  <c r="B44" i="3"/>
  <c r="A44" i="3"/>
  <c r="M43" i="3"/>
  <c r="L43" i="3"/>
  <c r="N43" i="3" s="1"/>
  <c r="M44" i="5" s="1"/>
  <c r="E44" i="6" s="1"/>
  <c r="C43" i="3"/>
  <c r="B43" i="3"/>
  <c r="A43" i="3"/>
  <c r="M42" i="3"/>
  <c r="L42" i="3"/>
  <c r="N42" i="3" s="1"/>
  <c r="M43" i="5" s="1"/>
  <c r="E43" i="6" s="1"/>
  <c r="C42" i="3"/>
  <c r="B42" i="3"/>
  <c r="A42" i="3"/>
  <c r="L41" i="3"/>
  <c r="N41" i="3" s="1"/>
  <c r="M42" i="5" s="1"/>
  <c r="E42" i="6" s="1"/>
  <c r="C41" i="3"/>
  <c r="B41" i="3"/>
  <c r="A41" i="3"/>
  <c r="M40" i="3"/>
  <c r="L40" i="3"/>
  <c r="N40" i="3" s="1"/>
  <c r="M41" i="5" s="1"/>
  <c r="E41" i="6" s="1"/>
  <c r="C40" i="3"/>
  <c r="B40" i="3"/>
  <c r="A40" i="3"/>
  <c r="L39" i="3"/>
  <c r="N39" i="3" s="1"/>
  <c r="M40" i="5" s="1"/>
  <c r="E40" i="6" s="1"/>
  <c r="C39" i="3"/>
  <c r="B39" i="3"/>
  <c r="A39" i="3"/>
  <c r="L38" i="3"/>
  <c r="C38" i="3"/>
  <c r="B38" i="3"/>
  <c r="A38" i="3"/>
  <c r="N37" i="3"/>
  <c r="M38" i="5" s="1"/>
  <c r="E38" i="6" s="1"/>
  <c r="M37" i="3"/>
  <c r="L37" i="3"/>
  <c r="C37" i="3"/>
  <c r="B37" i="3"/>
  <c r="A37" i="3"/>
  <c r="L36" i="3"/>
  <c r="C36" i="3"/>
  <c r="B36" i="3"/>
  <c r="A36" i="3"/>
  <c r="L35" i="3"/>
  <c r="C35" i="3"/>
  <c r="B35" i="3"/>
  <c r="A35" i="3"/>
  <c r="M34" i="3"/>
  <c r="L34" i="3"/>
  <c r="N34" i="3" s="1"/>
  <c r="M35" i="5" s="1"/>
  <c r="E35" i="6" s="1"/>
  <c r="C34" i="3"/>
  <c r="B34" i="3"/>
  <c r="A34" i="3"/>
  <c r="L33" i="3"/>
  <c r="N33" i="3" s="1"/>
  <c r="M34" i="5" s="1"/>
  <c r="E34" i="6" s="1"/>
  <c r="C33" i="3"/>
  <c r="B33" i="3"/>
  <c r="A33" i="3"/>
  <c r="L32" i="3"/>
  <c r="C32" i="3"/>
  <c r="B32" i="3"/>
  <c r="A32" i="3"/>
  <c r="N31" i="3"/>
  <c r="M32" i="5" s="1"/>
  <c r="E32" i="6" s="1"/>
  <c r="M31" i="3"/>
  <c r="L31" i="3"/>
  <c r="C31" i="3"/>
  <c r="B31" i="3"/>
  <c r="A31" i="3"/>
  <c r="L30" i="3"/>
  <c r="C30" i="3"/>
  <c r="B30" i="3"/>
  <c r="A30" i="3"/>
  <c r="N29" i="3"/>
  <c r="M30" i="5" s="1"/>
  <c r="E30" i="6" s="1"/>
  <c r="L29" i="3"/>
  <c r="C29" i="3"/>
  <c r="B29" i="3"/>
  <c r="A29" i="3"/>
  <c r="M28" i="3"/>
  <c r="N28" i="3" s="1"/>
  <c r="M29" i="5" s="1"/>
  <c r="E29" i="6" s="1"/>
  <c r="L28" i="3"/>
  <c r="C28" i="3"/>
  <c r="B28" i="3"/>
  <c r="A28" i="3"/>
  <c r="L27" i="3"/>
  <c r="N27" i="3" s="1"/>
  <c r="M28" i="5" s="1"/>
  <c r="E28" i="6" s="1"/>
  <c r="C27" i="3"/>
  <c r="B27" i="3"/>
  <c r="A27" i="3"/>
  <c r="L26" i="3"/>
  <c r="N26" i="3" s="1"/>
  <c r="M27" i="5" s="1"/>
  <c r="E27" i="6" s="1"/>
  <c r="C26" i="3"/>
  <c r="B26" i="3"/>
  <c r="A26" i="3"/>
  <c r="M25" i="3"/>
  <c r="L25" i="3"/>
  <c r="N25" i="3" s="1"/>
  <c r="M26" i="5" s="1"/>
  <c r="E26" i="6" s="1"/>
  <c r="C25" i="3"/>
  <c r="B25" i="3"/>
  <c r="A25" i="3"/>
  <c r="L24" i="3"/>
  <c r="N24" i="3" s="1"/>
  <c r="M25" i="5" s="1"/>
  <c r="E25" i="6" s="1"/>
  <c r="C24" i="3"/>
  <c r="B24" i="3"/>
  <c r="A24" i="3"/>
  <c r="L23" i="3"/>
  <c r="N23" i="3" s="1"/>
  <c r="M24" i="5" s="1"/>
  <c r="E24" i="6" s="1"/>
  <c r="C23" i="3"/>
  <c r="B23" i="3"/>
  <c r="A23" i="3"/>
  <c r="M22" i="3"/>
  <c r="L22" i="3"/>
  <c r="N22" i="3" s="1"/>
  <c r="M23" i="5" s="1"/>
  <c r="E23" i="6" s="1"/>
  <c r="C22" i="3"/>
  <c r="B22" i="3"/>
  <c r="A22" i="3"/>
  <c r="L21" i="3"/>
  <c r="N21" i="3" s="1"/>
  <c r="M22" i="5" s="1"/>
  <c r="E22" i="6" s="1"/>
  <c r="C21" i="3"/>
  <c r="B21" i="3"/>
  <c r="A21" i="3"/>
  <c r="L20" i="3"/>
  <c r="C20" i="3"/>
  <c r="B20" i="3"/>
  <c r="A20" i="3"/>
  <c r="M19" i="3"/>
  <c r="L19" i="3"/>
  <c r="N19" i="3" s="1"/>
  <c r="M20" i="5" s="1"/>
  <c r="E20" i="6" s="1"/>
  <c r="C19" i="3"/>
  <c r="B19" i="3"/>
  <c r="A19" i="3"/>
  <c r="L18" i="3"/>
  <c r="C18" i="3"/>
  <c r="B18" i="3"/>
  <c r="A18" i="3"/>
  <c r="L17" i="3"/>
  <c r="N17" i="3" s="1"/>
  <c r="M18" i="5" s="1"/>
  <c r="E18" i="6" s="1"/>
  <c r="C17" i="3"/>
  <c r="B17" i="3"/>
  <c r="A17" i="3"/>
  <c r="M16" i="3"/>
  <c r="N16" i="3" s="1"/>
  <c r="M17" i="5" s="1"/>
  <c r="E17" i="6" s="1"/>
  <c r="L16" i="3"/>
  <c r="C16" i="3"/>
  <c r="B16" i="3"/>
  <c r="A16" i="3"/>
  <c r="L15" i="3"/>
  <c r="C15" i="3"/>
  <c r="B15" i="3"/>
  <c r="A15" i="3"/>
  <c r="L14" i="3"/>
  <c r="C14" i="3"/>
  <c r="B14" i="3"/>
  <c r="A14" i="3"/>
  <c r="N13" i="3"/>
  <c r="M13" i="3"/>
  <c r="L13" i="3"/>
  <c r="C13" i="3"/>
  <c r="B13" i="3"/>
  <c r="A13" i="3"/>
  <c r="L12" i="3"/>
  <c r="C12" i="3"/>
  <c r="B12" i="3"/>
  <c r="A12" i="3"/>
  <c r="L11" i="3"/>
  <c r="C11" i="3"/>
  <c r="B11" i="3"/>
  <c r="A11" i="3"/>
  <c r="M10" i="3"/>
  <c r="N10" i="3" s="1"/>
  <c r="M11" i="5" s="1"/>
  <c r="E11" i="6" s="1"/>
  <c r="L10" i="3"/>
  <c r="C10" i="3"/>
  <c r="B10" i="3"/>
  <c r="A10" i="3"/>
  <c r="L9" i="3"/>
  <c r="N9" i="3" s="1"/>
  <c r="M10" i="5" s="1"/>
  <c r="E10" i="6" s="1"/>
  <c r="C9" i="3"/>
  <c r="B9" i="3"/>
  <c r="A9" i="3"/>
  <c r="M8" i="3"/>
  <c r="L8" i="3"/>
  <c r="N8" i="3" s="1"/>
  <c r="M9" i="5" s="1"/>
  <c r="E9" i="6" s="1"/>
  <c r="C8" i="3"/>
  <c r="B8" i="3"/>
  <c r="A8" i="3"/>
  <c r="M7" i="3"/>
  <c r="L7" i="3"/>
  <c r="N7" i="3" s="1"/>
  <c r="M8" i="5" s="1"/>
  <c r="E8" i="6" s="1"/>
  <c r="C7" i="3"/>
  <c r="B7" i="3"/>
  <c r="A7" i="3"/>
  <c r="M6" i="3"/>
  <c r="L6" i="3"/>
  <c r="N6" i="3" s="1"/>
  <c r="M7" i="5" s="1"/>
  <c r="E7" i="6" s="1"/>
  <c r="C6" i="3"/>
  <c r="B6" i="3"/>
  <c r="A6" i="3"/>
  <c r="L5" i="3"/>
  <c r="C5" i="3"/>
  <c r="B5" i="3"/>
  <c r="A5" i="3"/>
  <c r="C97" i="2"/>
  <c r="B97" i="2"/>
  <c r="A97" i="2"/>
  <c r="C96" i="2"/>
  <c r="B96" i="2"/>
  <c r="A96" i="2"/>
  <c r="C95" i="2"/>
  <c r="B95" i="2"/>
  <c r="A95" i="2"/>
  <c r="C94" i="2"/>
  <c r="B94" i="2"/>
  <c r="A94" i="2"/>
  <c r="C93" i="2"/>
  <c r="B93" i="2"/>
  <c r="A93" i="2"/>
  <c r="C92" i="2"/>
  <c r="B92" i="2"/>
  <c r="A92" i="2"/>
  <c r="C91" i="2"/>
  <c r="B91" i="2"/>
  <c r="A91" i="2"/>
  <c r="C90" i="2"/>
  <c r="B90" i="2"/>
  <c r="A90" i="2"/>
  <c r="C89" i="2"/>
  <c r="B89" i="2"/>
  <c r="A89" i="2"/>
  <c r="C88" i="2"/>
  <c r="B88" i="2"/>
  <c r="A88" i="2"/>
  <c r="C87" i="2"/>
  <c r="B87" i="2"/>
  <c r="A87" i="2"/>
  <c r="C86" i="2"/>
  <c r="B86" i="2"/>
  <c r="A86" i="2"/>
  <c r="C85" i="2"/>
  <c r="B85" i="2"/>
  <c r="A85" i="2"/>
  <c r="C84" i="2"/>
  <c r="B84" i="2"/>
  <c r="A84" i="2"/>
  <c r="C83" i="2"/>
  <c r="B83" i="2"/>
  <c r="A83" i="2"/>
  <c r="C82" i="2"/>
  <c r="B82" i="2"/>
  <c r="A82" i="2"/>
  <c r="C81" i="2"/>
  <c r="B81" i="2"/>
  <c r="A81" i="2"/>
  <c r="C80" i="2"/>
  <c r="B80" i="2"/>
  <c r="A80" i="2"/>
  <c r="C79" i="2"/>
  <c r="B79" i="2"/>
  <c r="A79" i="2"/>
  <c r="L63" i="2"/>
  <c r="C63" i="2"/>
  <c r="B63" i="2"/>
  <c r="A63" i="2"/>
  <c r="L62" i="2"/>
  <c r="M63" i="3" s="1"/>
  <c r="C62" i="2"/>
  <c r="B62" i="2"/>
  <c r="A62" i="2"/>
  <c r="L61" i="2"/>
  <c r="M62" i="3" s="1"/>
  <c r="C61" i="2"/>
  <c r="B61" i="2"/>
  <c r="A61" i="2"/>
  <c r="L60" i="2"/>
  <c r="C60" i="2"/>
  <c r="B60" i="2"/>
  <c r="A60" i="2"/>
  <c r="L59" i="2"/>
  <c r="M60" i="3" s="1"/>
  <c r="C59" i="2"/>
  <c r="B59" i="2"/>
  <c r="A59" i="2"/>
  <c r="L58" i="2"/>
  <c r="M59" i="3" s="1"/>
  <c r="N59" i="3" s="1"/>
  <c r="M60" i="5" s="1"/>
  <c r="E60" i="6" s="1"/>
  <c r="C58" i="2"/>
  <c r="B58" i="2"/>
  <c r="A58" i="2"/>
  <c r="L57" i="2"/>
  <c r="C57" i="2"/>
  <c r="B57" i="2"/>
  <c r="A57" i="2"/>
  <c r="L56" i="2"/>
  <c r="M57" i="3" s="1"/>
  <c r="N57" i="3" s="1"/>
  <c r="M58" i="5" s="1"/>
  <c r="E58" i="6" s="1"/>
  <c r="C56" i="2"/>
  <c r="B56" i="2"/>
  <c r="A56" i="2"/>
  <c r="L55" i="2"/>
  <c r="M56" i="3" s="1"/>
  <c r="N56" i="3" s="1"/>
  <c r="M57" i="5" s="1"/>
  <c r="E57" i="6" s="1"/>
  <c r="C55" i="2"/>
  <c r="B55" i="2"/>
  <c r="A55" i="2"/>
  <c r="L54" i="2"/>
  <c r="C54" i="2"/>
  <c r="B54" i="2"/>
  <c r="A54" i="2"/>
  <c r="L53" i="2"/>
  <c r="M54" i="3" s="1"/>
  <c r="N54" i="3" s="1"/>
  <c r="M55" i="5" s="1"/>
  <c r="E55" i="6" s="1"/>
  <c r="C53" i="2"/>
  <c r="B53" i="2"/>
  <c r="A53" i="2"/>
  <c r="L52" i="2"/>
  <c r="M53" i="3" s="1"/>
  <c r="N53" i="3" s="1"/>
  <c r="M54" i="5" s="1"/>
  <c r="E54" i="6" s="1"/>
  <c r="C52" i="2"/>
  <c r="B52" i="2"/>
  <c r="A52" i="2"/>
  <c r="L51" i="2"/>
  <c r="C51" i="2"/>
  <c r="B51" i="2"/>
  <c r="A51" i="2"/>
  <c r="L50" i="2"/>
  <c r="M51" i="3" s="1"/>
  <c r="N51" i="3" s="1"/>
  <c r="M52" i="5" s="1"/>
  <c r="E52" i="6" s="1"/>
  <c r="C50" i="2"/>
  <c r="B50" i="2"/>
  <c r="A50" i="2"/>
  <c r="L49" i="2"/>
  <c r="M50" i="3" s="1"/>
  <c r="N50" i="3" s="1"/>
  <c r="M51" i="5" s="1"/>
  <c r="E51" i="6" s="1"/>
  <c r="C49" i="2"/>
  <c r="B49" i="2"/>
  <c r="A49" i="2"/>
  <c r="L48" i="2"/>
  <c r="C48" i="2"/>
  <c r="B48" i="2"/>
  <c r="A48" i="2"/>
  <c r="L47" i="2"/>
  <c r="M48" i="3" s="1"/>
  <c r="N48" i="3" s="1"/>
  <c r="M49" i="5" s="1"/>
  <c r="E49" i="6" s="1"/>
  <c r="C47" i="2"/>
  <c r="B47" i="2"/>
  <c r="A47" i="2"/>
  <c r="L46" i="2"/>
  <c r="M47" i="3" s="1"/>
  <c r="N47" i="3" s="1"/>
  <c r="M48" i="5" s="1"/>
  <c r="E48" i="6" s="1"/>
  <c r="C46" i="2"/>
  <c r="B46" i="2"/>
  <c r="A46" i="2"/>
  <c r="L45" i="2"/>
  <c r="C45" i="2"/>
  <c r="B45" i="2"/>
  <c r="A45" i="2"/>
  <c r="L44" i="2"/>
  <c r="M45" i="3" s="1"/>
  <c r="C44" i="2"/>
  <c r="B44" i="2"/>
  <c r="A44" i="2"/>
  <c r="L43" i="2"/>
  <c r="C43" i="2"/>
  <c r="B43" i="2"/>
  <c r="A43" i="2"/>
  <c r="L42" i="2"/>
  <c r="C42" i="2"/>
  <c r="B42" i="2"/>
  <c r="A42" i="2"/>
  <c r="L41" i="2"/>
  <c r="C41" i="2"/>
  <c r="B41" i="2"/>
  <c r="A41" i="2"/>
  <c r="L40" i="2"/>
  <c r="M41" i="3" s="1"/>
  <c r="C40" i="2"/>
  <c r="B40" i="2"/>
  <c r="A40" i="2"/>
  <c r="L39" i="2"/>
  <c r="C39" i="2"/>
  <c r="B39" i="2"/>
  <c r="A39" i="2"/>
  <c r="L38" i="2"/>
  <c r="M39" i="3" s="1"/>
  <c r="C38" i="2"/>
  <c r="B38" i="2"/>
  <c r="A38" i="2"/>
  <c r="L37" i="2"/>
  <c r="M38" i="3" s="1"/>
  <c r="C37" i="2"/>
  <c r="B37" i="2"/>
  <c r="A37" i="2"/>
  <c r="L36" i="2"/>
  <c r="C36" i="2"/>
  <c r="B36" i="2"/>
  <c r="A36" i="2"/>
  <c r="L35" i="2"/>
  <c r="M36" i="3" s="1"/>
  <c r="C35" i="2"/>
  <c r="B35" i="2"/>
  <c r="A35" i="2"/>
  <c r="L34" i="2"/>
  <c r="M35" i="3" s="1"/>
  <c r="N35" i="3" s="1"/>
  <c r="M36" i="5" s="1"/>
  <c r="E36" i="6" s="1"/>
  <c r="C34" i="2"/>
  <c r="B34" i="2"/>
  <c r="A34" i="2"/>
  <c r="L33" i="2"/>
  <c r="C33" i="2"/>
  <c r="B33" i="2"/>
  <c r="A33" i="2"/>
  <c r="L32" i="2"/>
  <c r="M33" i="3" s="1"/>
  <c r="C32" i="2"/>
  <c r="B32" i="2"/>
  <c r="A32" i="2"/>
  <c r="L31" i="2"/>
  <c r="M32" i="3" s="1"/>
  <c r="N32" i="3" s="1"/>
  <c r="M33" i="5" s="1"/>
  <c r="E33" i="6" s="1"/>
  <c r="C31" i="2"/>
  <c r="B31" i="2"/>
  <c r="A31" i="2"/>
  <c r="L30" i="2"/>
  <c r="C30" i="2"/>
  <c r="B30" i="2"/>
  <c r="A30" i="2"/>
  <c r="L29" i="2"/>
  <c r="M30" i="3" s="1"/>
  <c r="N30" i="3" s="1"/>
  <c r="M31" i="5" s="1"/>
  <c r="E31" i="6" s="1"/>
  <c r="C29" i="2"/>
  <c r="B29" i="2"/>
  <c r="A29" i="2"/>
  <c r="L28" i="2"/>
  <c r="M29" i="3" s="1"/>
  <c r="C28" i="2"/>
  <c r="B28" i="2"/>
  <c r="A28" i="2"/>
  <c r="L27" i="2"/>
  <c r="C27" i="2"/>
  <c r="B27" i="2"/>
  <c r="A27" i="2"/>
  <c r="L26" i="2"/>
  <c r="M27" i="3" s="1"/>
  <c r="C26" i="2"/>
  <c r="B26" i="2"/>
  <c r="A26" i="2"/>
  <c r="L25" i="2"/>
  <c r="M26" i="3" s="1"/>
  <c r="C25" i="2"/>
  <c r="B25" i="2"/>
  <c r="A25" i="2"/>
  <c r="L24" i="2"/>
  <c r="C24" i="2"/>
  <c r="B24" i="2"/>
  <c r="A24" i="2"/>
  <c r="L23" i="2"/>
  <c r="M24" i="3" s="1"/>
  <c r="C23" i="2"/>
  <c r="B23" i="2"/>
  <c r="A23" i="2"/>
  <c r="L22" i="2"/>
  <c r="M23" i="3" s="1"/>
  <c r="C22" i="2"/>
  <c r="B22" i="2"/>
  <c r="A22" i="2"/>
  <c r="L21" i="2"/>
  <c r="C21" i="2"/>
  <c r="B21" i="2"/>
  <c r="A21" i="2"/>
  <c r="L20" i="2"/>
  <c r="M21" i="3" s="1"/>
  <c r="C20" i="2"/>
  <c r="B20" i="2"/>
  <c r="A20" i="2"/>
  <c r="L19" i="2"/>
  <c r="M20" i="3" s="1"/>
  <c r="N20" i="3" s="1"/>
  <c r="M21" i="5" s="1"/>
  <c r="E21" i="6" s="1"/>
  <c r="C19" i="2"/>
  <c r="B19" i="2"/>
  <c r="A19" i="2"/>
  <c r="L18" i="2"/>
  <c r="C18" i="2"/>
  <c r="B18" i="2"/>
  <c r="A18" i="2"/>
  <c r="L17" i="2"/>
  <c r="M18" i="3" s="1"/>
  <c r="N18" i="3" s="1"/>
  <c r="M19" i="5" s="1"/>
  <c r="E19" i="6" s="1"/>
  <c r="C17" i="2"/>
  <c r="B17" i="2"/>
  <c r="A17" i="2"/>
  <c r="L16" i="2"/>
  <c r="M17" i="3" s="1"/>
  <c r="C16" i="2"/>
  <c r="B16" i="2"/>
  <c r="A16" i="2"/>
  <c r="L15" i="2"/>
  <c r="C15" i="2"/>
  <c r="B15" i="2"/>
  <c r="A15" i="2"/>
  <c r="L14" i="2"/>
  <c r="M15" i="3" s="1"/>
  <c r="N15" i="3" s="1"/>
  <c r="M16" i="5" s="1"/>
  <c r="E16" i="6" s="1"/>
  <c r="C14" i="2"/>
  <c r="B14" i="2"/>
  <c r="A14" i="2"/>
  <c r="L13" i="2"/>
  <c r="M14" i="3" s="1"/>
  <c r="N14" i="3" s="1"/>
  <c r="M15" i="5" s="1"/>
  <c r="E15" i="6" s="1"/>
  <c r="C13" i="2"/>
  <c r="B13" i="2"/>
  <c r="A13" i="2"/>
  <c r="L12" i="2"/>
  <c r="C12" i="2"/>
  <c r="B12" i="2"/>
  <c r="A12" i="2"/>
  <c r="L11" i="2"/>
  <c r="M12" i="3" s="1"/>
  <c r="N12" i="3" s="1"/>
  <c r="M13" i="5" s="1"/>
  <c r="E13" i="6" s="1"/>
  <c r="C11" i="2"/>
  <c r="B11" i="2"/>
  <c r="A11" i="2"/>
  <c r="L10" i="2"/>
  <c r="M11" i="3" s="1"/>
  <c r="N11" i="3" s="1"/>
  <c r="M12" i="5" s="1"/>
  <c r="E12" i="6" s="1"/>
  <c r="C10" i="2"/>
  <c r="B10" i="2"/>
  <c r="A10" i="2"/>
  <c r="L9" i="2"/>
  <c r="C9" i="2"/>
  <c r="B9" i="2"/>
  <c r="A9" i="2"/>
  <c r="L8" i="2"/>
  <c r="M9" i="3" s="1"/>
  <c r="C8" i="2"/>
  <c r="B8" i="2"/>
  <c r="A8" i="2"/>
  <c r="L7" i="2"/>
  <c r="C7" i="2"/>
  <c r="B7" i="2"/>
  <c r="A7" i="2"/>
  <c r="L6" i="2"/>
  <c r="C6" i="2"/>
  <c r="B6" i="2"/>
  <c r="A6" i="2"/>
  <c r="L5" i="2"/>
  <c r="C5" i="2"/>
  <c r="B5" i="2"/>
  <c r="A5" i="2"/>
  <c r="L4" i="2"/>
  <c r="C4" i="2"/>
  <c r="B4" i="2"/>
  <c r="A4" i="2"/>
  <c r="E53" i="1"/>
  <c r="I12" i="6" l="1"/>
  <c r="N5" i="3"/>
  <c r="M6" i="5" s="1"/>
  <c r="E6" i="6" s="1"/>
  <c r="AN23" i="5"/>
  <c r="H23" i="6" s="1"/>
  <c r="AN34" i="5"/>
  <c r="H34" i="6" s="1"/>
  <c r="I34" i="6" s="1"/>
  <c r="I23" i="6"/>
  <c r="AN11" i="5"/>
  <c r="H11" i="6" s="1"/>
  <c r="I11" i="6" s="1"/>
  <c r="N38" i="3"/>
  <c r="M39" i="5" s="1"/>
  <c r="E39" i="6" s="1"/>
  <c r="I39" i="6" s="1"/>
  <c r="I14" i="6"/>
  <c r="I60" i="6"/>
  <c r="N62" i="3"/>
  <c r="M63" i="5" s="1"/>
  <c r="E63" i="6" s="1"/>
  <c r="I58" i="6"/>
  <c r="N36" i="3"/>
  <c r="M37" i="5" s="1"/>
  <c r="E37" i="6" s="1"/>
  <c r="N60" i="3"/>
  <c r="M61" i="5" s="1"/>
  <c r="E61" i="6" s="1"/>
  <c r="AN8" i="5"/>
  <c r="H8" i="6" s="1"/>
  <c r="I8" i="6" s="1"/>
  <c r="AN17" i="5"/>
  <c r="H17" i="6" s="1"/>
  <c r="I17" i="6" s="1"/>
  <c r="AN20" i="5"/>
  <c r="H20" i="6" s="1"/>
  <c r="I20" i="6" s="1"/>
  <c r="AN41" i="5"/>
  <c r="H41" i="6" s="1"/>
  <c r="I41" i="6" s="1"/>
  <c r="AN6" i="5"/>
  <c r="H6" i="6" s="1"/>
  <c r="I6" i="6" s="1"/>
  <c r="AN47" i="5"/>
  <c r="H47" i="6" s="1"/>
  <c r="I47" i="6" s="1"/>
  <c r="I24" i="6"/>
  <c r="M5" i="3"/>
  <c r="L64" i="2"/>
  <c r="AN31" i="5"/>
  <c r="H31" i="6" s="1"/>
  <c r="I37" i="6"/>
  <c r="AN46" i="5"/>
  <c r="H46" i="6" s="1"/>
  <c r="I46" i="6" s="1"/>
  <c r="AN48" i="5"/>
  <c r="H48" i="6" s="1"/>
  <c r="I48" i="6" s="1"/>
  <c r="AN30" i="5"/>
  <c r="H30" i="6" s="1"/>
  <c r="I30" i="6" s="1"/>
  <c r="AN42" i="5"/>
  <c r="H42" i="6" s="1"/>
  <c r="I42" i="6" s="1"/>
  <c r="AN54" i="5"/>
  <c r="H54" i="6" s="1"/>
  <c r="I54" i="6" s="1"/>
  <c r="AN18" i="5"/>
  <c r="H18" i="6" s="1"/>
  <c r="I26" i="6"/>
  <c r="I28" i="6"/>
  <c r="I57" i="6"/>
  <c r="AN60" i="5"/>
  <c r="H60" i="6" s="1"/>
  <c r="AN64" i="5"/>
  <c r="H64" i="6" s="1"/>
  <c r="I64" i="6" s="1"/>
  <c r="I19" i="6"/>
  <c r="I27" i="6"/>
  <c r="I16" i="6"/>
  <c r="I13" i="6"/>
  <c r="I35" i="6"/>
  <c r="I31" i="6"/>
  <c r="I25" i="6"/>
  <c r="AN39" i="5"/>
  <c r="H39" i="6" s="1"/>
  <c r="AN51" i="5"/>
  <c r="H51" i="6" s="1"/>
  <c r="I51" i="6" s="1"/>
  <c r="I33" i="6"/>
  <c r="AN36" i="5"/>
  <c r="H36" i="6" s="1"/>
  <c r="I36" i="6" s="1"/>
  <c r="I22" i="6"/>
  <c r="AN44" i="5"/>
  <c r="H44" i="6" s="1"/>
  <c r="I44" i="6" s="1"/>
  <c r="I61" i="6"/>
  <c r="AN63" i="5"/>
  <c r="H63" i="6" s="1"/>
  <c r="AN27" i="5"/>
  <c r="H27" i="6" s="1"/>
  <c r="AN15" i="5"/>
  <c r="H15" i="6" s="1"/>
  <c r="I15" i="6" s="1"/>
  <c r="I10" i="6"/>
  <c r="AN43" i="5"/>
  <c r="H43" i="6" s="1"/>
  <c r="I43" i="6" s="1"/>
  <c r="I49" i="6"/>
  <c r="AN50" i="5"/>
  <c r="H50" i="6" s="1"/>
  <c r="I50" i="6" s="1"/>
  <c r="AN56" i="5"/>
  <c r="H56" i="6" s="1"/>
  <c r="I56" i="6" s="1"/>
  <c r="I65" i="6"/>
  <c r="I29" i="6"/>
  <c r="AN58" i="5"/>
  <c r="H58" i="6" s="1"/>
  <c r="AN21" i="5"/>
  <c r="H21" i="6" s="1"/>
  <c r="AN55" i="5"/>
  <c r="H55" i="6" s="1"/>
  <c r="I55" i="6" s="1"/>
  <c r="AN9" i="5"/>
  <c r="H9" i="6" s="1"/>
  <c r="I9" i="6" s="1"/>
  <c r="I18" i="6"/>
  <c r="I53" i="6"/>
  <c r="I59" i="6"/>
  <c r="I7" i="6"/>
  <c r="AN32" i="5"/>
  <c r="H32" i="6" s="1"/>
  <c r="I32" i="6" s="1"/>
  <c r="I45" i="6"/>
  <c r="AN65" i="5"/>
  <c r="H65" i="6" s="1"/>
  <c r="I40" i="6"/>
  <c r="I52" i="6"/>
  <c r="I62" i="6"/>
  <c r="I38" i="6"/>
  <c r="I63" i="6"/>
  <c r="I21" i="6"/>
  <c r="K44" i="6" l="1"/>
  <c r="E43" i="7" s="1"/>
  <c r="J44" i="6"/>
  <c r="D43" i="7"/>
  <c r="K64" i="6"/>
  <c r="E63" i="7" s="1"/>
  <c r="J64" i="6"/>
  <c r="D63" i="7"/>
  <c r="K56" i="6"/>
  <c r="E55" i="7" s="1"/>
  <c r="J56" i="6"/>
  <c r="D55" i="7"/>
  <c r="D35" i="7"/>
  <c r="K36" i="6"/>
  <c r="E35" i="7" s="1"/>
  <c r="J36" i="6"/>
  <c r="K32" i="6"/>
  <c r="E31" i="7" s="1"/>
  <c r="J32" i="6"/>
  <c r="D31" i="7"/>
  <c r="J50" i="6"/>
  <c r="D49" i="7"/>
  <c r="K50" i="6"/>
  <c r="E49" i="7" s="1"/>
  <c r="K51" i="6"/>
  <c r="E50" i="7" s="1"/>
  <c r="J51" i="6"/>
  <c r="D50" i="7"/>
  <c r="D42" i="7"/>
  <c r="J43" i="6"/>
  <c r="K43" i="6"/>
  <c r="E42" i="7" s="1"/>
  <c r="D46" i="7"/>
  <c r="K47" i="6"/>
  <c r="E46" i="7" s="1"/>
  <c r="J47" i="6"/>
  <c r="K39" i="6"/>
  <c r="E38" i="7" s="1"/>
  <c r="J39" i="6"/>
  <c r="D38" i="7"/>
  <c r="D10" i="7"/>
  <c r="K11" i="6"/>
  <c r="E10" i="7" s="1"/>
  <c r="J11" i="6"/>
  <c r="K15" i="6"/>
  <c r="E14" i="7" s="1"/>
  <c r="D14" i="7"/>
  <c r="J15" i="6"/>
  <c r="K54" i="6"/>
  <c r="E53" i="7" s="1"/>
  <c r="D53" i="7"/>
  <c r="J54" i="6"/>
  <c r="D40" i="7"/>
  <c r="K41" i="6"/>
  <c r="E40" i="7" s="1"/>
  <c r="J41" i="6"/>
  <c r="D8" i="7"/>
  <c r="K9" i="6"/>
  <c r="E8" i="7" s="1"/>
  <c r="J9" i="6"/>
  <c r="K42" i="6"/>
  <c r="E41" i="7" s="1"/>
  <c r="D41" i="7"/>
  <c r="J42" i="6"/>
  <c r="K20" i="6"/>
  <c r="E19" i="7" s="1"/>
  <c r="D19" i="7"/>
  <c r="J20" i="6"/>
  <c r="J34" i="6"/>
  <c r="D33" i="7"/>
  <c r="K34" i="6"/>
  <c r="E33" i="7" s="1"/>
  <c r="D54" i="7"/>
  <c r="J55" i="6"/>
  <c r="K55" i="6"/>
  <c r="E54" i="7" s="1"/>
  <c r="K30" i="6"/>
  <c r="E29" i="7" s="1"/>
  <c r="D29" i="7"/>
  <c r="J30" i="6"/>
  <c r="D16" i="7"/>
  <c r="K17" i="6"/>
  <c r="E16" i="7" s="1"/>
  <c r="J17" i="6"/>
  <c r="D47" i="7"/>
  <c r="K48" i="6"/>
  <c r="E47" i="7" s="1"/>
  <c r="J48" i="6"/>
  <c r="D7" i="7"/>
  <c r="K8" i="6"/>
  <c r="E7" i="7" s="1"/>
  <c r="J8" i="6"/>
  <c r="J46" i="6"/>
  <c r="D45" i="7"/>
  <c r="K46" i="6"/>
  <c r="E45" i="7" s="1"/>
  <c r="D60" i="7"/>
  <c r="J61" i="6"/>
  <c r="K61" i="6"/>
  <c r="E60" i="7" s="1"/>
  <c r="D30" i="7"/>
  <c r="J31" i="6"/>
  <c r="K31" i="6"/>
  <c r="E30" i="7" s="1"/>
  <c r="D59" i="7"/>
  <c r="K60" i="6"/>
  <c r="E59" i="7" s="1"/>
  <c r="J60" i="6"/>
  <c r="D6" i="7"/>
  <c r="J7" i="6"/>
  <c r="K7" i="6"/>
  <c r="E6" i="7" s="1"/>
  <c r="D64" i="7"/>
  <c r="K65" i="6"/>
  <c r="E64" i="7" s="1"/>
  <c r="J65" i="6"/>
  <c r="D34" i="7"/>
  <c r="K35" i="6"/>
  <c r="E34" i="7" s="1"/>
  <c r="J35" i="6"/>
  <c r="D22" i="7"/>
  <c r="K23" i="6"/>
  <c r="E22" i="7" s="1"/>
  <c r="J23" i="6"/>
  <c r="D28" i="7"/>
  <c r="K29" i="6"/>
  <c r="E28" i="7" s="1"/>
  <c r="J29" i="6"/>
  <c r="J38" i="6"/>
  <c r="D37" i="7"/>
  <c r="K38" i="6"/>
  <c r="E37" i="7" s="1"/>
  <c r="J16" i="6"/>
  <c r="D15" i="7"/>
  <c r="K16" i="6"/>
  <c r="E15" i="7" s="1"/>
  <c r="D20" i="7"/>
  <c r="K21" i="6"/>
  <c r="E20" i="7" s="1"/>
  <c r="J21" i="6"/>
  <c r="K63" i="6"/>
  <c r="E62" i="7" s="1"/>
  <c r="J63" i="6"/>
  <c r="D62" i="7"/>
  <c r="J22" i="6"/>
  <c r="D21" i="7"/>
  <c r="K22" i="6"/>
  <c r="E21" i="7" s="1"/>
  <c r="D18" i="7"/>
  <c r="J19" i="6"/>
  <c r="K19" i="6"/>
  <c r="E18" i="7" s="1"/>
  <c r="K58" i="6"/>
  <c r="E57" i="7" s="1"/>
  <c r="J58" i="6"/>
  <c r="D57" i="7"/>
  <c r="D12" i="7"/>
  <c r="K13" i="6"/>
  <c r="E12" i="7" s="1"/>
  <c r="J13" i="6"/>
  <c r="J62" i="6"/>
  <c r="D61" i="7"/>
  <c r="K62" i="6"/>
  <c r="E61" i="7" s="1"/>
  <c r="K27" i="6"/>
  <c r="E26" i="7" s="1"/>
  <c r="J27" i="6"/>
  <c r="D26" i="7"/>
  <c r="K18" i="6"/>
  <c r="E17" i="7" s="1"/>
  <c r="D17" i="7"/>
  <c r="J18" i="6"/>
  <c r="D32" i="7"/>
  <c r="K33" i="6"/>
  <c r="E32" i="7" s="1"/>
  <c r="J33" i="6"/>
  <c r="D9" i="7"/>
  <c r="J10" i="6"/>
  <c r="K10" i="6"/>
  <c r="E9" i="7" s="1"/>
  <c r="K40" i="6"/>
  <c r="E39" i="7" s="1"/>
  <c r="J40" i="6"/>
  <c r="D39" i="7"/>
  <c r="D56" i="7"/>
  <c r="K57" i="6"/>
  <c r="E56" i="7" s="1"/>
  <c r="J57" i="6"/>
  <c r="J14" i="6"/>
  <c r="D13" i="7"/>
  <c r="K14" i="6"/>
  <c r="E13" i="7" s="1"/>
  <c r="D58" i="7"/>
  <c r="K59" i="6"/>
  <c r="E58" i="7" s="1"/>
  <c r="J59" i="6"/>
  <c r="D48" i="7"/>
  <c r="K49" i="6"/>
  <c r="E48" i="7" s="1"/>
  <c r="J49" i="6"/>
  <c r="D36" i="7"/>
  <c r="J37" i="6"/>
  <c r="K37" i="6"/>
  <c r="E36" i="7" s="1"/>
  <c r="K52" i="6"/>
  <c r="E51" i="7" s="1"/>
  <c r="J52" i="6"/>
  <c r="D51" i="7"/>
  <c r="D52" i="7"/>
  <c r="K53" i="6"/>
  <c r="E52" i="7" s="1"/>
  <c r="J53" i="6"/>
  <c r="K6" i="6"/>
  <c r="E5" i="7" s="1"/>
  <c r="D5" i="7"/>
  <c r="J6" i="6"/>
  <c r="K28" i="6"/>
  <c r="E27" i="7" s="1"/>
  <c r="J28" i="6"/>
  <c r="D27" i="7"/>
  <c r="D23" i="7"/>
  <c r="J24" i="6"/>
  <c r="K24" i="6"/>
  <c r="E23" i="7" s="1"/>
  <c r="D24" i="7"/>
  <c r="K25" i="6"/>
  <c r="E24" i="7" s="1"/>
  <c r="J25" i="6"/>
  <c r="J26" i="6"/>
  <c r="D25" i="7"/>
  <c r="K26" i="6"/>
  <c r="E25" i="7" s="1"/>
  <c r="D44" i="7"/>
  <c r="K45" i="6"/>
  <c r="E44" i="7" s="1"/>
  <c r="J45" i="6"/>
  <c r="D11" i="7"/>
  <c r="K12" i="6"/>
  <c r="E11" i="7" s="1"/>
  <c r="J12" i="6"/>
  <c r="H11" i="7" l="1"/>
  <c r="H10" i="7"/>
  <c r="H8" i="7"/>
  <c r="H7" i="7"/>
  <c r="H9" i="7"/>
</calcChain>
</file>

<file path=xl/sharedStrings.xml><?xml version="1.0" encoding="utf-8"?>
<sst xmlns="http://schemas.openxmlformats.org/spreadsheetml/2006/main" count="206" uniqueCount="123">
  <si>
    <t>PRODI: TEKNIK  ELEKTRO</t>
  </si>
  <si>
    <t>NO</t>
  </si>
  <si>
    <t>NIM</t>
  </si>
  <si>
    <t>Nama</t>
  </si>
  <si>
    <t>WORKSHEET TEMPLATE</t>
  </si>
  <si>
    <t>Mirza Syihabudin Almas</t>
  </si>
  <si>
    <t>SISTEM PENILAIAN PRAKTIKUM</t>
  </si>
  <si>
    <t>Mohammad Ali Murtadlo</t>
  </si>
  <si>
    <t>LABORATORIUM LAYANAN DASAR</t>
  </si>
  <si>
    <t>Muhammad Zahid Sabil</t>
  </si>
  <si>
    <t>Javier Abid Danapati</t>
  </si>
  <si>
    <t>Cristian Mouses</t>
  </si>
  <si>
    <t>Guarimus Rinaldi Ngera</t>
  </si>
  <si>
    <t>Rafly Khoirul Rizky</t>
  </si>
  <si>
    <t>Nurdian Bagus Setiawan</t>
  </si>
  <si>
    <t>Krisna Akbar</t>
  </si>
  <si>
    <t>VER 2 (April 2025)</t>
  </si>
  <si>
    <t>Muhammad Naufal Ammar Dzakiy</t>
  </si>
  <si>
    <t>Muhammad Fathir</t>
  </si>
  <si>
    <t>Waiz Ar Rozzaq</t>
  </si>
  <si>
    <t>Petunjuk Penggunaan Template</t>
  </si>
  <si>
    <t>Aditya Windri Andra</t>
  </si>
  <si>
    <t>Wisnu Gafur</t>
  </si>
  <si>
    <t xml:space="preserve">1. Isikan daftar peserta praktikum pada sheet "INPUT DAFTAR PESERTA" </t>
  </si>
  <si>
    <t>Given Subagja</t>
  </si>
  <si>
    <t>(Disarankan untuk menyesuaikan dengan template disamping)</t>
  </si>
  <si>
    <t>Taufiqurrahman</t>
  </si>
  <si>
    <t>2. Isian Nama dan NIM pada sheet selanjutnya akan terinput secara otomatis sesuai dengan isian sheet "INPUT DAFTAR PESERTA"</t>
  </si>
  <si>
    <t>Nazwa Gizza Putri Bayu</t>
  </si>
  <si>
    <t>3. Nilai praktikum diisikan pada sheet "PENULISAN LAPORAN", "LAPORAN RESMI", "KEMAMPUAN PRAKTIKUM dan "NILAI HARIAN"</t>
  </si>
  <si>
    <t>Ryan Maulana Malik</t>
  </si>
  <si>
    <t>4. Rekapitulasi nilai praktikum permodul akan terakumulasi secara otomatis pada sheet "NILAI AKHIR" dan PIE-CHART"</t>
  </si>
  <si>
    <t>Fajar Ihsan</t>
  </si>
  <si>
    <t>5. Perubahan formula pada sistem menyesuaikan dengan aturan dan SOP terbaru penilaian praktikum Lab Elektro Dasar</t>
  </si>
  <si>
    <t>Rava Erika Putri</t>
  </si>
  <si>
    <t>6. Link akses Surat Keterangan Lulus Praktikum sebagai berikut:</t>
  </si>
  <si>
    <t>Ikhsan Nur</t>
  </si>
  <si>
    <t>Fahri Fadil Afif</t>
  </si>
  <si>
    <t>7. Link akses Sheet perkomponen sebagai berikut:</t>
  </si>
  <si>
    <t>Andika Yanuardani</t>
  </si>
  <si>
    <t>Penulisan Laporan</t>
  </si>
  <si>
    <t>Muhammad Hernanditya Rizky Susanto</t>
  </si>
  <si>
    <t>Laporan Resmi</t>
  </si>
  <si>
    <t>Febrianto Paa Linthin</t>
  </si>
  <si>
    <t>Kemampuan Praktikum</t>
  </si>
  <si>
    <t>Sandriko Pebrian Silaen</t>
  </si>
  <si>
    <t>Nilai  Harian</t>
  </si>
  <si>
    <t>Alifka Pasha Assiddiq</t>
  </si>
  <si>
    <t>Nilai Akhir</t>
  </si>
  <si>
    <t>Firaas Nur Atsaal</t>
  </si>
  <si>
    <t>Pie Chart</t>
  </si>
  <si>
    <t>M. Davy Ananda</t>
  </si>
  <si>
    <t>Abimanyu Putra Nugroho</t>
  </si>
  <si>
    <t>Nur Fahmi Saputra</t>
  </si>
  <si>
    <t>Sentike Baso'</t>
  </si>
  <si>
    <t>Muhammad Dzaky Nirwasita</t>
  </si>
  <si>
    <t>Ilham Pratama</t>
  </si>
  <si>
    <t>Muhammad Azwa Brilianto</t>
  </si>
  <si>
    <t>Mario Renhard Simanullang</t>
  </si>
  <si>
    <t>Andhika Ananda Gusthy</t>
  </si>
  <si>
    <t>Zherfaqih Al Barki</t>
  </si>
  <si>
    <t>Reihan Aidil Adha</t>
  </si>
  <si>
    <t>Baso Syamsurya</t>
  </si>
  <si>
    <t>Andriadi Supardi</t>
  </si>
  <si>
    <t>Achmad Fahri Kurniawan</t>
  </si>
  <si>
    <t>Saktianata Eja Assami</t>
  </si>
  <si>
    <t>Zhafanya Maydeline Robert</t>
  </si>
  <si>
    <t>Dhifan Rangga Purwanto</t>
  </si>
  <si>
    <t>Mohamad Hafid</t>
  </si>
  <si>
    <t>Rifky Prasetya</t>
  </si>
  <si>
    <t>Yusriel Ramadhan</t>
  </si>
  <si>
    <t>Jiyad Prasetyo Abimanyu</t>
  </si>
  <si>
    <t>Muhammad Alfin Al Hakim</t>
  </si>
  <si>
    <t>Naufal Kurniawan</t>
  </si>
  <si>
    <t>Rifky Maulana Ilham</t>
  </si>
  <si>
    <t>Aditia Prayoga</t>
  </si>
  <si>
    <t>Muhammad Andi Faris De'mozart</t>
  </si>
  <si>
    <t>Faiq Ramadhan Firdaus</t>
  </si>
  <si>
    <t>Fachry Nazrul Ramadhan</t>
  </si>
  <si>
    <t>Bagas Sudidi</t>
  </si>
  <si>
    <t>Ridho Putra Darma</t>
  </si>
  <si>
    <t>Syarif Hidayat</t>
  </si>
  <si>
    <t>Muhammad Dzaky Syachraini</t>
  </si>
  <si>
    <t>NAMA</t>
  </si>
  <si>
    <t>Rata-rata</t>
  </si>
  <si>
    <t>Modul 1</t>
  </si>
  <si>
    <t>Modul 2</t>
  </si>
  <si>
    <t>Modul 3</t>
  </si>
  <si>
    <t>Modul 4</t>
  </si>
  <si>
    <t>Modul 5</t>
  </si>
  <si>
    <t>Modul 6</t>
  </si>
  <si>
    <t>Modul 7</t>
  </si>
  <si>
    <t>Modul 8</t>
  </si>
  <si>
    <t>Jumlah Mahasiswa Tidak Mengumpulkan Lapres</t>
  </si>
  <si>
    <t>Laporan Mingguan</t>
  </si>
  <si>
    <t>Resmi</t>
  </si>
  <si>
    <t>HOME</t>
  </si>
  <si>
    <t>K1</t>
  </si>
  <si>
    <t>K2</t>
  </si>
  <si>
    <t>K3</t>
  </si>
  <si>
    <t>K4</t>
  </si>
  <si>
    <t>Rerata</t>
  </si>
  <si>
    <t>Afektif</t>
  </si>
  <si>
    <t>Kognitif</t>
  </si>
  <si>
    <t>Psikomotorik</t>
  </si>
  <si>
    <t>Kehadiran</t>
  </si>
  <si>
    <t>Laporan</t>
  </si>
  <si>
    <t>Responsi</t>
  </si>
  <si>
    <t>Proses Asistensi</t>
  </si>
  <si>
    <t>Kemampuan Praktek</t>
  </si>
  <si>
    <t>Nilai Angka</t>
  </si>
  <si>
    <t>Nilai Bobot</t>
  </si>
  <si>
    <t>Nilai Huruf</t>
  </si>
  <si>
    <t>Asistensi</t>
  </si>
  <si>
    <t>Kemampuan Praktik</t>
  </si>
  <si>
    <t>No.</t>
  </si>
  <si>
    <t>NILAI</t>
  </si>
  <si>
    <t>FREKUENSI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</si>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</sst>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b/>
      <sz val="11"/>
      <color theme="1"/>
      <name val="Times New Roman"/>
    </font>
    <font>
      <sz val="10"/>
      <color theme="1"/>
      <name val="Arial"/>
    </font>
    <font>
      <sz val="11"/>
      <color theme="1"/>
      <name val="Times New Roman"/>
    </font>
    <font>
      <sz val="11"/>
      <color rgb="FF434343"/>
      <name val="Times New Roman"/>
    </font>
    <font>
      <b/>
      <u/>
      <sz val="11"/>
      <color rgb="FF0563C1"/>
      <name val="Times New Roman"/>
    </font>
    <font>
      <sz val="11"/>
      <color theme="1"/>
      <name val="&quot;Times New Roman&quot;"/>
    </font>
    <font>
      <sz val="10"/>
      <color theme="1"/>
      <name val="Arial"/>
      <scheme val="minor"/>
    </font>
    <font>
      <sz val="10"/>
      <name val="Arial"/>
    </font>
    <font>
      <b/>
      <sz val="10"/>
      <color theme="1"/>
      <name val="Arial"/>
    </font>
    <font>
      <b/>
      <sz val="11"/>
      <color rgb="FFFF0000"/>
      <name val="Times New Roman"/>
    </font>
    <font>
      <sz val="11"/>
      <color rgb="FF000000"/>
      <name val="Times New Roman"/>
    </font>
    <font>
      <b/>
      <sz val="11"/>
      <color theme="1"/>
      <name val="Calibri"/>
    </font>
    <font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CC0000"/>
        <bgColor rgb="FFCC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/>
    <xf numFmtId="0" fontId="2" fillId="0" borderId="0" xfId="0" applyFont="1"/>
    <xf numFmtId="0" fontId="4" fillId="0" borderId="0" xfId="0" applyFont="1"/>
    <xf numFmtId="0" fontId="5" fillId="3" borderId="3" xfId="0" applyFont="1" applyFill="1" applyBorder="1"/>
    <xf numFmtId="0" fontId="6" fillId="0" borderId="0" xfId="0" applyFont="1"/>
    <xf numFmtId="0" fontId="4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2" fontId="4" fillId="0" borderId="1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2" fontId="4" fillId="3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/>
    <xf numFmtId="0" fontId="3" fillId="5" borderId="1" xfId="0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9" fontId="2" fillId="2" borderId="1" xfId="0" applyNumberFormat="1" applyFont="1" applyFill="1" applyBorder="1" applyAlignment="1">
      <alignment horizontal="center"/>
    </xf>
    <xf numFmtId="2" fontId="4" fillId="0" borderId="0" xfId="0" applyNumberFormat="1" applyFont="1" applyAlignment="1">
      <alignment horizontal="center"/>
    </xf>
    <xf numFmtId="9" fontId="11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2" fontId="8" fillId="0" borderId="0" xfId="0" applyNumberFormat="1" applyFont="1"/>
    <xf numFmtId="0" fontId="11" fillId="0" borderId="1" xfId="0" applyFont="1" applyBorder="1" applyAlignment="1">
      <alignment horizontal="center"/>
    </xf>
    <xf numFmtId="2" fontId="11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9" fontId="11" fillId="0" borderId="1" xfId="0" applyNumberFormat="1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0" fontId="3" fillId="0" borderId="9" xfId="0" applyFont="1" applyBorder="1"/>
    <xf numFmtId="0" fontId="13" fillId="2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9" fillId="0" borderId="7" xfId="0" applyFont="1" applyBorder="1"/>
    <xf numFmtId="0" fontId="2" fillId="2" borderId="2" xfId="0" applyFont="1" applyFill="1" applyBorder="1" applyAlignment="1">
      <alignment horizontal="center"/>
    </xf>
    <xf numFmtId="0" fontId="9" fillId="0" borderId="5" xfId="0" applyFont="1" applyBorder="1"/>
    <xf numFmtId="0" fontId="9" fillId="0" borderId="6" xfId="0" applyFont="1" applyBorder="1"/>
    <xf numFmtId="0" fontId="10" fillId="0" borderId="0" xfId="0" applyFont="1" applyAlignment="1">
      <alignment horizontal="center"/>
    </xf>
    <xf numFmtId="0" fontId="9" fillId="0" borderId="8" xfId="0" applyFont="1" applyBorder="1"/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5">
    <dxf>
      <fill>
        <patternFill patternType="solid">
          <fgColor rgb="FFCC0000"/>
          <bgColor rgb="FFCC0000"/>
        </patternFill>
      </fill>
    </dxf>
    <dxf>
      <font>
        <color rgb="FF000000"/>
      </font>
      <fill>
        <patternFill patternType="solid">
          <fgColor rgb="FFEA4335"/>
          <bgColor rgb="FFEA4335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3D85C6"/>
          <bgColor rgb="FF3D85C6"/>
        </patternFill>
      </fill>
    </dxf>
    <dxf>
      <fill>
        <patternFill patternType="solid">
          <fgColor rgb="FFFF00FF"/>
          <bgColor rgb="FFFF00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'PIE CHART'!$H$6</c:f>
              <c:strCache>
                <c:ptCount val="1"/>
                <c:pt idx="0">
                  <c:v>FREKUENSI</c:v>
                </c:pt>
              </c:strCache>
            </c:strRef>
          </c:tx>
          <c:dPt>
            <c:idx val="0"/>
            <c:bubble3D val="0"/>
            <c:spPr>
              <a:solidFill>
                <a:srgbClr val="FF00FF"/>
              </a:solidFill>
            </c:spPr>
            <c:extLst>
              <c:ext xmlns:c16="http://schemas.microsoft.com/office/drawing/2014/chart" uri="{C3380CC4-5D6E-409C-BE32-E72D297353CC}">
                <c16:uniqueId val="{00000001-550C-4BEF-A67B-C980679CC3F8}"/>
              </c:ext>
            </c:extLst>
          </c:dPt>
          <c:dPt>
            <c:idx val="1"/>
            <c:bubble3D val="0"/>
            <c:spPr>
              <a:solidFill>
                <a:srgbClr val="0B5394"/>
              </a:solidFill>
            </c:spPr>
            <c:extLst>
              <c:ext xmlns:c16="http://schemas.microsoft.com/office/drawing/2014/chart" uri="{C3380CC4-5D6E-409C-BE32-E72D297353CC}">
                <c16:uniqueId val="{00000003-550C-4BEF-A67B-C980679CC3F8}"/>
              </c:ext>
            </c:extLst>
          </c:dPt>
          <c:dPt>
            <c:idx val="2"/>
            <c:bubble3D val="0"/>
            <c:spPr>
              <a:solidFill>
                <a:srgbClr val="B7E1CD"/>
              </a:solidFill>
            </c:spPr>
            <c:extLst>
              <c:ext xmlns:c16="http://schemas.microsoft.com/office/drawing/2014/chart" uri="{C3380CC4-5D6E-409C-BE32-E72D297353CC}">
                <c16:uniqueId val="{00000005-550C-4BEF-A67B-C980679CC3F8}"/>
              </c:ext>
            </c:extLst>
          </c:dPt>
          <c:dPt>
            <c:idx val="3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7-550C-4BEF-A67B-C980679CC3F8}"/>
              </c:ext>
            </c:extLst>
          </c:dPt>
          <c:dPt>
            <c:idx val="4"/>
            <c:bubble3D val="0"/>
            <c:spPr>
              <a:solidFill>
                <a:srgbClr val="990000"/>
              </a:solidFill>
            </c:spPr>
            <c:extLst>
              <c:ext xmlns:c16="http://schemas.microsoft.com/office/drawing/2014/chart" uri="{C3380CC4-5D6E-409C-BE32-E72D297353CC}">
                <c16:uniqueId val="{00000009-550C-4BEF-A67B-C980679CC3F8}"/>
              </c:ext>
            </c:extLst>
          </c:dPt>
          <c:cat>
            <c:strRef>
              <c:f>'PIE CHART'!$G$7:$G$11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</c:strCache>
            </c:strRef>
          </c:cat>
          <c:val>
            <c:numRef>
              <c:f>'PIE CHART'!$H$7:$H$11</c:f>
              <c:numCache>
                <c:formatCode>General</c:formatCode>
                <c:ptCount val="5"/>
                <c:pt idx="0">
                  <c:v>5</c:v>
                </c:pt>
                <c:pt idx="1">
                  <c:v>28</c:v>
                </c:pt>
                <c:pt idx="2">
                  <c:v>19</c:v>
                </c:pt>
                <c:pt idx="3">
                  <c:v>5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50C-4BEF-A67B-C980679CC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476250</xdr:colOff>
      <xdr:row>6</xdr:row>
      <xdr:rowOff>28575</xdr:rowOff>
    </xdr:from>
    <xdr:ext cx="923925" cy="8763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923925</xdr:colOff>
      <xdr:row>11</xdr:row>
      <xdr:rowOff>180975</xdr:rowOff>
    </xdr:from>
    <xdr:ext cx="3962400" cy="28860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KHIR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KHIR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97"/>
  <sheetViews>
    <sheetView showGridLines="0" topLeftCell="A5" workbookViewId="0"/>
  </sheetViews>
  <sheetFormatPr defaultColWidth="12.6640625" defaultRowHeight="15.75" customHeight="1"/>
  <cols>
    <col min="1" max="1" width="5.33203125" customWidth="1"/>
    <col min="3" max="3" width="33.88671875" customWidth="1"/>
  </cols>
  <sheetData>
    <row r="1" spans="1:12" ht="15.75" customHeight="1">
      <c r="A1" s="1" t="s">
        <v>0</v>
      </c>
    </row>
    <row r="3" spans="1:12">
      <c r="A3" s="2" t="s">
        <v>1</v>
      </c>
      <c r="B3" s="2" t="s">
        <v>2</v>
      </c>
      <c r="C3" s="2" t="s">
        <v>3</v>
      </c>
      <c r="D3" s="3"/>
      <c r="E3" s="44" t="s">
        <v>4</v>
      </c>
      <c r="F3" s="45"/>
      <c r="G3" s="45"/>
      <c r="H3" s="45"/>
      <c r="I3" s="45"/>
      <c r="J3" s="45"/>
      <c r="K3" s="45"/>
      <c r="L3" s="45"/>
    </row>
    <row r="4" spans="1:12">
      <c r="A4" s="4">
        <v>1</v>
      </c>
      <c r="B4" s="5">
        <v>2209076028</v>
      </c>
      <c r="C4" s="6" t="s">
        <v>5</v>
      </c>
      <c r="D4" s="3"/>
      <c r="E4" s="44" t="s">
        <v>6</v>
      </c>
      <c r="F4" s="45"/>
      <c r="G4" s="45"/>
      <c r="H4" s="45"/>
      <c r="I4" s="45"/>
      <c r="J4" s="45"/>
      <c r="K4" s="45"/>
      <c r="L4" s="45"/>
    </row>
    <row r="5" spans="1:12">
      <c r="A5" s="4">
        <v>2</v>
      </c>
      <c r="B5" s="5">
        <v>2509076001</v>
      </c>
      <c r="C5" s="6" t="s">
        <v>7</v>
      </c>
      <c r="D5" s="3"/>
      <c r="E5" s="44" t="s">
        <v>8</v>
      </c>
      <c r="F5" s="45"/>
      <c r="G5" s="45"/>
      <c r="H5" s="45"/>
      <c r="I5" s="45"/>
      <c r="J5" s="45"/>
      <c r="K5" s="45"/>
      <c r="L5" s="45"/>
    </row>
    <row r="6" spans="1:12">
      <c r="A6" s="4">
        <v>3</v>
      </c>
      <c r="B6" s="5">
        <v>2509076002</v>
      </c>
      <c r="C6" s="6" t="s">
        <v>9</v>
      </c>
      <c r="D6" s="3"/>
      <c r="E6" s="3"/>
      <c r="F6" s="3"/>
      <c r="G6" s="3"/>
      <c r="H6" s="3"/>
      <c r="I6" s="3"/>
      <c r="J6" s="3"/>
      <c r="K6" s="3"/>
      <c r="L6" s="3"/>
    </row>
    <row r="7" spans="1:12">
      <c r="A7" s="4">
        <v>4</v>
      </c>
      <c r="B7" s="5">
        <v>2509076003</v>
      </c>
      <c r="C7" s="6" t="s">
        <v>10</v>
      </c>
      <c r="D7" s="3"/>
      <c r="E7" s="3"/>
      <c r="F7" s="3"/>
      <c r="G7" s="3"/>
      <c r="H7" s="3"/>
      <c r="I7" s="3"/>
      <c r="J7" s="3"/>
      <c r="K7" s="3"/>
      <c r="L7" s="3"/>
    </row>
    <row r="8" spans="1:12">
      <c r="A8" s="4">
        <v>5</v>
      </c>
      <c r="B8" s="5">
        <v>2509076004</v>
      </c>
      <c r="C8" s="6" t="s">
        <v>11</v>
      </c>
      <c r="D8" s="3"/>
      <c r="E8" s="3"/>
      <c r="F8" s="3"/>
      <c r="G8" s="3"/>
      <c r="H8" s="3"/>
      <c r="I8" s="3"/>
      <c r="J8" s="3"/>
      <c r="K8" s="3"/>
      <c r="L8" s="3"/>
    </row>
    <row r="9" spans="1:12">
      <c r="A9" s="4">
        <v>6</v>
      </c>
      <c r="B9" s="5">
        <v>2509076005</v>
      </c>
      <c r="C9" s="6" t="s">
        <v>12</v>
      </c>
      <c r="D9" s="3"/>
      <c r="E9" s="3"/>
      <c r="F9" s="3"/>
      <c r="G9" s="3"/>
      <c r="H9" s="3"/>
      <c r="I9" s="3"/>
      <c r="J9" s="3"/>
      <c r="K9" s="3"/>
      <c r="L9" s="3"/>
    </row>
    <row r="10" spans="1:12">
      <c r="A10" s="4">
        <v>7</v>
      </c>
      <c r="B10" s="5">
        <v>2509076006</v>
      </c>
      <c r="C10" s="6" t="s">
        <v>13</v>
      </c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4">
        <v>8</v>
      </c>
      <c r="B11" s="5">
        <v>2509076007</v>
      </c>
      <c r="C11" s="6" t="s">
        <v>14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4">
        <v>9</v>
      </c>
      <c r="B12" s="5">
        <v>2509076008</v>
      </c>
      <c r="C12" s="6" t="s">
        <v>15</v>
      </c>
      <c r="D12" s="3"/>
      <c r="E12" s="44" t="s">
        <v>16</v>
      </c>
      <c r="F12" s="45"/>
      <c r="G12" s="45"/>
      <c r="H12" s="45"/>
      <c r="I12" s="45"/>
      <c r="J12" s="45"/>
      <c r="K12" s="45"/>
      <c r="L12" s="45"/>
    </row>
    <row r="13" spans="1:12">
      <c r="A13" s="4">
        <v>10</v>
      </c>
      <c r="B13" s="5">
        <v>2509076009</v>
      </c>
      <c r="C13" s="6" t="s">
        <v>17</v>
      </c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4">
        <v>11</v>
      </c>
      <c r="B14" s="5">
        <v>2509076010</v>
      </c>
      <c r="C14" s="6" t="s">
        <v>18</v>
      </c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4">
        <v>12</v>
      </c>
      <c r="B15" s="5">
        <v>2509076011</v>
      </c>
      <c r="C15" s="6" t="s">
        <v>19</v>
      </c>
      <c r="D15" s="3"/>
      <c r="E15" s="7" t="s">
        <v>20</v>
      </c>
      <c r="F15" s="3"/>
      <c r="G15" s="3"/>
      <c r="H15" s="3"/>
      <c r="I15" s="3"/>
      <c r="J15" s="3"/>
      <c r="K15" s="3"/>
      <c r="L15" s="3"/>
    </row>
    <row r="16" spans="1:12" ht="13.8">
      <c r="A16" s="4">
        <v>13</v>
      </c>
      <c r="B16" s="5">
        <v>2509076012</v>
      </c>
      <c r="C16" s="6" t="s">
        <v>21</v>
      </c>
      <c r="D16" s="3"/>
      <c r="E16" s="3"/>
      <c r="F16" s="3"/>
      <c r="G16" s="3"/>
      <c r="H16" s="3"/>
      <c r="I16" s="3"/>
      <c r="J16" s="3"/>
      <c r="K16" s="3"/>
      <c r="L16" s="3"/>
    </row>
    <row r="17" spans="1:12" ht="13.8">
      <c r="A17" s="4">
        <v>14</v>
      </c>
      <c r="B17" s="5">
        <v>2509076013</v>
      </c>
      <c r="C17" s="6" t="s">
        <v>22</v>
      </c>
      <c r="D17" s="3"/>
      <c r="E17" s="8" t="s">
        <v>23</v>
      </c>
      <c r="F17" s="3"/>
      <c r="G17" s="3"/>
      <c r="H17" s="3"/>
      <c r="I17" s="3"/>
      <c r="J17" s="3"/>
      <c r="K17" s="3"/>
      <c r="L17" s="3"/>
    </row>
    <row r="18" spans="1:12" ht="13.8">
      <c r="A18" s="4">
        <v>15</v>
      </c>
      <c r="B18" s="5">
        <v>2509076014</v>
      </c>
      <c r="C18" s="6" t="s">
        <v>24</v>
      </c>
      <c r="D18" s="3"/>
      <c r="E18" s="9" t="s">
        <v>25</v>
      </c>
      <c r="F18" s="3"/>
      <c r="G18" s="3"/>
      <c r="H18" s="3"/>
      <c r="I18" s="3"/>
      <c r="J18" s="3"/>
      <c r="K18" s="3"/>
      <c r="L18" s="3"/>
    </row>
    <row r="19" spans="1:12" ht="13.8">
      <c r="A19" s="4">
        <v>16</v>
      </c>
      <c r="B19" s="5">
        <v>2509076015</v>
      </c>
      <c r="C19" s="6" t="s">
        <v>26</v>
      </c>
      <c r="D19" s="3"/>
      <c r="E19" s="8" t="s">
        <v>27</v>
      </c>
      <c r="F19" s="3"/>
      <c r="G19" s="3"/>
      <c r="H19" s="3"/>
      <c r="I19" s="3"/>
      <c r="J19" s="3"/>
      <c r="K19" s="3"/>
      <c r="L19" s="3"/>
    </row>
    <row r="20" spans="1:12" ht="13.8">
      <c r="A20" s="4">
        <v>17</v>
      </c>
      <c r="B20" s="5">
        <v>2509076016</v>
      </c>
      <c r="C20" s="6" t="s">
        <v>28</v>
      </c>
      <c r="D20" s="3"/>
      <c r="E20" s="8" t="s">
        <v>29</v>
      </c>
      <c r="F20" s="3"/>
      <c r="G20" s="3"/>
      <c r="H20" s="3"/>
      <c r="I20" s="3"/>
      <c r="J20" s="3"/>
      <c r="K20" s="3"/>
      <c r="L20" s="3"/>
    </row>
    <row r="21" spans="1:12" ht="13.8">
      <c r="A21" s="4">
        <v>18</v>
      </c>
      <c r="B21" s="5">
        <v>2509076017</v>
      </c>
      <c r="C21" s="6" t="s">
        <v>30</v>
      </c>
      <c r="D21" s="3"/>
      <c r="E21" s="8" t="s">
        <v>31</v>
      </c>
      <c r="F21" s="3"/>
      <c r="G21" s="3"/>
      <c r="H21" s="3"/>
      <c r="I21" s="3"/>
      <c r="J21" s="3"/>
      <c r="K21" s="3"/>
      <c r="L21" s="3"/>
    </row>
    <row r="22" spans="1:12" ht="13.8">
      <c r="A22" s="4">
        <v>19</v>
      </c>
      <c r="B22" s="5">
        <v>2509076018</v>
      </c>
      <c r="C22" s="6" t="s">
        <v>32</v>
      </c>
      <c r="D22" s="3"/>
      <c r="E22" s="8" t="s">
        <v>33</v>
      </c>
      <c r="F22" s="3"/>
      <c r="G22" s="3"/>
      <c r="H22" s="3"/>
      <c r="I22" s="3"/>
      <c r="J22" s="3"/>
      <c r="K22" s="3"/>
      <c r="L22" s="3"/>
    </row>
    <row r="23" spans="1:12" ht="13.8">
      <c r="A23" s="4">
        <v>20</v>
      </c>
      <c r="B23" s="5">
        <v>2509076019</v>
      </c>
      <c r="C23" s="6" t="s">
        <v>34</v>
      </c>
      <c r="D23" s="3"/>
      <c r="E23" s="8" t="s">
        <v>35</v>
      </c>
      <c r="F23" s="3"/>
      <c r="G23" s="3"/>
      <c r="H23" s="3"/>
      <c r="I23" s="3"/>
      <c r="J23" s="3"/>
      <c r="K23" s="3"/>
      <c r="L23" s="3"/>
    </row>
    <row r="24" spans="1:12" ht="13.8">
      <c r="A24" s="4">
        <v>21</v>
      </c>
      <c r="B24" s="5">
        <v>2509076020</v>
      </c>
      <c r="C24" s="6" t="s">
        <v>36</v>
      </c>
      <c r="D24" s="3"/>
      <c r="E24" s="3"/>
      <c r="F24" s="3"/>
      <c r="G24" s="3"/>
      <c r="H24" s="3"/>
      <c r="I24" s="3"/>
      <c r="J24" s="3"/>
      <c r="K24" s="3"/>
      <c r="L24" s="3"/>
    </row>
    <row r="25" spans="1:12" ht="13.8">
      <c r="A25" s="4">
        <v>22</v>
      </c>
      <c r="B25" s="5">
        <v>2509076021</v>
      </c>
      <c r="C25" s="6" t="s">
        <v>37</v>
      </c>
      <c r="D25" s="3"/>
      <c r="E25" s="8" t="s">
        <v>38</v>
      </c>
      <c r="F25" s="3"/>
      <c r="G25" s="3"/>
      <c r="H25" s="3"/>
      <c r="I25" s="3"/>
      <c r="J25" s="3"/>
      <c r="K25" s="3"/>
      <c r="L25" s="3"/>
    </row>
    <row r="26" spans="1:12" ht="13.8">
      <c r="A26" s="4">
        <v>23</v>
      </c>
      <c r="B26" s="5">
        <v>2509076022</v>
      </c>
      <c r="C26" s="6" t="s">
        <v>39</v>
      </c>
      <c r="D26" s="3"/>
      <c r="E26" s="10" t="s">
        <v>40</v>
      </c>
      <c r="F26" s="3"/>
      <c r="G26" s="3"/>
      <c r="H26" s="3"/>
      <c r="I26" s="3"/>
      <c r="J26" s="3"/>
      <c r="K26" s="3"/>
      <c r="L26" s="3"/>
    </row>
    <row r="27" spans="1:12" ht="13.8">
      <c r="A27" s="4">
        <v>24</v>
      </c>
      <c r="B27" s="5">
        <v>2509076023</v>
      </c>
      <c r="C27" s="6" t="s">
        <v>41</v>
      </c>
      <c r="D27" s="3"/>
      <c r="E27" s="10" t="s">
        <v>42</v>
      </c>
      <c r="F27" s="3"/>
      <c r="G27" s="3"/>
      <c r="H27" s="3"/>
      <c r="I27" s="3"/>
      <c r="J27" s="3"/>
      <c r="K27" s="3"/>
      <c r="L27" s="3"/>
    </row>
    <row r="28" spans="1:12" ht="13.8">
      <c r="A28" s="4">
        <v>25</v>
      </c>
      <c r="B28" s="5">
        <v>2509076024</v>
      </c>
      <c r="C28" s="6" t="s">
        <v>43</v>
      </c>
      <c r="D28" s="3"/>
      <c r="E28" s="10" t="s">
        <v>44</v>
      </c>
      <c r="F28" s="3"/>
      <c r="G28" s="3"/>
      <c r="H28" s="3"/>
      <c r="I28" s="3"/>
      <c r="J28" s="3"/>
      <c r="K28" s="3"/>
      <c r="L28" s="3"/>
    </row>
    <row r="29" spans="1:12" ht="13.8">
      <c r="A29" s="4">
        <v>26</v>
      </c>
      <c r="B29" s="5">
        <v>2509076025</v>
      </c>
      <c r="C29" s="6" t="s">
        <v>45</v>
      </c>
      <c r="D29" s="3"/>
      <c r="E29" s="10" t="s">
        <v>46</v>
      </c>
      <c r="F29" s="3"/>
      <c r="G29" s="3"/>
      <c r="H29" s="3"/>
      <c r="I29" s="3"/>
      <c r="J29" s="3"/>
      <c r="K29" s="3"/>
      <c r="L29" s="3"/>
    </row>
    <row r="30" spans="1:12" ht="13.8">
      <c r="A30" s="4">
        <v>27</v>
      </c>
      <c r="B30" s="5">
        <v>2509076026</v>
      </c>
      <c r="C30" s="6" t="s">
        <v>47</v>
      </c>
      <c r="D30" s="3"/>
      <c r="E30" s="10" t="s">
        <v>48</v>
      </c>
      <c r="F30" s="3"/>
      <c r="G30" s="3"/>
      <c r="H30" s="3"/>
      <c r="I30" s="3"/>
      <c r="J30" s="3"/>
      <c r="K30" s="3"/>
      <c r="L30" s="3"/>
    </row>
    <row r="31" spans="1:12" ht="13.8">
      <c r="A31" s="4">
        <v>28</v>
      </c>
      <c r="B31" s="5">
        <v>2509076027</v>
      </c>
      <c r="C31" s="6" t="s">
        <v>49</v>
      </c>
      <c r="D31" s="3"/>
      <c r="E31" s="10" t="s">
        <v>50</v>
      </c>
      <c r="F31" s="3"/>
      <c r="G31" s="3"/>
      <c r="H31" s="3"/>
      <c r="I31" s="3"/>
      <c r="J31" s="3"/>
      <c r="K31" s="3"/>
      <c r="L31" s="3"/>
    </row>
    <row r="32" spans="1:12" ht="13.8">
      <c r="A32" s="4">
        <v>29</v>
      </c>
      <c r="B32" s="5">
        <v>2509076028</v>
      </c>
      <c r="C32" s="6" t="s">
        <v>51</v>
      </c>
      <c r="D32" s="3"/>
      <c r="E32" s="3"/>
      <c r="F32" s="3"/>
      <c r="G32" s="3"/>
      <c r="H32" s="3"/>
      <c r="I32" s="3"/>
      <c r="J32" s="3"/>
      <c r="K32" s="3"/>
      <c r="L32" s="3"/>
    </row>
    <row r="33" spans="1:12" ht="13.8">
      <c r="A33" s="4">
        <v>30</v>
      </c>
      <c r="B33" s="5">
        <v>2509076029</v>
      </c>
      <c r="C33" s="6" t="s">
        <v>52</v>
      </c>
      <c r="D33" s="3"/>
      <c r="E33" s="3"/>
      <c r="F33" s="3"/>
      <c r="G33" s="3"/>
      <c r="H33" s="3"/>
      <c r="I33" s="3"/>
      <c r="J33" s="3"/>
      <c r="K33" s="3"/>
      <c r="L33" s="3"/>
    </row>
    <row r="34" spans="1:12" ht="13.8">
      <c r="A34" s="4">
        <v>31</v>
      </c>
      <c r="B34" s="5">
        <v>2509076030</v>
      </c>
      <c r="C34" s="6" t="s">
        <v>53</v>
      </c>
      <c r="D34" s="3"/>
      <c r="E34" s="3"/>
      <c r="F34" s="3"/>
      <c r="G34" s="3"/>
      <c r="H34" s="3"/>
      <c r="I34" s="3"/>
      <c r="J34" s="3"/>
      <c r="K34" s="3"/>
      <c r="L34" s="3"/>
    </row>
    <row r="35" spans="1:12" ht="13.8">
      <c r="A35" s="4">
        <v>32</v>
      </c>
      <c r="B35" s="5">
        <v>2509076031</v>
      </c>
      <c r="C35" s="6" t="s">
        <v>54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ht="13.8">
      <c r="A36" s="4">
        <v>33</v>
      </c>
      <c r="B36" s="5">
        <v>2509076032</v>
      </c>
      <c r="C36" s="6" t="s">
        <v>55</v>
      </c>
      <c r="D36" s="3"/>
      <c r="E36" s="3"/>
      <c r="F36" s="3"/>
      <c r="G36" s="3"/>
      <c r="H36" s="3"/>
      <c r="I36" s="3"/>
      <c r="J36" s="3"/>
      <c r="K36" s="3"/>
      <c r="L36" s="3"/>
    </row>
    <row r="37" spans="1:12" ht="13.8">
      <c r="A37" s="4">
        <v>34</v>
      </c>
      <c r="B37" s="5">
        <v>2509076033</v>
      </c>
      <c r="C37" s="6" t="s">
        <v>56</v>
      </c>
      <c r="D37" s="3"/>
      <c r="E37" s="3"/>
      <c r="F37" s="3"/>
      <c r="G37" s="3"/>
      <c r="H37" s="3"/>
      <c r="I37" s="3"/>
      <c r="J37" s="3"/>
      <c r="K37" s="3"/>
      <c r="L37" s="3"/>
    </row>
    <row r="38" spans="1:12" ht="13.8">
      <c r="A38" s="4">
        <v>35</v>
      </c>
      <c r="B38" s="5">
        <v>2509076034</v>
      </c>
      <c r="C38" s="6" t="s">
        <v>57</v>
      </c>
      <c r="D38" s="3"/>
      <c r="E38" s="3"/>
      <c r="F38" s="3"/>
      <c r="G38" s="3"/>
      <c r="H38" s="3"/>
      <c r="I38" s="3"/>
      <c r="J38" s="3"/>
      <c r="K38" s="3"/>
      <c r="L38" s="3"/>
    </row>
    <row r="39" spans="1:12" ht="13.8">
      <c r="A39" s="4">
        <v>36</v>
      </c>
      <c r="B39" s="5">
        <v>2509076035</v>
      </c>
      <c r="C39" s="6" t="s">
        <v>58</v>
      </c>
      <c r="D39" s="3"/>
      <c r="E39" s="3"/>
      <c r="F39" s="3"/>
      <c r="G39" s="3"/>
      <c r="H39" s="3"/>
      <c r="I39" s="3"/>
      <c r="J39" s="3"/>
      <c r="K39" s="3"/>
      <c r="L39" s="3"/>
    </row>
    <row r="40" spans="1:12" ht="13.8">
      <c r="A40" s="4">
        <v>37</v>
      </c>
      <c r="B40" s="5">
        <v>2509076036</v>
      </c>
      <c r="C40" s="6" t="s">
        <v>59</v>
      </c>
      <c r="D40" s="3"/>
      <c r="E40" s="3"/>
      <c r="F40" s="3"/>
      <c r="G40" s="3"/>
      <c r="H40" s="3"/>
      <c r="I40" s="3"/>
      <c r="J40" s="3"/>
      <c r="K40" s="3"/>
      <c r="L40" s="3"/>
    </row>
    <row r="41" spans="1:12" ht="13.8">
      <c r="A41" s="4">
        <v>38</v>
      </c>
      <c r="B41" s="5">
        <v>2509076037</v>
      </c>
      <c r="C41" s="6" t="s">
        <v>60</v>
      </c>
      <c r="D41" s="3"/>
      <c r="E41" s="3"/>
      <c r="F41" s="3"/>
      <c r="G41" s="3"/>
      <c r="H41" s="3"/>
      <c r="I41" s="3"/>
      <c r="J41" s="3"/>
      <c r="K41" s="3"/>
      <c r="L41" s="3"/>
    </row>
    <row r="42" spans="1:12" ht="13.8">
      <c r="A42" s="4">
        <v>39</v>
      </c>
      <c r="B42" s="5">
        <v>2509076038</v>
      </c>
      <c r="C42" s="6" t="s">
        <v>61</v>
      </c>
      <c r="D42" s="3"/>
      <c r="E42" s="3"/>
      <c r="F42" s="3"/>
      <c r="G42" s="3"/>
      <c r="H42" s="3"/>
      <c r="I42" s="3"/>
      <c r="J42" s="3"/>
      <c r="K42" s="3"/>
      <c r="L42" s="3"/>
    </row>
    <row r="43" spans="1:12" ht="13.8">
      <c r="A43" s="4">
        <v>40</v>
      </c>
      <c r="B43" s="5">
        <v>2509076039</v>
      </c>
      <c r="C43" s="6" t="s">
        <v>62</v>
      </c>
      <c r="D43" s="3"/>
      <c r="E43" s="3"/>
      <c r="F43" s="3"/>
      <c r="G43" s="3"/>
      <c r="H43" s="3"/>
      <c r="I43" s="3"/>
      <c r="J43" s="3"/>
      <c r="K43" s="3"/>
      <c r="L43" s="3"/>
    </row>
    <row r="44" spans="1:12" ht="13.8">
      <c r="A44" s="4">
        <v>41</v>
      </c>
      <c r="B44" s="5">
        <v>2509076040</v>
      </c>
      <c r="C44" s="6" t="s">
        <v>63</v>
      </c>
      <c r="D44" s="3"/>
      <c r="E44" s="3"/>
      <c r="F44" s="3"/>
      <c r="G44" s="3"/>
      <c r="H44" s="3"/>
      <c r="I44" s="3"/>
      <c r="J44" s="3"/>
      <c r="K44" s="3"/>
      <c r="L44" s="3"/>
    </row>
    <row r="45" spans="1:12" ht="13.8">
      <c r="A45" s="4">
        <v>42</v>
      </c>
      <c r="B45" s="5">
        <v>2509076041</v>
      </c>
      <c r="C45" s="6" t="s">
        <v>64</v>
      </c>
      <c r="D45" s="3"/>
      <c r="E45" s="3"/>
      <c r="F45" s="3"/>
      <c r="G45" s="3"/>
      <c r="H45" s="3"/>
      <c r="I45" s="3"/>
      <c r="J45" s="3"/>
      <c r="K45" s="3"/>
      <c r="L45" s="3"/>
    </row>
    <row r="46" spans="1:12" ht="13.8">
      <c r="A46" s="4">
        <v>43</v>
      </c>
      <c r="B46" s="5">
        <v>2509076042</v>
      </c>
      <c r="C46" s="6" t="s">
        <v>65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3.8">
      <c r="A47" s="4">
        <v>44</v>
      </c>
      <c r="B47" s="5">
        <v>2509076043</v>
      </c>
      <c r="C47" s="6" t="s">
        <v>66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3.8">
      <c r="A48" s="4">
        <v>45</v>
      </c>
      <c r="B48" s="5">
        <v>2509076044</v>
      </c>
      <c r="C48" s="6" t="s">
        <v>67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3.8">
      <c r="A49" s="4">
        <v>46</v>
      </c>
      <c r="B49" s="5">
        <v>2509076046</v>
      </c>
      <c r="C49" s="6" t="s">
        <v>68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3.8">
      <c r="A50" s="4">
        <v>47</v>
      </c>
      <c r="B50" s="5">
        <v>2509076047</v>
      </c>
      <c r="C50" s="6" t="s">
        <v>69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3.8">
      <c r="A51" s="4">
        <v>48</v>
      </c>
      <c r="B51" s="5">
        <v>2509076048</v>
      </c>
      <c r="C51" s="6" t="s">
        <v>70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3.8">
      <c r="A52" s="4">
        <v>49</v>
      </c>
      <c r="B52" s="5">
        <v>2509076049</v>
      </c>
      <c r="C52" s="6" t="s">
        <v>71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3.8">
      <c r="A53" s="4">
        <v>50</v>
      </c>
      <c r="B53" s="5">
        <v>2509076050</v>
      </c>
      <c r="C53" s="6" t="s">
        <v>72</v>
      </c>
      <c r="D53" s="3"/>
      <c r="E53" s="3" t="str">
        <f>PROPER(D53)</f>
        <v/>
      </c>
      <c r="F53" s="3"/>
      <c r="G53" s="3"/>
      <c r="H53" s="3"/>
      <c r="I53" s="3"/>
      <c r="J53" s="3"/>
      <c r="K53" s="3"/>
      <c r="L53" s="3"/>
    </row>
    <row r="54" spans="1:12" ht="13.8">
      <c r="A54" s="4">
        <v>51</v>
      </c>
      <c r="B54" s="5">
        <v>2509076051</v>
      </c>
      <c r="C54" s="6" t="s">
        <v>73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3.8">
      <c r="A55" s="4">
        <v>52</v>
      </c>
      <c r="B55" s="5">
        <v>2509076052</v>
      </c>
      <c r="C55" s="6" t="s">
        <v>74</v>
      </c>
      <c r="D55" s="3"/>
      <c r="E55" s="3"/>
      <c r="F55" s="3"/>
      <c r="G55" s="3"/>
      <c r="H55" s="3"/>
      <c r="I55" s="3"/>
      <c r="J55" s="3"/>
      <c r="K55" s="3"/>
      <c r="L55" s="3"/>
    </row>
    <row r="56" spans="1:12" ht="13.8">
      <c r="A56" s="4">
        <v>53</v>
      </c>
      <c r="B56" s="5">
        <v>2509076053</v>
      </c>
      <c r="C56" s="6" t="s">
        <v>75</v>
      </c>
      <c r="D56" s="3"/>
      <c r="E56" s="3"/>
      <c r="F56" s="3"/>
      <c r="G56" s="3"/>
      <c r="H56" s="3"/>
      <c r="I56" s="3"/>
      <c r="J56" s="3"/>
      <c r="K56" s="3"/>
      <c r="L56" s="3"/>
    </row>
    <row r="57" spans="1:12" ht="13.8">
      <c r="A57" s="4">
        <v>54</v>
      </c>
      <c r="B57" s="5">
        <v>2509076054</v>
      </c>
      <c r="C57" s="6" t="s">
        <v>76</v>
      </c>
      <c r="D57" s="3"/>
      <c r="E57" s="3"/>
      <c r="F57" s="3"/>
      <c r="G57" s="3"/>
      <c r="H57" s="3"/>
      <c r="I57" s="3"/>
      <c r="J57" s="3"/>
      <c r="K57" s="3"/>
      <c r="L57" s="3"/>
    </row>
    <row r="58" spans="1:12" ht="13.8">
      <c r="A58" s="4">
        <v>55</v>
      </c>
      <c r="B58" s="5">
        <v>2509076055</v>
      </c>
      <c r="C58" s="6" t="s">
        <v>77</v>
      </c>
      <c r="D58" s="3"/>
      <c r="E58" s="3"/>
      <c r="F58" s="3"/>
      <c r="G58" s="3"/>
      <c r="H58" s="3"/>
      <c r="I58" s="3"/>
      <c r="J58" s="3"/>
      <c r="K58" s="3"/>
      <c r="L58" s="3"/>
    </row>
    <row r="59" spans="1:12" ht="13.8">
      <c r="A59" s="4">
        <v>56</v>
      </c>
      <c r="B59" s="5">
        <v>2509076056</v>
      </c>
      <c r="C59" s="6" t="s">
        <v>78</v>
      </c>
      <c r="D59" s="3"/>
      <c r="E59" s="3"/>
      <c r="F59" s="3"/>
      <c r="G59" s="3"/>
      <c r="H59" s="3"/>
      <c r="I59" s="3"/>
      <c r="J59" s="3"/>
      <c r="K59" s="3"/>
      <c r="L59" s="3"/>
    </row>
    <row r="60" spans="1:12" ht="13.8">
      <c r="A60" s="4">
        <v>57</v>
      </c>
      <c r="B60" s="5">
        <v>2509076057</v>
      </c>
      <c r="C60" s="6" t="s">
        <v>79</v>
      </c>
      <c r="D60" s="3"/>
      <c r="E60" s="3"/>
      <c r="F60" s="3"/>
      <c r="G60" s="3"/>
      <c r="H60" s="3"/>
      <c r="I60" s="3"/>
      <c r="J60" s="3"/>
      <c r="K60" s="3"/>
      <c r="L60" s="3"/>
    </row>
    <row r="61" spans="1:12" ht="13.8">
      <c r="A61" s="4">
        <v>58</v>
      </c>
      <c r="B61" s="5">
        <v>2509106133</v>
      </c>
      <c r="C61" s="6" t="s">
        <v>80</v>
      </c>
      <c r="D61" s="3"/>
      <c r="E61" s="3"/>
      <c r="F61" s="3"/>
      <c r="G61" s="3"/>
      <c r="H61" s="3"/>
      <c r="I61" s="3"/>
      <c r="J61" s="3"/>
      <c r="K61" s="3"/>
      <c r="L61" s="3"/>
    </row>
    <row r="62" spans="1:12" ht="13.8">
      <c r="A62" s="4">
        <v>59</v>
      </c>
      <c r="B62" s="5">
        <v>2509106134</v>
      </c>
      <c r="C62" s="6" t="s">
        <v>81</v>
      </c>
      <c r="D62" s="3"/>
      <c r="E62" s="3"/>
      <c r="F62" s="3"/>
      <c r="G62" s="3"/>
      <c r="H62" s="3"/>
      <c r="I62" s="3"/>
      <c r="J62" s="3"/>
      <c r="K62" s="3"/>
      <c r="L62" s="3"/>
    </row>
    <row r="63" spans="1:12" ht="13.8">
      <c r="A63" s="4">
        <v>60</v>
      </c>
      <c r="B63" s="5">
        <v>2509106135</v>
      </c>
      <c r="C63" s="6" t="s">
        <v>82</v>
      </c>
      <c r="D63" s="3"/>
      <c r="E63" s="3"/>
      <c r="F63" s="3"/>
      <c r="G63" s="3"/>
      <c r="H63" s="3"/>
      <c r="I63" s="3"/>
      <c r="J63" s="3"/>
      <c r="K63" s="3"/>
      <c r="L63" s="3"/>
    </row>
    <row r="64" spans="1:12" ht="13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3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13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3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ht="13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3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ht="13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3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13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ht="13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13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13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ht="13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ht="13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ht="13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ht="13.8">
      <c r="A79" s="11"/>
      <c r="B79" s="11"/>
      <c r="C79" s="12"/>
      <c r="D79" s="3"/>
      <c r="E79" s="3"/>
      <c r="F79" s="3"/>
      <c r="G79" s="3"/>
      <c r="H79" s="3"/>
      <c r="I79" s="3"/>
      <c r="J79" s="3"/>
      <c r="K79" s="3"/>
      <c r="L79" s="3"/>
    </row>
    <row r="80" spans="1:12" ht="13.8">
      <c r="A80" s="11"/>
      <c r="B80" s="11"/>
      <c r="C80" s="12"/>
      <c r="D80" s="3"/>
      <c r="E80" s="3"/>
      <c r="F80" s="3"/>
      <c r="G80" s="3"/>
      <c r="H80" s="3"/>
      <c r="I80" s="3"/>
      <c r="J80" s="3"/>
      <c r="K80" s="3"/>
      <c r="L80" s="3"/>
    </row>
    <row r="81" spans="1:12" ht="13.8">
      <c r="A81" s="11"/>
      <c r="B81" s="11"/>
      <c r="C81" s="12"/>
      <c r="D81" s="3"/>
      <c r="E81" s="3"/>
      <c r="F81" s="3"/>
      <c r="G81" s="3"/>
      <c r="H81" s="3"/>
      <c r="I81" s="3"/>
      <c r="J81" s="3"/>
      <c r="K81" s="3"/>
      <c r="L81" s="3"/>
    </row>
    <row r="82" spans="1:12" ht="13.8">
      <c r="A82" s="11"/>
      <c r="B82" s="11"/>
      <c r="C82" s="12"/>
      <c r="D82" s="3"/>
      <c r="E82" s="3"/>
      <c r="F82" s="3"/>
      <c r="G82" s="3"/>
      <c r="H82" s="3"/>
      <c r="I82" s="3"/>
      <c r="J82" s="3"/>
      <c r="K82" s="3"/>
      <c r="L82" s="3"/>
    </row>
    <row r="83" spans="1:12" ht="13.8">
      <c r="A83" s="11"/>
      <c r="B83" s="11"/>
      <c r="C83" s="12"/>
      <c r="D83" s="3"/>
      <c r="E83" s="3"/>
      <c r="F83" s="3"/>
      <c r="G83" s="3"/>
      <c r="H83" s="3"/>
      <c r="I83" s="3"/>
      <c r="J83" s="3"/>
      <c r="K83" s="3"/>
      <c r="L83" s="3"/>
    </row>
    <row r="84" spans="1:12" ht="13.8">
      <c r="A84" s="11"/>
      <c r="B84" s="11"/>
      <c r="C84" s="12"/>
      <c r="D84" s="3"/>
      <c r="E84" s="3"/>
      <c r="F84" s="3"/>
      <c r="G84" s="3"/>
      <c r="H84" s="3"/>
      <c r="I84" s="3"/>
      <c r="J84" s="3"/>
      <c r="K84" s="3"/>
      <c r="L84" s="3"/>
    </row>
    <row r="85" spans="1:12" ht="13.8">
      <c r="A85" s="11"/>
      <c r="B85" s="11"/>
      <c r="C85" s="12"/>
      <c r="D85" s="3"/>
      <c r="E85" s="3"/>
      <c r="F85" s="3"/>
      <c r="G85" s="3"/>
      <c r="H85" s="3"/>
      <c r="I85" s="3"/>
      <c r="J85" s="3"/>
      <c r="K85" s="3"/>
      <c r="L85" s="3"/>
    </row>
    <row r="86" spans="1:12" ht="13.8">
      <c r="A86" s="11"/>
      <c r="B86" s="11"/>
      <c r="C86" s="12"/>
      <c r="D86" s="3"/>
      <c r="E86" s="3"/>
      <c r="F86" s="3"/>
      <c r="G86" s="3"/>
      <c r="H86" s="3"/>
      <c r="I86" s="3"/>
      <c r="J86" s="3"/>
      <c r="K86" s="3"/>
      <c r="L86" s="3"/>
    </row>
    <row r="87" spans="1:12" ht="13.8">
      <c r="A87" s="11"/>
      <c r="B87" s="11"/>
      <c r="C87" s="12"/>
      <c r="D87" s="3"/>
      <c r="E87" s="3"/>
      <c r="F87" s="3"/>
      <c r="G87" s="3"/>
      <c r="H87" s="3"/>
      <c r="I87" s="3"/>
      <c r="J87" s="3"/>
      <c r="K87" s="3"/>
      <c r="L87" s="3"/>
    </row>
    <row r="88" spans="1:12" ht="13.8">
      <c r="A88" s="11"/>
      <c r="B88" s="11"/>
      <c r="C88" s="12"/>
      <c r="D88" s="3"/>
      <c r="E88" s="3"/>
      <c r="F88" s="3"/>
      <c r="G88" s="3"/>
      <c r="H88" s="3"/>
      <c r="I88" s="3"/>
      <c r="J88" s="3"/>
      <c r="K88" s="3"/>
      <c r="L88" s="3"/>
    </row>
    <row r="89" spans="1:12" ht="13.8">
      <c r="A89" s="11"/>
      <c r="B89" s="11"/>
      <c r="C89" s="12"/>
      <c r="D89" s="3"/>
      <c r="E89" s="3"/>
      <c r="F89" s="3"/>
      <c r="G89" s="3"/>
      <c r="H89" s="3"/>
      <c r="I89" s="3"/>
      <c r="J89" s="3"/>
      <c r="K89" s="3"/>
      <c r="L89" s="3"/>
    </row>
    <row r="90" spans="1:12" ht="13.8">
      <c r="A90" s="11"/>
      <c r="B90" s="11"/>
      <c r="C90" s="12"/>
      <c r="D90" s="3"/>
      <c r="E90" s="3"/>
      <c r="F90" s="3"/>
      <c r="G90" s="3"/>
      <c r="H90" s="3"/>
      <c r="I90" s="3"/>
      <c r="J90" s="3"/>
      <c r="K90" s="3"/>
      <c r="L90" s="3"/>
    </row>
    <row r="91" spans="1:12" ht="13.8">
      <c r="A91" s="11"/>
      <c r="B91" s="11"/>
      <c r="C91" s="12"/>
      <c r="D91" s="3"/>
      <c r="E91" s="3"/>
      <c r="F91" s="3"/>
      <c r="G91" s="3"/>
      <c r="H91" s="3"/>
      <c r="I91" s="3"/>
      <c r="J91" s="3"/>
      <c r="K91" s="3"/>
      <c r="L91" s="3"/>
    </row>
    <row r="92" spans="1:12" ht="13.8">
      <c r="A92" s="11"/>
      <c r="B92" s="11"/>
      <c r="C92" s="12"/>
      <c r="D92" s="3"/>
      <c r="E92" s="3"/>
      <c r="F92" s="3"/>
      <c r="G92" s="3"/>
      <c r="H92" s="3"/>
      <c r="I92" s="3"/>
      <c r="J92" s="3"/>
      <c r="K92" s="3"/>
      <c r="L92" s="3"/>
    </row>
    <row r="93" spans="1:12" ht="13.8">
      <c r="A93" s="11"/>
      <c r="B93" s="11"/>
      <c r="C93" s="12"/>
      <c r="D93" s="3"/>
      <c r="E93" s="3"/>
      <c r="F93" s="3"/>
      <c r="G93" s="3"/>
      <c r="H93" s="3"/>
      <c r="I93" s="3"/>
      <c r="J93" s="3"/>
      <c r="K93" s="3"/>
      <c r="L93" s="3"/>
    </row>
    <row r="94" spans="1:12" ht="13.8">
      <c r="A94" s="11"/>
      <c r="B94" s="11"/>
      <c r="C94" s="12"/>
      <c r="D94" s="3"/>
      <c r="E94" s="3"/>
      <c r="F94" s="3"/>
      <c r="G94" s="3"/>
      <c r="H94" s="3"/>
      <c r="I94" s="3"/>
      <c r="J94" s="3"/>
      <c r="K94" s="3"/>
      <c r="L94" s="3"/>
    </row>
    <row r="95" spans="1:12" ht="13.8">
      <c r="A95" s="11"/>
      <c r="B95" s="11"/>
      <c r="C95" s="12"/>
      <c r="D95" s="3"/>
      <c r="E95" s="3"/>
      <c r="F95" s="3"/>
      <c r="G95" s="3"/>
      <c r="H95" s="3"/>
      <c r="I95" s="3"/>
      <c r="J95" s="3"/>
      <c r="K95" s="3"/>
      <c r="L95" s="3"/>
    </row>
    <row r="96" spans="1:12" ht="13.8">
      <c r="A96" s="11"/>
      <c r="B96" s="11"/>
      <c r="C96" s="12"/>
      <c r="D96" s="3"/>
      <c r="E96" s="3"/>
      <c r="F96" s="3"/>
      <c r="G96" s="3"/>
      <c r="H96" s="3"/>
      <c r="I96" s="3"/>
      <c r="J96" s="3"/>
      <c r="K96" s="3"/>
      <c r="L96" s="3"/>
    </row>
    <row r="97" spans="1:12" ht="13.8">
      <c r="A97" s="11"/>
      <c r="B97" s="11"/>
      <c r="C97" s="12"/>
      <c r="D97" s="3"/>
      <c r="E97" s="3"/>
      <c r="F97" s="3"/>
      <c r="G97" s="3"/>
      <c r="H97" s="3"/>
      <c r="I97" s="3"/>
      <c r="J97" s="3"/>
      <c r="K97" s="3"/>
      <c r="L97" s="3"/>
    </row>
  </sheetData>
  <mergeCells count="4">
    <mergeCell ref="E3:L3"/>
    <mergeCell ref="E4:L4"/>
    <mergeCell ref="E5:L5"/>
    <mergeCell ref="E12:L12"/>
  </mergeCells>
  <hyperlinks>
    <hyperlink ref="E26" location="null!A1" display="Penulisan Laporan" xr:uid="{00000000-0004-0000-0000-000000000000}"/>
    <hyperlink ref="E27" location="null!A1" display="Laporan Resmi" xr:uid="{00000000-0004-0000-0000-000001000000}"/>
    <hyperlink ref="E28" location="null!A1" display="Kemampuan Praktikum" xr:uid="{00000000-0004-0000-0000-000002000000}"/>
    <hyperlink ref="E29" location="null!A1" display="Nilai  Harian" xr:uid="{00000000-0004-0000-0000-000003000000}"/>
    <hyperlink ref="E30" location="null!A1" display="Nilai Akhir" xr:uid="{00000000-0004-0000-0000-000004000000}"/>
    <hyperlink ref="E31" location="null!A1" display="Pie Chart" xr:uid="{00000000-0004-0000-0000-000005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97"/>
  <sheetViews>
    <sheetView topLeftCell="G1" workbookViewId="0"/>
  </sheetViews>
  <sheetFormatPr defaultColWidth="12.6640625" defaultRowHeight="15.75" customHeight="1"/>
  <cols>
    <col min="1" max="1" width="5.88671875" customWidth="1"/>
    <col min="3" max="3" width="31.33203125" customWidth="1"/>
    <col min="4" max="12" width="9.44140625" customWidth="1"/>
  </cols>
  <sheetData>
    <row r="1" spans="1:12">
      <c r="A1" s="13"/>
    </row>
    <row r="2" spans="1:12">
      <c r="A2" s="46" t="s">
        <v>1</v>
      </c>
      <c r="B2" s="46" t="s">
        <v>2</v>
      </c>
      <c r="C2" s="46" t="s">
        <v>83</v>
      </c>
      <c r="D2" s="48" t="s">
        <v>42</v>
      </c>
      <c r="E2" s="49"/>
      <c r="F2" s="49"/>
      <c r="G2" s="49"/>
      <c r="H2" s="49"/>
      <c r="I2" s="49"/>
      <c r="J2" s="49"/>
      <c r="K2" s="50"/>
      <c r="L2" s="46" t="s">
        <v>84</v>
      </c>
    </row>
    <row r="3" spans="1:12">
      <c r="A3" s="47"/>
      <c r="B3" s="47"/>
      <c r="C3" s="47"/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47"/>
    </row>
    <row r="4" spans="1:12">
      <c r="A4" s="4">
        <f>'INPUT DAFTAR PESERTA'!A4</f>
        <v>1</v>
      </c>
      <c r="B4" s="4">
        <f>'INPUT DAFTAR PESERTA'!B4</f>
        <v>2209076028</v>
      </c>
      <c r="C4" s="6" t="str">
        <f>'INPUT DAFTAR PESERTA'!C4</f>
        <v>Mirza Syihabudin Almas</v>
      </c>
      <c r="D4" s="4">
        <v>50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14">
        <f t="shared" ref="L4:L12" si="0">(D4+E4+F4+G4+H4+I4+J4+K4)/8</f>
        <v>50</v>
      </c>
    </row>
    <row r="5" spans="1:12">
      <c r="A5" s="4">
        <f>'INPUT DAFTAR PESERTA'!A5</f>
        <v>2</v>
      </c>
      <c r="B5" s="4">
        <f>'INPUT DAFTAR PESERTA'!B5</f>
        <v>2509076001</v>
      </c>
      <c r="C5" s="6" t="str">
        <f>'INPUT DAFTAR PESERTA'!C5</f>
        <v>Mohammad Ali Murtadlo</v>
      </c>
      <c r="D5" s="4">
        <v>87</v>
      </c>
      <c r="E5" s="4">
        <v>72</v>
      </c>
      <c r="F5" s="4">
        <v>95</v>
      </c>
      <c r="G5" s="4">
        <v>93</v>
      </c>
      <c r="H5" s="4">
        <v>80</v>
      </c>
      <c r="I5" s="4">
        <v>78</v>
      </c>
      <c r="J5" s="4">
        <v>72</v>
      </c>
      <c r="K5" s="4">
        <v>80</v>
      </c>
      <c r="L5" s="14">
        <f t="shared" si="0"/>
        <v>82.125</v>
      </c>
    </row>
    <row r="6" spans="1:12">
      <c r="A6" s="4">
        <f>'INPUT DAFTAR PESERTA'!A6</f>
        <v>3</v>
      </c>
      <c r="B6" s="4">
        <f>'INPUT DAFTAR PESERTA'!B6</f>
        <v>2509076002</v>
      </c>
      <c r="C6" s="6" t="str">
        <f>'INPUT DAFTAR PESERTA'!C6</f>
        <v>Muhammad Zahid Sabil</v>
      </c>
      <c r="D6" s="4">
        <v>85</v>
      </c>
      <c r="E6" s="4">
        <v>80</v>
      </c>
      <c r="F6" s="4">
        <v>95</v>
      </c>
      <c r="G6" s="4">
        <v>95</v>
      </c>
      <c r="H6" s="4">
        <v>92</v>
      </c>
      <c r="I6" s="4">
        <v>66</v>
      </c>
      <c r="J6" s="4">
        <v>90</v>
      </c>
      <c r="K6" s="4">
        <v>73</v>
      </c>
      <c r="L6" s="14">
        <f t="shared" si="0"/>
        <v>84.5</v>
      </c>
    </row>
    <row r="7" spans="1:12">
      <c r="A7" s="4">
        <f>'INPUT DAFTAR PESERTA'!A7</f>
        <v>4</v>
      </c>
      <c r="B7" s="4">
        <f>'INPUT DAFTAR PESERTA'!B7</f>
        <v>2509076003</v>
      </c>
      <c r="C7" s="6" t="str">
        <f>'INPUT DAFTAR PESERTA'!C7</f>
        <v>Javier Abid Danapati</v>
      </c>
      <c r="D7" s="4">
        <v>85</v>
      </c>
      <c r="E7" s="4">
        <v>77</v>
      </c>
      <c r="F7" s="4">
        <v>95</v>
      </c>
      <c r="G7" s="4">
        <v>94</v>
      </c>
      <c r="H7" s="4">
        <v>92</v>
      </c>
      <c r="I7" s="4">
        <v>72</v>
      </c>
      <c r="J7" s="4">
        <v>70</v>
      </c>
      <c r="K7" s="4">
        <v>74</v>
      </c>
      <c r="L7" s="14">
        <f t="shared" si="0"/>
        <v>82.375</v>
      </c>
    </row>
    <row r="8" spans="1:12">
      <c r="A8" s="4">
        <f>'INPUT DAFTAR PESERTA'!A8</f>
        <v>5</v>
      </c>
      <c r="B8" s="4">
        <f>'INPUT DAFTAR PESERTA'!B8</f>
        <v>2509076004</v>
      </c>
      <c r="C8" s="6" t="str">
        <f>'INPUT DAFTAR PESERTA'!C8</f>
        <v>Cristian Mouses</v>
      </c>
      <c r="D8" s="4">
        <v>90</v>
      </c>
      <c r="E8" s="4">
        <v>75</v>
      </c>
      <c r="F8" s="4">
        <v>95</v>
      </c>
      <c r="G8" s="4">
        <v>99</v>
      </c>
      <c r="H8" s="4">
        <v>100</v>
      </c>
      <c r="I8" s="4">
        <v>83</v>
      </c>
      <c r="J8" s="4">
        <v>70</v>
      </c>
      <c r="K8" s="4">
        <v>78</v>
      </c>
      <c r="L8" s="14">
        <f t="shared" si="0"/>
        <v>86.25</v>
      </c>
    </row>
    <row r="9" spans="1:12">
      <c r="A9" s="4">
        <f>'INPUT DAFTAR PESERTA'!A9</f>
        <v>6</v>
      </c>
      <c r="B9" s="4">
        <f>'INPUT DAFTAR PESERTA'!B9</f>
        <v>2509076005</v>
      </c>
      <c r="C9" s="6" t="str">
        <f>'INPUT DAFTAR PESERTA'!C9</f>
        <v>Guarimus Rinaldi Ngera</v>
      </c>
      <c r="D9" s="4">
        <v>98</v>
      </c>
      <c r="E9" s="4">
        <v>73</v>
      </c>
      <c r="F9" s="4">
        <v>99</v>
      </c>
      <c r="G9" s="4">
        <v>94</v>
      </c>
      <c r="H9" s="4">
        <v>90</v>
      </c>
      <c r="I9" s="4">
        <v>85</v>
      </c>
      <c r="J9" s="4">
        <v>85</v>
      </c>
      <c r="K9" s="4">
        <v>82</v>
      </c>
      <c r="L9" s="14">
        <f t="shared" si="0"/>
        <v>88.25</v>
      </c>
    </row>
    <row r="10" spans="1:12">
      <c r="A10" s="4">
        <f>'INPUT DAFTAR PESERTA'!A10</f>
        <v>7</v>
      </c>
      <c r="B10" s="4">
        <f>'INPUT DAFTAR PESERTA'!B10</f>
        <v>2509076006</v>
      </c>
      <c r="C10" s="6" t="str">
        <f>'INPUT DAFTAR PESERTA'!C10</f>
        <v>Rafly Khoirul Rizky</v>
      </c>
      <c r="D10" s="4">
        <v>88</v>
      </c>
      <c r="E10" s="4">
        <v>75</v>
      </c>
      <c r="F10" s="4">
        <v>97</v>
      </c>
      <c r="G10" s="4">
        <v>89</v>
      </c>
      <c r="H10" s="4">
        <v>87</v>
      </c>
      <c r="I10" s="4">
        <v>70.5</v>
      </c>
      <c r="J10" s="4">
        <v>70</v>
      </c>
      <c r="K10" s="4">
        <v>85</v>
      </c>
      <c r="L10" s="14">
        <f t="shared" si="0"/>
        <v>82.6875</v>
      </c>
    </row>
    <row r="11" spans="1:12">
      <c r="A11" s="4">
        <f>'INPUT DAFTAR PESERTA'!A11</f>
        <v>8</v>
      </c>
      <c r="B11" s="4">
        <f>'INPUT DAFTAR PESERTA'!B11</f>
        <v>2509076007</v>
      </c>
      <c r="C11" s="6" t="str">
        <f>'INPUT DAFTAR PESERTA'!C11</f>
        <v>Nurdian Bagus Setiawan</v>
      </c>
      <c r="D11" s="4">
        <v>92</v>
      </c>
      <c r="E11" s="4">
        <v>76</v>
      </c>
      <c r="F11" s="4">
        <v>85</v>
      </c>
      <c r="G11" s="4">
        <v>88</v>
      </c>
      <c r="H11" s="4">
        <v>80</v>
      </c>
      <c r="I11" s="4">
        <v>78</v>
      </c>
      <c r="J11" s="4">
        <v>70</v>
      </c>
      <c r="K11" s="4">
        <v>80</v>
      </c>
      <c r="L11" s="14">
        <f t="shared" si="0"/>
        <v>81.125</v>
      </c>
    </row>
    <row r="12" spans="1:12">
      <c r="A12" s="4">
        <f>'INPUT DAFTAR PESERTA'!A12</f>
        <v>9</v>
      </c>
      <c r="B12" s="4">
        <f>'INPUT DAFTAR PESERTA'!B12</f>
        <v>2509076008</v>
      </c>
      <c r="C12" s="6" t="str">
        <f>'INPUT DAFTAR PESERTA'!C12</f>
        <v>Krisna Akbar</v>
      </c>
      <c r="D12" s="4">
        <v>95</v>
      </c>
      <c r="E12" s="4">
        <v>96</v>
      </c>
      <c r="F12" s="4">
        <v>99</v>
      </c>
      <c r="G12" s="4">
        <v>96</v>
      </c>
      <c r="H12" s="4">
        <v>80</v>
      </c>
      <c r="I12" s="4">
        <v>82</v>
      </c>
      <c r="J12" s="4">
        <v>85</v>
      </c>
      <c r="K12" s="4">
        <v>87</v>
      </c>
      <c r="L12" s="14">
        <f t="shared" si="0"/>
        <v>90</v>
      </c>
    </row>
    <row r="13" spans="1:12">
      <c r="A13" s="4">
        <f>'INPUT DAFTAR PESERTA'!A13</f>
        <v>10</v>
      </c>
      <c r="B13" s="4">
        <f>'INPUT DAFTAR PESERTA'!B13</f>
        <v>2509076009</v>
      </c>
      <c r="C13" s="6" t="str">
        <f>'INPUT DAFTAR PESERTA'!C13</f>
        <v>Muhammad Naufal Ammar Dzakiy</v>
      </c>
      <c r="D13" s="4">
        <v>80</v>
      </c>
      <c r="E13" s="4">
        <v>80</v>
      </c>
      <c r="F13" s="4">
        <v>90</v>
      </c>
      <c r="G13" s="4">
        <v>82</v>
      </c>
      <c r="H13" s="4">
        <v>70</v>
      </c>
      <c r="I13" s="4">
        <v>40</v>
      </c>
      <c r="J13" s="15">
        <v>80</v>
      </c>
      <c r="K13" s="4">
        <v>70</v>
      </c>
      <c r="L13" s="14">
        <f t="shared" ref="L13:L14" si="1">(D13+E13+F13+G13+H13+I13+J14+K13)/8</f>
        <v>75.75</v>
      </c>
    </row>
    <row r="14" spans="1:12">
      <c r="A14" s="4">
        <f>'INPUT DAFTAR PESERTA'!A14</f>
        <v>11</v>
      </c>
      <c r="B14" s="4">
        <f>'INPUT DAFTAR PESERTA'!B14</f>
        <v>2509076010</v>
      </c>
      <c r="C14" s="6" t="str">
        <f>'INPUT DAFTAR PESERTA'!C14</f>
        <v>Muhammad Fathir</v>
      </c>
      <c r="D14" s="4">
        <v>68</v>
      </c>
      <c r="E14" s="4">
        <v>96</v>
      </c>
      <c r="F14" s="4">
        <v>70</v>
      </c>
      <c r="G14" s="4">
        <v>98</v>
      </c>
      <c r="H14" s="4">
        <v>75</v>
      </c>
      <c r="I14" s="4">
        <v>93.5</v>
      </c>
      <c r="J14" s="4">
        <v>94</v>
      </c>
      <c r="K14" s="4">
        <v>75</v>
      </c>
      <c r="L14" s="14">
        <f t="shared" si="1"/>
        <v>84.1875</v>
      </c>
    </row>
    <row r="15" spans="1:12">
      <c r="A15" s="4">
        <f>'INPUT DAFTAR PESERTA'!A15</f>
        <v>12</v>
      </c>
      <c r="B15" s="4">
        <f>'INPUT DAFTAR PESERTA'!B15</f>
        <v>2509076011</v>
      </c>
      <c r="C15" s="6" t="str">
        <f>'INPUT DAFTAR PESERTA'!C15</f>
        <v>Waiz Ar Rozzaq</v>
      </c>
      <c r="D15" s="4">
        <v>70</v>
      </c>
      <c r="E15" s="4">
        <v>97</v>
      </c>
      <c r="F15" s="4">
        <v>99</v>
      </c>
      <c r="G15" s="4">
        <v>94</v>
      </c>
      <c r="H15" s="4">
        <v>95</v>
      </c>
      <c r="I15" s="4">
        <v>98</v>
      </c>
      <c r="J15" s="4">
        <v>98</v>
      </c>
      <c r="K15" s="4">
        <v>75</v>
      </c>
      <c r="L15" s="14">
        <f>(D15+E15+F15+G15+H15+I15+S16+K15)/8</f>
        <v>78.5</v>
      </c>
    </row>
    <row r="16" spans="1:12">
      <c r="A16" s="16">
        <f>'INPUT DAFTAR PESERTA'!A16</f>
        <v>13</v>
      </c>
      <c r="B16" s="16">
        <f>'INPUT DAFTAR PESERTA'!B16</f>
        <v>2509076012</v>
      </c>
      <c r="C16" s="17" t="str">
        <f>'INPUT DAFTAR PESERTA'!C16</f>
        <v>Aditya Windri Andra</v>
      </c>
      <c r="D16" s="16">
        <v>68</v>
      </c>
      <c r="E16" s="16">
        <v>94</v>
      </c>
      <c r="F16" s="16">
        <v>90</v>
      </c>
      <c r="G16" s="16">
        <v>89</v>
      </c>
      <c r="H16" s="16">
        <v>90</v>
      </c>
      <c r="I16" s="16">
        <v>88</v>
      </c>
      <c r="J16" s="16">
        <v>90</v>
      </c>
      <c r="K16" s="16">
        <v>75</v>
      </c>
      <c r="L16" s="18">
        <f t="shared" ref="L16:L63" si="2">(D16+E16+F16+G16+H16+I16+J16+K16)/8</f>
        <v>85.5</v>
      </c>
    </row>
    <row r="17" spans="1:12">
      <c r="A17" s="4">
        <f>'INPUT DAFTAR PESERTA'!A17</f>
        <v>14</v>
      </c>
      <c r="B17" s="4">
        <f>'INPUT DAFTAR PESERTA'!B17</f>
        <v>2509076013</v>
      </c>
      <c r="C17" s="6" t="str">
        <f>'INPUT DAFTAR PESERTA'!C17</f>
        <v>Wisnu Gafur</v>
      </c>
      <c r="D17" s="4">
        <v>50</v>
      </c>
      <c r="E17" s="4">
        <v>60</v>
      </c>
      <c r="F17" s="4">
        <v>95</v>
      </c>
      <c r="G17" s="4">
        <v>90</v>
      </c>
      <c r="H17" s="4">
        <v>85</v>
      </c>
      <c r="I17" s="4">
        <v>80</v>
      </c>
      <c r="J17" s="4">
        <v>70</v>
      </c>
      <c r="K17" s="4">
        <v>70</v>
      </c>
      <c r="L17" s="14">
        <f t="shared" si="2"/>
        <v>75</v>
      </c>
    </row>
    <row r="18" spans="1:12">
      <c r="A18" s="4">
        <f>'INPUT DAFTAR PESERTA'!A18</f>
        <v>15</v>
      </c>
      <c r="B18" s="4">
        <f>'INPUT DAFTAR PESERTA'!B18</f>
        <v>2509076014</v>
      </c>
      <c r="C18" s="6" t="str">
        <f>'INPUT DAFTAR PESERTA'!C18</f>
        <v>Given Subagja</v>
      </c>
      <c r="D18" s="4">
        <v>68</v>
      </c>
      <c r="E18" s="4">
        <v>98</v>
      </c>
      <c r="F18" s="4">
        <v>90</v>
      </c>
      <c r="G18" s="4">
        <v>98</v>
      </c>
      <c r="H18" s="4">
        <v>98</v>
      </c>
      <c r="I18" s="4">
        <v>90</v>
      </c>
      <c r="J18" s="4">
        <v>97</v>
      </c>
      <c r="K18" s="4">
        <v>75</v>
      </c>
      <c r="L18" s="14">
        <f t="shared" si="2"/>
        <v>89.25</v>
      </c>
    </row>
    <row r="19" spans="1:12">
      <c r="A19" s="4">
        <f>'INPUT DAFTAR PESERTA'!A19</f>
        <v>16</v>
      </c>
      <c r="B19" s="4">
        <f>'INPUT DAFTAR PESERTA'!B19</f>
        <v>2509076015</v>
      </c>
      <c r="C19" s="6" t="str">
        <f>'INPUT DAFTAR PESERTA'!C19</f>
        <v>Taufiqurrahman</v>
      </c>
      <c r="D19" s="4">
        <v>67</v>
      </c>
      <c r="E19" s="4">
        <v>100</v>
      </c>
      <c r="F19" s="4">
        <v>100</v>
      </c>
      <c r="G19" s="4">
        <v>98</v>
      </c>
      <c r="H19" s="4">
        <v>100</v>
      </c>
      <c r="I19" s="4">
        <v>92</v>
      </c>
      <c r="J19" s="4">
        <v>93</v>
      </c>
      <c r="K19" s="4">
        <v>88</v>
      </c>
      <c r="L19" s="14">
        <f t="shared" si="2"/>
        <v>92.25</v>
      </c>
    </row>
    <row r="20" spans="1:12">
      <c r="A20" s="4">
        <f>'INPUT DAFTAR PESERTA'!A20</f>
        <v>17</v>
      </c>
      <c r="B20" s="4">
        <f>'INPUT DAFTAR PESERTA'!B20</f>
        <v>2509076016</v>
      </c>
      <c r="C20" s="6" t="str">
        <f>'INPUT DAFTAR PESERTA'!C20</f>
        <v>Nazwa Gizza Putri Bayu</v>
      </c>
      <c r="D20" s="4">
        <v>71</v>
      </c>
      <c r="E20" s="4">
        <v>100</v>
      </c>
      <c r="F20" s="4">
        <v>100</v>
      </c>
      <c r="G20" s="4">
        <v>99</v>
      </c>
      <c r="H20" s="4">
        <v>80</v>
      </c>
      <c r="I20" s="4">
        <v>93</v>
      </c>
      <c r="J20" s="4">
        <v>97</v>
      </c>
      <c r="K20" s="4">
        <v>81</v>
      </c>
      <c r="L20" s="14">
        <f t="shared" si="2"/>
        <v>90.125</v>
      </c>
    </row>
    <row r="21" spans="1:12">
      <c r="A21" s="4">
        <f>'INPUT DAFTAR PESERTA'!A21</f>
        <v>18</v>
      </c>
      <c r="B21" s="4">
        <f>'INPUT DAFTAR PESERTA'!B21</f>
        <v>2509076017</v>
      </c>
      <c r="C21" s="6" t="str">
        <f>'INPUT DAFTAR PESERTA'!C21</f>
        <v>Ryan Maulana Malik</v>
      </c>
      <c r="D21" s="4">
        <v>70</v>
      </c>
      <c r="E21" s="4">
        <v>100</v>
      </c>
      <c r="F21" s="4">
        <v>100</v>
      </c>
      <c r="G21" s="4">
        <v>99</v>
      </c>
      <c r="H21" s="4">
        <v>100</v>
      </c>
      <c r="I21" s="4">
        <v>93</v>
      </c>
      <c r="J21" s="4">
        <v>95</v>
      </c>
      <c r="K21" s="4">
        <v>90</v>
      </c>
      <c r="L21" s="14">
        <f t="shared" si="2"/>
        <v>93.375</v>
      </c>
    </row>
    <row r="22" spans="1:12">
      <c r="A22" s="4">
        <f>'INPUT DAFTAR PESERTA'!A22</f>
        <v>19</v>
      </c>
      <c r="B22" s="4">
        <f>'INPUT DAFTAR PESERTA'!B22</f>
        <v>2509076018</v>
      </c>
      <c r="C22" s="6" t="str">
        <f>'INPUT DAFTAR PESERTA'!C22</f>
        <v>Fajar Ihsan</v>
      </c>
      <c r="D22" s="4">
        <v>96</v>
      </c>
      <c r="E22" s="4">
        <v>82</v>
      </c>
      <c r="F22" s="4">
        <v>95</v>
      </c>
      <c r="G22" s="4">
        <v>99</v>
      </c>
      <c r="H22" s="4">
        <v>80</v>
      </c>
      <c r="I22" s="4">
        <v>85</v>
      </c>
      <c r="J22" s="4">
        <v>88</v>
      </c>
      <c r="K22" s="4">
        <v>51</v>
      </c>
      <c r="L22" s="14">
        <f t="shared" si="2"/>
        <v>84.5</v>
      </c>
    </row>
    <row r="23" spans="1:12">
      <c r="A23" s="4">
        <f>'INPUT DAFTAR PESERTA'!A23</f>
        <v>20</v>
      </c>
      <c r="B23" s="4">
        <f>'INPUT DAFTAR PESERTA'!B23</f>
        <v>2509076019</v>
      </c>
      <c r="C23" s="6" t="str">
        <f>'INPUT DAFTAR PESERTA'!C23</f>
        <v>Rava Erika Putri</v>
      </c>
      <c r="D23" s="4">
        <v>80</v>
      </c>
      <c r="E23" s="4">
        <v>100</v>
      </c>
      <c r="F23" s="4">
        <v>100</v>
      </c>
      <c r="G23" s="4">
        <v>99</v>
      </c>
      <c r="H23" s="4">
        <v>80</v>
      </c>
      <c r="I23" s="4">
        <v>87</v>
      </c>
      <c r="J23" s="4">
        <v>92</v>
      </c>
      <c r="K23" s="4">
        <v>82</v>
      </c>
      <c r="L23" s="14">
        <f t="shared" si="2"/>
        <v>90</v>
      </c>
    </row>
    <row r="24" spans="1:12">
      <c r="A24" s="4">
        <f>'INPUT DAFTAR PESERTA'!A24</f>
        <v>21</v>
      </c>
      <c r="B24" s="4">
        <f>'INPUT DAFTAR PESERTA'!B24</f>
        <v>2509076020</v>
      </c>
      <c r="C24" s="6" t="str">
        <f>'INPUT DAFTAR PESERTA'!C24</f>
        <v>Ikhsan Nur</v>
      </c>
      <c r="D24" s="4">
        <v>96</v>
      </c>
      <c r="E24" s="4">
        <v>98</v>
      </c>
      <c r="F24" s="4">
        <v>95</v>
      </c>
      <c r="G24" s="4">
        <v>99</v>
      </c>
      <c r="H24" s="4">
        <v>80</v>
      </c>
      <c r="I24" s="4">
        <v>92</v>
      </c>
      <c r="J24" s="4">
        <v>95</v>
      </c>
      <c r="K24" s="4">
        <v>85</v>
      </c>
      <c r="L24" s="14">
        <f t="shared" si="2"/>
        <v>92.5</v>
      </c>
    </row>
    <row r="25" spans="1:12">
      <c r="A25" s="4">
        <f>'INPUT DAFTAR PESERTA'!A25</f>
        <v>22</v>
      </c>
      <c r="B25" s="4">
        <f>'INPUT DAFTAR PESERTA'!B25</f>
        <v>2509076021</v>
      </c>
      <c r="C25" s="6" t="str">
        <f>'INPUT DAFTAR PESERTA'!C25</f>
        <v>Fahri Fadil Afif</v>
      </c>
      <c r="D25" s="4">
        <v>85</v>
      </c>
      <c r="E25" s="4">
        <v>87</v>
      </c>
      <c r="F25" s="4">
        <v>95</v>
      </c>
      <c r="G25" s="4">
        <v>98</v>
      </c>
      <c r="H25" s="4">
        <v>80</v>
      </c>
      <c r="I25" s="4">
        <v>79</v>
      </c>
      <c r="J25" s="4">
        <v>90</v>
      </c>
      <c r="K25" s="4">
        <v>79</v>
      </c>
      <c r="L25" s="14">
        <f t="shared" si="2"/>
        <v>86.625</v>
      </c>
    </row>
    <row r="26" spans="1:12">
      <c r="A26" s="4">
        <f>'INPUT DAFTAR PESERTA'!A26</f>
        <v>23</v>
      </c>
      <c r="B26" s="4">
        <f>'INPUT DAFTAR PESERTA'!B26</f>
        <v>2509076022</v>
      </c>
      <c r="C26" s="6" t="str">
        <f>'INPUT DAFTAR PESERTA'!C26</f>
        <v>Andika Yanuardani</v>
      </c>
      <c r="D26" s="4">
        <v>100</v>
      </c>
      <c r="E26" s="4">
        <v>97</v>
      </c>
      <c r="F26" s="4">
        <v>95</v>
      </c>
      <c r="G26" s="4">
        <v>99</v>
      </c>
      <c r="H26" s="4">
        <v>85</v>
      </c>
      <c r="I26" s="4">
        <v>85</v>
      </c>
      <c r="J26" s="4">
        <v>90</v>
      </c>
      <c r="K26" s="4">
        <v>70</v>
      </c>
      <c r="L26" s="14">
        <f t="shared" si="2"/>
        <v>90.125</v>
      </c>
    </row>
    <row r="27" spans="1:12">
      <c r="A27" s="4">
        <f>'INPUT DAFTAR PESERTA'!A27</f>
        <v>24</v>
      </c>
      <c r="B27" s="4">
        <f>'INPUT DAFTAR PESERTA'!B27</f>
        <v>2509076023</v>
      </c>
      <c r="C27" s="6" t="str">
        <f>'INPUT DAFTAR PESERTA'!C27</f>
        <v>Muhammad Hernanditya Rizky Susanto</v>
      </c>
      <c r="D27" s="4">
        <v>85</v>
      </c>
      <c r="E27" s="4">
        <v>87</v>
      </c>
      <c r="F27" s="4">
        <v>96</v>
      </c>
      <c r="G27" s="4">
        <v>97</v>
      </c>
      <c r="H27" s="4">
        <v>80</v>
      </c>
      <c r="I27" s="4">
        <v>86</v>
      </c>
      <c r="J27" s="4">
        <v>85</v>
      </c>
      <c r="K27" s="4">
        <v>90</v>
      </c>
      <c r="L27" s="14">
        <f t="shared" si="2"/>
        <v>88.25</v>
      </c>
    </row>
    <row r="28" spans="1:12">
      <c r="A28" s="4">
        <f>'INPUT DAFTAR PESERTA'!A28</f>
        <v>25</v>
      </c>
      <c r="B28" s="4">
        <f>'INPUT DAFTAR PESERTA'!B28</f>
        <v>2509076024</v>
      </c>
      <c r="C28" s="6" t="str">
        <f>'INPUT DAFTAR PESERTA'!C28</f>
        <v>Febrianto Paa Linthin</v>
      </c>
      <c r="D28" s="4">
        <v>90</v>
      </c>
      <c r="E28" s="4">
        <v>96</v>
      </c>
      <c r="F28" s="4">
        <v>98</v>
      </c>
      <c r="G28" s="4">
        <v>95</v>
      </c>
      <c r="H28" s="4">
        <v>80</v>
      </c>
      <c r="I28" s="4">
        <v>82</v>
      </c>
      <c r="J28" s="4">
        <v>95</v>
      </c>
      <c r="K28" s="4">
        <v>90</v>
      </c>
      <c r="L28" s="14">
        <f t="shared" si="2"/>
        <v>90.75</v>
      </c>
    </row>
    <row r="29" spans="1:12">
      <c r="A29" s="4">
        <f>'INPUT DAFTAR PESERTA'!A29</f>
        <v>26</v>
      </c>
      <c r="B29" s="4">
        <f>'INPUT DAFTAR PESERTA'!B29</f>
        <v>2509076025</v>
      </c>
      <c r="C29" s="6" t="str">
        <f>'INPUT DAFTAR PESERTA'!C29</f>
        <v>Sandriko Pebrian Silaen</v>
      </c>
      <c r="D29" s="4">
        <v>100</v>
      </c>
      <c r="E29" s="4">
        <v>88</v>
      </c>
      <c r="F29" s="4">
        <v>95</v>
      </c>
      <c r="G29" s="4">
        <v>99</v>
      </c>
      <c r="H29" s="4">
        <v>80</v>
      </c>
      <c r="I29" s="4">
        <v>81</v>
      </c>
      <c r="J29" s="4">
        <v>85</v>
      </c>
      <c r="K29" s="4">
        <v>90</v>
      </c>
      <c r="L29" s="14">
        <f t="shared" si="2"/>
        <v>89.75</v>
      </c>
    </row>
    <row r="30" spans="1:12">
      <c r="A30" s="4">
        <f>'INPUT DAFTAR PESERTA'!A30</f>
        <v>27</v>
      </c>
      <c r="B30" s="4">
        <f>'INPUT DAFTAR PESERTA'!B30</f>
        <v>2509076026</v>
      </c>
      <c r="C30" s="6" t="str">
        <f>'INPUT DAFTAR PESERTA'!C30</f>
        <v>Alifka Pasha Assiddiq</v>
      </c>
      <c r="D30" s="4">
        <v>17</v>
      </c>
      <c r="E30" s="4">
        <v>82</v>
      </c>
      <c r="F30" s="4">
        <v>98</v>
      </c>
      <c r="G30" s="4">
        <v>97</v>
      </c>
      <c r="H30" s="4">
        <v>80</v>
      </c>
      <c r="I30" s="4">
        <v>67.599999999999994</v>
      </c>
      <c r="J30" s="4">
        <v>70</v>
      </c>
      <c r="K30" s="4">
        <v>90</v>
      </c>
      <c r="L30" s="14">
        <f t="shared" si="2"/>
        <v>75.2</v>
      </c>
    </row>
    <row r="31" spans="1:12">
      <c r="A31" s="4">
        <f>'INPUT DAFTAR PESERTA'!A31</f>
        <v>28</v>
      </c>
      <c r="B31" s="4">
        <f>'INPUT DAFTAR PESERTA'!B31</f>
        <v>2509076027</v>
      </c>
      <c r="C31" s="6" t="str">
        <f>'INPUT DAFTAR PESERTA'!C31</f>
        <v>Firaas Nur Atsaal</v>
      </c>
      <c r="D31" s="4">
        <v>80</v>
      </c>
      <c r="E31" s="4">
        <v>100</v>
      </c>
      <c r="F31" s="4">
        <v>99</v>
      </c>
      <c r="G31" s="4">
        <v>97</v>
      </c>
      <c r="H31" s="4">
        <v>80</v>
      </c>
      <c r="I31" s="4">
        <v>92.5</v>
      </c>
      <c r="J31" s="4">
        <v>88</v>
      </c>
      <c r="K31" s="4">
        <v>80</v>
      </c>
      <c r="L31" s="14">
        <f t="shared" si="2"/>
        <v>89.5625</v>
      </c>
    </row>
    <row r="32" spans="1:12">
      <c r="A32" s="4">
        <f>'INPUT DAFTAR PESERTA'!A32</f>
        <v>29</v>
      </c>
      <c r="B32" s="4">
        <f>'INPUT DAFTAR PESERTA'!B32</f>
        <v>2509076028</v>
      </c>
      <c r="C32" s="6" t="str">
        <f>'INPUT DAFTAR PESERTA'!C32</f>
        <v>M. Davy Ananda</v>
      </c>
      <c r="D32" s="4">
        <v>88</v>
      </c>
      <c r="E32" s="4">
        <v>86</v>
      </c>
      <c r="F32" s="4">
        <v>90</v>
      </c>
      <c r="G32" s="4">
        <v>97</v>
      </c>
      <c r="H32" s="4">
        <v>80</v>
      </c>
      <c r="I32" s="4">
        <v>65</v>
      </c>
      <c r="J32" s="4">
        <v>85</v>
      </c>
      <c r="K32" s="4">
        <v>80</v>
      </c>
      <c r="L32" s="14">
        <f t="shared" si="2"/>
        <v>83.875</v>
      </c>
    </row>
    <row r="33" spans="1:12">
      <c r="A33" s="4">
        <f>'INPUT DAFTAR PESERTA'!A33</f>
        <v>30</v>
      </c>
      <c r="B33" s="4">
        <f>'INPUT DAFTAR PESERTA'!B33</f>
        <v>2509076029</v>
      </c>
      <c r="C33" s="6" t="str">
        <f>'INPUT DAFTAR PESERTA'!C33</f>
        <v>Abimanyu Putra Nugroho</v>
      </c>
      <c r="D33" s="4">
        <v>17</v>
      </c>
      <c r="E33" s="4">
        <v>86</v>
      </c>
      <c r="F33" s="4">
        <v>85</v>
      </c>
      <c r="G33" s="4">
        <v>89</v>
      </c>
      <c r="H33" s="4">
        <v>60</v>
      </c>
      <c r="I33" s="4">
        <v>77</v>
      </c>
      <c r="J33" s="4">
        <v>50</v>
      </c>
      <c r="K33" s="4">
        <v>70</v>
      </c>
      <c r="L33" s="14">
        <f t="shared" si="2"/>
        <v>66.75</v>
      </c>
    </row>
    <row r="34" spans="1:12">
      <c r="A34" s="4">
        <f>'INPUT DAFTAR PESERTA'!A34</f>
        <v>31</v>
      </c>
      <c r="B34" s="4">
        <f>'INPUT DAFTAR PESERTA'!B34</f>
        <v>2509076030</v>
      </c>
      <c r="C34" s="6" t="str">
        <f>'INPUT DAFTAR PESERTA'!C34</f>
        <v>Nur Fahmi Saputra</v>
      </c>
      <c r="D34" s="4">
        <v>85</v>
      </c>
      <c r="E34" s="4">
        <v>85</v>
      </c>
      <c r="F34" s="4">
        <v>95</v>
      </c>
      <c r="G34" s="4">
        <v>95</v>
      </c>
      <c r="H34" s="4">
        <v>80</v>
      </c>
      <c r="I34" s="4">
        <v>77</v>
      </c>
      <c r="J34" s="4">
        <v>90</v>
      </c>
      <c r="K34" s="4">
        <v>72</v>
      </c>
      <c r="L34" s="14">
        <f t="shared" si="2"/>
        <v>84.875</v>
      </c>
    </row>
    <row r="35" spans="1:12">
      <c r="A35" s="4">
        <f>'INPUT DAFTAR PESERTA'!A35</f>
        <v>32</v>
      </c>
      <c r="B35" s="4">
        <f>'INPUT DAFTAR PESERTA'!B35</f>
        <v>2509076031</v>
      </c>
      <c r="C35" s="6" t="str">
        <f>'INPUT DAFTAR PESERTA'!C35</f>
        <v>Sentike Baso'</v>
      </c>
      <c r="D35" s="4">
        <v>90</v>
      </c>
      <c r="E35" s="4">
        <v>89</v>
      </c>
      <c r="F35" s="4">
        <v>100</v>
      </c>
      <c r="G35" s="4">
        <v>95</v>
      </c>
      <c r="H35" s="4">
        <v>80</v>
      </c>
      <c r="I35" s="4">
        <v>70</v>
      </c>
      <c r="J35" s="4">
        <v>85</v>
      </c>
      <c r="K35" s="4">
        <v>84</v>
      </c>
      <c r="L35" s="14">
        <f t="shared" si="2"/>
        <v>86.625</v>
      </c>
    </row>
    <row r="36" spans="1:12">
      <c r="A36" s="4">
        <f>'INPUT DAFTAR PESERTA'!A36</f>
        <v>33</v>
      </c>
      <c r="B36" s="4">
        <f>'INPUT DAFTAR PESERTA'!B36</f>
        <v>2509076032</v>
      </c>
      <c r="C36" s="6" t="str">
        <f>'INPUT DAFTAR PESERTA'!C36</f>
        <v>Muhammad Dzaky Nirwasita</v>
      </c>
      <c r="D36" s="4">
        <v>80</v>
      </c>
      <c r="E36" s="4">
        <v>97</v>
      </c>
      <c r="F36" s="4">
        <v>100</v>
      </c>
      <c r="G36" s="4">
        <v>99</v>
      </c>
      <c r="H36" s="4">
        <v>80</v>
      </c>
      <c r="I36" s="4">
        <v>82</v>
      </c>
      <c r="J36" s="4">
        <v>96</v>
      </c>
      <c r="K36" s="4">
        <v>72</v>
      </c>
      <c r="L36" s="14">
        <f t="shared" si="2"/>
        <v>88.25</v>
      </c>
    </row>
    <row r="37" spans="1:12">
      <c r="A37" s="4">
        <f>'INPUT DAFTAR PESERTA'!A37</f>
        <v>34</v>
      </c>
      <c r="B37" s="4">
        <f>'INPUT DAFTAR PESERTA'!B37</f>
        <v>2509076033</v>
      </c>
      <c r="C37" s="6" t="str">
        <f>'INPUT DAFTAR PESERTA'!C37</f>
        <v>Ilham Pratama</v>
      </c>
      <c r="D37" s="4">
        <v>92</v>
      </c>
      <c r="E37" s="4">
        <v>90</v>
      </c>
      <c r="F37" s="4">
        <v>100</v>
      </c>
      <c r="G37" s="4">
        <v>98</v>
      </c>
      <c r="H37" s="4">
        <v>80</v>
      </c>
      <c r="I37" s="4">
        <v>70</v>
      </c>
      <c r="J37" s="4">
        <v>90</v>
      </c>
      <c r="K37" s="4">
        <v>76</v>
      </c>
      <c r="L37" s="14">
        <f t="shared" si="2"/>
        <v>87</v>
      </c>
    </row>
    <row r="38" spans="1:12">
      <c r="A38" s="4">
        <f>'INPUT DAFTAR PESERTA'!A38</f>
        <v>35</v>
      </c>
      <c r="B38" s="4">
        <f>'INPUT DAFTAR PESERTA'!B38</f>
        <v>2509076034</v>
      </c>
      <c r="C38" s="6" t="str">
        <f>'INPUT DAFTAR PESERTA'!C38</f>
        <v>Muhammad Azwa Brilianto</v>
      </c>
      <c r="D38" s="4">
        <v>100</v>
      </c>
      <c r="E38" s="4">
        <v>99</v>
      </c>
      <c r="F38" s="4">
        <v>99</v>
      </c>
      <c r="G38" s="4">
        <v>99</v>
      </c>
      <c r="H38" s="4">
        <v>80</v>
      </c>
      <c r="I38" s="4">
        <v>65</v>
      </c>
      <c r="J38" s="4">
        <v>85</v>
      </c>
      <c r="K38" s="4">
        <v>84</v>
      </c>
      <c r="L38" s="14">
        <f t="shared" si="2"/>
        <v>88.875</v>
      </c>
    </row>
    <row r="39" spans="1:12">
      <c r="A39" s="4">
        <f>'INPUT DAFTAR PESERTA'!A39</f>
        <v>36</v>
      </c>
      <c r="B39" s="4">
        <f>'INPUT DAFTAR PESERTA'!B39</f>
        <v>2509076035</v>
      </c>
      <c r="C39" s="6" t="str">
        <f>'INPUT DAFTAR PESERTA'!C39</f>
        <v>Mario Renhard Simanullang</v>
      </c>
      <c r="D39" s="4">
        <v>100</v>
      </c>
      <c r="E39" s="4">
        <v>85</v>
      </c>
      <c r="F39" s="4">
        <v>90</v>
      </c>
      <c r="G39" s="4">
        <v>95</v>
      </c>
      <c r="H39" s="4">
        <v>80</v>
      </c>
      <c r="I39" s="4">
        <v>69</v>
      </c>
      <c r="J39" s="4">
        <v>87</v>
      </c>
      <c r="K39" s="4">
        <v>82</v>
      </c>
      <c r="L39" s="14">
        <f t="shared" si="2"/>
        <v>86</v>
      </c>
    </row>
    <row r="40" spans="1:12">
      <c r="A40" s="4">
        <f>'INPUT DAFTAR PESERTA'!A40</f>
        <v>37</v>
      </c>
      <c r="B40" s="4">
        <f>'INPUT DAFTAR PESERTA'!B40</f>
        <v>2509076036</v>
      </c>
      <c r="C40" s="6" t="str">
        <f>'INPUT DAFTAR PESERTA'!C40</f>
        <v>Andhika Ananda Gusthy</v>
      </c>
      <c r="D40" s="4">
        <v>100</v>
      </c>
      <c r="E40" s="4">
        <v>100</v>
      </c>
      <c r="F40" s="4">
        <v>99</v>
      </c>
      <c r="G40" s="4">
        <v>99</v>
      </c>
      <c r="H40" s="4">
        <v>80</v>
      </c>
      <c r="I40" s="4">
        <v>90</v>
      </c>
      <c r="J40" s="4">
        <v>95</v>
      </c>
      <c r="K40" s="4">
        <v>92</v>
      </c>
      <c r="L40" s="14">
        <f t="shared" si="2"/>
        <v>94.375</v>
      </c>
    </row>
    <row r="41" spans="1:12">
      <c r="A41" s="4">
        <f>'INPUT DAFTAR PESERTA'!A41</f>
        <v>38</v>
      </c>
      <c r="B41" s="4">
        <f>'INPUT DAFTAR PESERTA'!B41</f>
        <v>2509076037</v>
      </c>
      <c r="C41" s="6" t="str">
        <f>'INPUT DAFTAR PESERTA'!C41</f>
        <v>Zherfaqih Al Barki</v>
      </c>
      <c r="D41" s="4">
        <v>92</v>
      </c>
      <c r="E41" s="4">
        <v>80</v>
      </c>
      <c r="F41" s="4">
        <v>95</v>
      </c>
      <c r="G41" s="4">
        <v>95</v>
      </c>
      <c r="H41" s="4">
        <v>80</v>
      </c>
      <c r="I41" s="4">
        <v>70</v>
      </c>
      <c r="J41" s="4">
        <v>40</v>
      </c>
      <c r="K41" s="4">
        <v>84</v>
      </c>
      <c r="L41" s="14">
        <f t="shared" si="2"/>
        <v>79.5</v>
      </c>
    </row>
    <row r="42" spans="1:12">
      <c r="A42" s="4">
        <f>'INPUT DAFTAR PESERTA'!A42</f>
        <v>39</v>
      </c>
      <c r="B42" s="4">
        <f>'INPUT DAFTAR PESERTA'!B42</f>
        <v>2509076038</v>
      </c>
      <c r="C42" s="6" t="str">
        <f>'INPUT DAFTAR PESERTA'!C42</f>
        <v>Reihan Aidil Adha</v>
      </c>
      <c r="D42" s="4">
        <v>85</v>
      </c>
      <c r="E42" s="4">
        <v>96</v>
      </c>
      <c r="F42" s="4">
        <v>86</v>
      </c>
      <c r="G42" s="4">
        <v>91</v>
      </c>
      <c r="H42" s="4">
        <v>80</v>
      </c>
      <c r="I42" s="4">
        <v>27</v>
      </c>
      <c r="J42" s="4">
        <v>40</v>
      </c>
      <c r="K42" s="4">
        <v>65</v>
      </c>
      <c r="L42" s="14">
        <f t="shared" si="2"/>
        <v>71.25</v>
      </c>
    </row>
    <row r="43" spans="1:12">
      <c r="A43" s="4">
        <f>'INPUT DAFTAR PESERTA'!A43</f>
        <v>40</v>
      </c>
      <c r="B43" s="4">
        <f>'INPUT DAFTAR PESERTA'!B43</f>
        <v>2509076039</v>
      </c>
      <c r="C43" s="6" t="str">
        <f>'INPUT DAFTAR PESERTA'!C43</f>
        <v>Baso Syamsurya</v>
      </c>
      <c r="D43" s="4">
        <v>90</v>
      </c>
      <c r="E43" s="4">
        <v>100</v>
      </c>
      <c r="F43" s="4">
        <v>100</v>
      </c>
      <c r="G43" s="4">
        <v>97</v>
      </c>
      <c r="H43" s="4">
        <v>80</v>
      </c>
      <c r="I43" s="4">
        <v>88</v>
      </c>
      <c r="J43" s="4">
        <v>96</v>
      </c>
      <c r="K43" s="4">
        <v>90</v>
      </c>
      <c r="L43" s="14">
        <f t="shared" si="2"/>
        <v>92.625</v>
      </c>
    </row>
    <row r="44" spans="1:12">
      <c r="A44" s="4">
        <f>'INPUT DAFTAR PESERTA'!A44</f>
        <v>41</v>
      </c>
      <c r="B44" s="4">
        <f>'INPUT DAFTAR PESERTA'!B44</f>
        <v>2509076040</v>
      </c>
      <c r="C44" s="6" t="str">
        <f>'INPUT DAFTAR PESERTA'!C44</f>
        <v>Andriadi Supardi</v>
      </c>
      <c r="D44" s="4">
        <v>100</v>
      </c>
      <c r="E44" s="4">
        <v>100</v>
      </c>
      <c r="F44" s="4">
        <v>100</v>
      </c>
      <c r="G44" s="4">
        <v>99</v>
      </c>
      <c r="H44" s="4">
        <v>80</v>
      </c>
      <c r="I44" s="4">
        <v>94</v>
      </c>
      <c r="J44" s="4">
        <v>95</v>
      </c>
      <c r="K44" s="4">
        <v>93</v>
      </c>
      <c r="L44" s="14">
        <f t="shared" si="2"/>
        <v>95.125</v>
      </c>
    </row>
    <row r="45" spans="1:12">
      <c r="A45" s="4">
        <f>'INPUT DAFTAR PESERTA'!A45</f>
        <v>42</v>
      </c>
      <c r="B45" s="4">
        <f>'INPUT DAFTAR PESERTA'!B45</f>
        <v>2509076041</v>
      </c>
      <c r="C45" s="6" t="str">
        <f>'INPUT DAFTAR PESERTA'!C45</f>
        <v>Achmad Fahri Kurniawan</v>
      </c>
      <c r="D45" s="4">
        <v>53</v>
      </c>
      <c r="E45" s="4">
        <v>89</v>
      </c>
      <c r="F45" s="4">
        <v>90</v>
      </c>
      <c r="G45" s="4">
        <v>91</v>
      </c>
      <c r="H45" s="4">
        <v>90</v>
      </c>
      <c r="I45" s="4">
        <v>84</v>
      </c>
      <c r="J45" s="4">
        <v>85</v>
      </c>
      <c r="K45" s="4">
        <v>77.5</v>
      </c>
      <c r="L45" s="14">
        <f t="shared" si="2"/>
        <v>82.4375</v>
      </c>
    </row>
    <row r="46" spans="1:12">
      <c r="A46" s="4">
        <f>'INPUT DAFTAR PESERTA'!A46</f>
        <v>43</v>
      </c>
      <c r="B46" s="4">
        <f>'INPUT DAFTAR PESERTA'!B46</f>
        <v>2509076042</v>
      </c>
      <c r="C46" s="6" t="str">
        <f>'INPUT DAFTAR PESERTA'!C46</f>
        <v>Saktianata Eja Assami</v>
      </c>
      <c r="D46" s="4">
        <v>62.5</v>
      </c>
      <c r="E46" s="4">
        <v>80</v>
      </c>
      <c r="F46" s="4">
        <v>100</v>
      </c>
      <c r="G46" s="4">
        <v>97</v>
      </c>
      <c r="H46" s="4">
        <v>80</v>
      </c>
      <c r="I46" s="4">
        <v>54</v>
      </c>
      <c r="J46" s="4">
        <v>75</v>
      </c>
      <c r="K46" s="4">
        <v>83</v>
      </c>
      <c r="L46" s="14">
        <f t="shared" si="2"/>
        <v>78.9375</v>
      </c>
    </row>
    <row r="47" spans="1:12">
      <c r="A47" s="4">
        <f>'INPUT DAFTAR PESERTA'!A47</f>
        <v>44</v>
      </c>
      <c r="B47" s="4">
        <f>'INPUT DAFTAR PESERTA'!B47</f>
        <v>2509076043</v>
      </c>
      <c r="C47" s="6" t="str">
        <f>'INPUT DAFTAR PESERTA'!C47</f>
        <v>Zhafanya Maydeline Robert</v>
      </c>
      <c r="D47" s="4">
        <v>74</v>
      </c>
      <c r="E47" s="4">
        <v>92</v>
      </c>
      <c r="F47" s="4">
        <v>100</v>
      </c>
      <c r="G47" s="4">
        <v>95</v>
      </c>
      <c r="H47" s="4">
        <v>80</v>
      </c>
      <c r="I47" s="4">
        <v>87.5</v>
      </c>
      <c r="J47" s="4">
        <v>94</v>
      </c>
      <c r="K47" s="4">
        <v>82</v>
      </c>
      <c r="L47" s="14">
        <f t="shared" si="2"/>
        <v>88.0625</v>
      </c>
    </row>
    <row r="48" spans="1:12">
      <c r="A48" s="4">
        <f>'INPUT DAFTAR PESERTA'!A48</f>
        <v>45</v>
      </c>
      <c r="B48" s="4">
        <f>'INPUT DAFTAR PESERTA'!B48</f>
        <v>2509076044</v>
      </c>
      <c r="C48" s="6" t="str">
        <f>'INPUT DAFTAR PESERTA'!C48</f>
        <v>Dhifan Rangga Purwanto</v>
      </c>
      <c r="D48" s="4">
        <v>67</v>
      </c>
      <c r="E48" s="4">
        <v>90</v>
      </c>
      <c r="F48" s="4">
        <v>90</v>
      </c>
      <c r="G48" s="4">
        <v>94</v>
      </c>
      <c r="H48" s="4">
        <v>90</v>
      </c>
      <c r="I48" s="4">
        <v>85</v>
      </c>
      <c r="J48" s="4">
        <v>92</v>
      </c>
      <c r="K48" s="4">
        <v>87</v>
      </c>
      <c r="L48" s="14">
        <f t="shared" si="2"/>
        <v>86.875</v>
      </c>
    </row>
    <row r="49" spans="1:12">
      <c r="A49" s="4">
        <f>'INPUT DAFTAR PESERTA'!A49</f>
        <v>46</v>
      </c>
      <c r="B49" s="4">
        <f>'INPUT DAFTAR PESERTA'!B49</f>
        <v>2509076046</v>
      </c>
      <c r="C49" s="6" t="str">
        <f>'INPUT DAFTAR PESERTA'!C49</f>
        <v>Mohamad Hafid</v>
      </c>
      <c r="D49" s="4">
        <v>59</v>
      </c>
      <c r="E49" s="4">
        <v>100</v>
      </c>
      <c r="F49" s="4">
        <v>99</v>
      </c>
      <c r="G49" s="4">
        <v>95</v>
      </c>
      <c r="H49" s="4">
        <v>80</v>
      </c>
      <c r="I49" s="4">
        <v>76</v>
      </c>
      <c r="J49" s="4">
        <v>85</v>
      </c>
      <c r="K49" s="4">
        <v>0</v>
      </c>
      <c r="L49" s="14">
        <f t="shared" si="2"/>
        <v>74.25</v>
      </c>
    </row>
    <row r="50" spans="1:12">
      <c r="A50" s="4">
        <f>'INPUT DAFTAR PESERTA'!A50</f>
        <v>47</v>
      </c>
      <c r="B50" s="4">
        <f>'INPUT DAFTAR PESERTA'!B50</f>
        <v>2509076047</v>
      </c>
      <c r="C50" s="6" t="str">
        <f>'INPUT DAFTAR PESERTA'!C50</f>
        <v>Rifky Prasetya</v>
      </c>
      <c r="D50" s="4">
        <v>90</v>
      </c>
      <c r="E50" s="4">
        <v>99</v>
      </c>
      <c r="F50" s="4">
        <v>98</v>
      </c>
      <c r="G50" s="4">
        <v>99</v>
      </c>
      <c r="H50" s="4">
        <v>80</v>
      </c>
      <c r="I50" s="4">
        <v>85</v>
      </c>
      <c r="J50" s="4">
        <v>95</v>
      </c>
      <c r="K50" s="4">
        <v>0</v>
      </c>
      <c r="L50" s="14">
        <f t="shared" si="2"/>
        <v>80.75</v>
      </c>
    </row>
    <row r="51" spans="1:12">
      <c r="A51" s="4">
        <f>'INPUT DAFTAR PESERTA'!A51</f>
        <v>48</v>
      </c>
      <c r="B51" s="4">
        <f>'INPUT DAFTAR PESERTA'!B51</f>
        <v>2509076048</v>
      </c>
      <c r="C51" s="6" t="str">
        <f>'INPUT DAFTAR PESERTA'!C51</f>
        <v>Yusriel Ramadhan</v>
      </c>
      <c r="D51" s="4">
        <v>17</v>
      </c>
      <c r="E51" s="4">
        <v>45</v>
      </c>
      <c r="F51" s="4">
        <v>80</v>
      </c>
      <c r="G51" s="4">
        <v>91</v>
      </c>
      <c r="H51" s="4">
        <v>60</v>
      </c>
      <c r="I51" s="4">
        <v>23</v>
      </c>
      <c r="J51" s="4">
        <v>55</v>
      </c>
      <c r="K51" s="4">
        <v>61</v>
      </c>
      <c r="L51" s="14">
        <f t="shared" si="2"/>
        <v>54</v>
      </c>
    </row>
    <row r="52" spans="1:12">
      <c r="A52" s="4">
        <f>'INPUT DAFTAR PESERTA'!A52</f>
        <v>49</v>
      </c>
      <c r="B52" s="4">
        <f>'INPUT DAFTAR PESERTA'!B52</f>
        <v>2509076049</v>
      </c>
      <c r="C52" s="6" t="str">
        <f>'INPUT DAFTAR PESERTA'!C52</f>
        <v>Jiyad Prasetyo Abimanyu</v>
      </c>
      <c r="D52" s="19">
        <v>17</v>
      </c>
      <c r="E52" s="4">
        <v>98</v>
      </c>
      <c r="F52" s="4">
        <v>80</v>
      </c>
      <c r="G52" s="4">
        <v>94</v>
      </c>
      <c r="H52" s="4">
        <v>70</v>
      </c>
      <c r="I52" s="4">
        <v>68</v>
      </c>
      <c r="J52" s="4">
        <v>20</v>
      </c>
      <c r="K52" s="4">
        <v>86</v>
      </c>
      <c r="L52" s="14">
        <f t="shared" si="2"/>
        <v>66.625</v>
      </c>
    </row>
    <row r="53" spans="1:12">
      <c r="A53" s="4">
        <f>'INPUT DAFTAR PESERTA'!A53</f>
        <v>50</v>
      </c>
      <c r="B53" s="4">
        <f>'INPUT DAFTAR PESERTA'!B53</f>
        <v>2509076050</v>
      </c>
      <c r="C53" s="6" t="str">
        <f>'INPUT DAFTAR PESERTA'!C53</f>
        <v>Muhammad Alfin Al Hakim</v>
      </c>
      <c r="D53" s="19">
        <v>17</v>
      </c>
      <c r="E53" s="4">
        <v>77</v>
      </c>
      <c r="F53" s="4">
        <v>75</v>
      </c>
      <c r="G53" s="4">
        <v>89</v>
      </c>
      <c r="H53" s="4">
        <v>60</v>
      </c>
      <c r="I53" s="4">
        <v>42</v>
      </c>
      <c r="J53" s="4">
        <v>80</v>
      </c>
      <c r="K53" s="4">
        <v>68</v>
      </c>
      <c r="L53" s="14">
        <f t="shared" si="2"/>
        <v>63.5</v>
      </c>
    </row>
    <row r="54" spans="1:12">
      <c r="A54" s="4">
        <f>'INPUT DAFTAR PESERTA'!A54</f>
        <v>51</v>
      </c>
      <c r="B54" s="4">
        <f>'INPUT DAFTAR PESERTA'!B54</f>
        <v>2509076051</v>
      </c>
      <c r="C54" s="6" t="str">
        <f>'INPUT DAFTAR PESERTA'!C54</f>
        <v>Naufal Kurniawan</v>
      </c>
      <c r="D54" s="19">
        <v>17</v>
      </c>
      <c r="E54" s="4">
        <v>79</v>
      </c>
      <c r="F54" s="4">
        <v>88</v>
      </c>
      <c r="G54" s="4">
        <v>94</v>
      </c>
      <c r="H54" s="4">
        <v>70</v>
      </c>
      <c r="I54" s="4">
        <v>53.5</v>
      </c>
      <c r="J54" s="4">
        <v>70</v>
      </c>
      <c r="K54" s="4">
        <v>75.5</v>
      </c>
      <c r="L54" s="14">
        <f t="shared" si="2"/>
        <v>68.375</v>
      </c>
    </row>
    <row r="55" spans="1:12">
      <c r="A55" s="4">
        <f>'INPUT DAFTAR PESERTA'!A55</f>
        <v>52</v>
      </c>
      <c r="B55" s="4">
        <f>'INPUT DAFTAR PESERTA'!B55</f>
        <v>2509076052</v>
      </c>
      <c r="C55" s="6" t="str">
        <f>'INPUT DAFTAR PESERTA'!C55</f>
        <v>Rifky Maulana Ilham</v>
      </c>
      <c r="D55" s="4">
        <v>85</v>
      </c>
      <c r="E55" s="4">
        <v>90</v>
      </c>
      <c r="F55" s="4">
        <v>96</v>
      </c>
      <c r="G55" s="4">
        <v>98</v>
      </c>
      <c r="H55" s="4">
        <v>80</v>
      </c>
      <c r="I55" s="4">
        <v>71.900000000000006</v>
      </c>
      <c r="J55" s="4">
        <v>85</v>
      </c>
      <c r="K55" s="4">
        <v>86</v>
      </c>
      <c r="L55" s="14">
        <f t="shared" si="2"/>
        <v>86.487499999999997</v>
      </c>
    </row>
    <row r="56" spans="1:12">
      <c r="A56" s="4">
        <f>'INPUT DAFTAR PESERTA'!A56</f>
        <v>53</v>
      </c>
      <c r="B56" s="4">
        <f>'INPUT DAFTAR PESERTA'!B56</f>
        <v>2509076053</v>
      </c>
      <c r="C56" s="6" t="str">
        <f>'INPUT DAFTAR PESERTA'!C56</f>
        <v>Aditia Prayoga</v>
      </c>
      <c r="D56" s="20">
        <v>17</v>
      </c>
      <c r="E56" s="4">
        <v>71</v>
      </c>
      <c r="F56" s="4">
        <v>85</v>
      </c>
      <c r="G56" s="4">
        <v>89</v>
      </c>
      <c r="H56" s="4">
        <v>80</v>
      </c>
      <c r="I56" s="4">
        <v>50</v>
      </c>
      <c r="J56" s="4">
        <v>65</v>
      </c>
      <c r="K56" s="4">
        <v>57</v>
      </c>
      <c r="L56" s="14">
        <f t="shared" si="2"/>
        <v>64.25</v>
      </c>
    </row>
    <row r="57" spans="1:12">
      <c r="A57" s="4">
        <f>'INPUT DAFTAR PESERTA'!A57</f>
        <v>54</v>
      </c>
      <c r="B57" s="4">
        <f>'INPUT DAFTAR PESERTA'!B57</f>
        <v>2509076054</v>
      </c>
      <c r="C57" s="6" t="str">
        <f>'INPUT DAFTAR PESERTA'!C57</f>
        <v>Muhammad Andi Faris De'mozart</v>
      </c>
      <c r="D57" s="20">
        <v>17</v>
      </c>
      <c r="E57" s="4">
        <v>72</v>
      </c>
      <c r="F57" s="4">
        <v>85</v>
      </c>
      <c r="G57" s="4">
        <v>97</v>
      </c>
      <c r="H57" s="4">
        <v>80</v>
      </c>
      <c r="I57" s="4">
        <v>43</v>
      </c>
      <c r="J57" s="4">
        <v>50</v>
      </c>
      <c r="K57" s="4">
        <v>90</v>
      </c>
      <c r="L57" s="14">
        <f t="shared" si="2"/>
        <v>66.75</v>
      </c>
    </row>
    <row r="58" spans="1:12">
      <c r="A58" s="21">
        <f>'INPUT DAFTAR PESERTA'!A58</f>
        <v>55</v>
      </c>
      <c r="B58" s="21">
        <f>'INPUT DAFTAR PESERTA'!B58</f>
        <v>2509076055</v>
      </c>
      <c r="C58" s="22" t="str">
        <f>'INPUT DAFTAR PESERTA'!C58</f>
        <v>Faiq Ramadhan Firdaus</v>
      </c>
      <c r="D58" s="23">
        <v>0</v>
      </c>
      <c r="E58" s="21"/>
      <c r="F58" s="21"/>
      <c r="G58" s="21"/>
      <c r="H58" s="21"/>
      <c r="I58" s="21"/>
      <c r="J58" s="21">
        <v>0</v>
      </c>
      <c r="K58" s="21"/>
      <c r="L58" s="24">
        <f t="shared" si="2"/>
        <v>0</v>
      </c>
    </row>
    <row r="59" spans="1:12">
      <c r="A59" s="4">
        <f>'INPUT DAFTAR PESERTA'!A59</f>
        <v>56</v>
      </c>
      <c r="B59" s="4">
        <f>'INPUT DAFTAR PESERTA'!B59</f>
        <v>2509076056</v>
      </c>
      <c r="C59" s="6" t="str">
        <f>'INPUT DAFTAR PESERTA'!C59</f>
        <v>Fachry Nazrul Ramadhan</v>
      </c>
      <c r="D59" s="4">
        <v>96</v>
      </c>
      <c r="E59" s="4">
        <v>99</v>
      </c>
      <c r="F59" s="4">
        <v>90</v>
      </c>
      <c r="G59" s="4">
        <v>97</v>
      </c>
      <c r="H59" s="4">
        <v>80</v>
      </c>
      <c r="I59" s="4">
        <v>92</v>
      </c>
      <c r="J59" s="4">
        <v>70</v>
      </c>
      <c r="K59" s="4">
        <v>77</v>
      </c>
      <c r="L59" s="14">
        <f t="shared" si="2"/>
        <v>87.625</v>
      </c>
    </row>
    <row r="60" spans="1:12">
      <c r="A60" s="4">
        <f>'INPUT DAFTAR PESERTA'!A60</f>
        <v>57</v>
      </c>
      <c r="B60" s="4">
        <f>'INPUT DAFTAR PESERTA'!B60</f>
        <v>2509076057</v>
      </c>
      <c r="C60" s="6" t="str">
        <f>'INPUT DAFTAR PESERTA'!C60</f>
        <v>Bagas Sudidi</v>
      </c>
      <c r="D60" s="4">
        <v>17</v>
      </c>
      <c r="E60" s="4">
        <v>65</v>
      </c>
      <c r="F60" s="4">
        <v>40</v>
      </c>
      <c r="G60" s="4">
        <v>75</v>
      </c>
      <c r="H60" s="4">
        <v>80</v>
      </c>
      <c r="I60" s="4">
        <v>77</v>
      </c>
      <c r="J60" s="4">
        <v>75</v>
      </c>
      <c r="K60" s="4">
        <v>34</v>
      </c>
      <c r="L60" s="14">
        <f t="shared" si="2"/>
        <v>57.875</v>
      </c>
    </row>
    <row r="61" spans="1:12">
      <c r="A61" s="21">
        <f>'INPUT DAFTAR PESERTA'!A61</f>
        <v>58</v>
      </c>
      <c r="B61" s="21">
        <f>'INPUT DAFTAR PESERTA'!B61</f>
        <v>2509106133</v>
      </c>
      <c r="C61" s="22" t="str">
        <f>'INPUT DAFTAR PESERTA'!C61</f>
        <v>Ridho Putra Darma</v>
      </c>
      <c r="D61" s="21">
        <v>0</v>
      </c>
      <c r="E61" s="21"/>
      <c r="F61" s="21"/>
      <c r="G61" s="21"/>
      <c r="H61" s="21"/>
      <c r="I61" s="21"/>
      <c r="J61" s="21">
        <v>0</v>
      </c>
      <c r="K61" s="21"/>
      <c r="L61" s="24">
        <f t="shared" si="2"/>
        <v>0</v>
      </c>
    </row>
    <row r="62" spans="1:12">
      <c r="A62" s="21">
        <f>'INPUT DAFTAR PESERTA'!A62</f>
        <v>59</v>
      </c>
      <c r="B62" s="21">
        <f>'INPUT DAFTAR PESERTA'!B62</f>
        <v>2509106134</v>
      </c>
      <c r="C62" s="22" t="str">
        <f>'INPUT DAFTAR PESERTA'!C62</f>
        <v>Syarif Hidayat</v>
      </c>
      <c r="D62" s="21">
        <v>0</v>
      </c>
      <c r="E62" s="21"/>
      <c r="F62" s="21"/>
      <c r="G62" s="21"/>
      <c r="H62" s="21"/>
      <c r="I62" s="21"/>
      <c r="J62" s="21">
        <v>0</v>
      </c>
      <c r="K62" s="21"/>
      <c r="L62" s="24">
        <f t="shared" si="2"/>
        <v>0</v>
      </c>
    </row>
    <row r="63" spans="1:12">
      <c r="A63" s="21">
        <f>'INPUT DAFTAR PESERTA'!A63</f>
        <v>60</v>
      </c>
      <c r="B63" s="21">
        <f>'INPUT DAFTAR PESERTA'!B63</f>
        <v>2509106135</v>
      </c>
      <c r="C63" s="22" t="str">
        <f>'INPUT DAFTAR PESERTA'!C63</f>
        <v>Muhammad Dzaky Syachraini</v>
      </c>
      <c r="D63" s="21">
        <v>0</v>
      </c>
      <c r="E63" s="21"/>
      <c r="F63" s="21"/>
      <c r="G63" s="21"/>
      <c r="H63" s="21"/>
      <c r="I63" s="21"/>
      <c r="J63" s="21">
        <v>0</v>
      </c>
      <c r="K63" s="21"/>
      <c r="L63" s="24">
        <f t="shared" si="2"/>
        <v>0</v>
      </c>
    </row>
    <row r="64" spans="1:12">
      <c r="A64" s="51" t="s">
        <v>93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25">
        <f>COUNTIF(L4:L63, 0)</f>
        <v>4</v>
      </c>
    </row>
    <row r="79" spans="1:11">
      <c r="A79" s="11">
        <f>'INPUT DAFTAR PESERTA'!A79</f>
        <v>0</v>
      </c>
      <c r="B79" s="11">
        <f>'INPUT DAFTAR PESERTA'!B79</f>
        <v>0</v>
      </c>
      <c r="C79" s="8">
        <f>'INPUT DAFTAR PESERTA'!C79</f>
        <v>0</v>
      </c>
      <c r="D79" s="3"/>
      <c r="E79" s="3"/>
      <c r="F79" s="3"/>
      <c r="G79" s="3"/>
      <c r="H79" s="3"/>
      <c r="I79" s="3"/>
      <c r="J79" s="3"/>
      <c r="K79" s="3"/>
    </row>
    <row r="80" spans="1:11">
      <c r="A80" s="11">
        <f>'INPUT DAFTAR PESERTA'!A80</f>
        <v>0</v>
      </c>
      <c r="B80" s="11">
        <f>'INPUT DAFTAR PESERTA'!B80</f>
        <v>0</v>
      </c>
      <c r="C80" s="8">
        <f>'INPUT DAFTAR PESERTA'!C80</f>
        <v>0</v>
      </c>
      <c r="D80" s="3"/>
      <c r="E80" s="3"/>
      <c r="F80" s="3"/>
      <c r="G80" s="3"/>
      <c r="H80" s="3"/>
      <c r="I80" s="3"/>
      <c r="J80" s="3"/>
      <c r="K80" s="3"/>
    </row>
    <row r="81" spans="1:11">
      <c r="A81" s="11">
        <f>'INPUT DAFTAR PESERTA'!A81</f>
        <v>0</v>
      </c>
      <c r="B81" s="11">
        <f>'INPUT DAFTAR PESERTA'!B81</f>
        <v>0</v>
      </c>
      <c r="C81" s="8">
        <f>'INPUT DAFTAR PESERTA'!C81</f>
        <v>0</v>
      </c>
      <c r="D81" s="3"/>
      <c r="E81" s="3"/>
      <c r="F81" s="3"/>
      <c r="G81" s="3"/>
      <c r="H81" s="3"/>
      <c r="I81" s="3"/>
      <c r="J81" s="3"/>
      <c r="K81" s="3"/>
    </row>
    <row r="82" spans="1:11">
      <c r="A82" s="11">
        <f>'INPUT DAFTAR PESERTA'!A82</f>
        <v>0</v>
      </c>
      <c r="B82" s="11">
        <f>'INPUT DAFTAR PESERTA'!B82</f>
        <v>0</v>
      </c>
      <c r="C82" s="8">
        <f>'INPUT DAFTAR PESERTA'!C82</f>
        <v>0</v>
      </c>
      <c r="D82" s="3"/>
      <c r="E82" s="3"/>
      <c r="F82" s="3"/>
      <c r="G82" s="3"/>
      <c r="H82" s="3"/>
      <c r="I82" s="3"/>
      <c r="J82" s="3"/>
      <c r="K82" s="3"/>
    </row>
    <row r="83" spans="1:11">
      <c r="A83" s="11">
        <f>'INPUT DAFTAR PESERTA'!A83</f>
        <v>0</v>
      </c>
      <c r="B83" s="11">
        <f>'INPUT DAFTAR PESERTA'!B83</f>
        <v>0</v>
      </c>
      <c r="C83" s="8">
        <f>'INPUT DAFTAR PESERTA'!C83</f>
        <v>0</v>
      </c>
      <c r="D83" s="3"/>
      <c r="E83" s="3"/>
      <c r="F83" s="3"/>
      <c r="G83" s="3"/>
      <c r="H83" s="3"/>
      <c r="I83" s="3"/>
      <c r="J83" s="3"/>
      <c r="K83" s="3"/>
    </row>
    <row r="84" spans="1:11">
      <c r="A84" s="11">
        <f>'INPUT DAFTAR PESERTA'!A84</f>
        <v>0</v>
      </c>
      <c r="B84" s="11">
        <f>'INPUT DAFTAR PESERTA'!B84</f>
        <v>0</v>
      </c>
      <c r="C84" s="8">
        <f>'INPUT DAFTAR PESERTA'!C84</f>
        <v>0</v>
      </c>
      <c r="D84" s="3"/>
      <c r="E84" s="3"/>
      <c r="F84" s="3"/>
      <c r="G84" s="3"/>
      <c r="H84" s="3"/>
      <c r="I84" s="3"/>
      <c r="J84" s="3"/>
      <c r="K84" s="3"/>
    </row>
    <row r="85" spans="1:11">
      <c r="A85" s="11">
        <f>'INPUT DAFTAR PESERTA'!A85</f>
        <v>0</v>
      </c>
      <c r="B85" s="11">
        <f>'INPUT DAFTAR PESERTA'!B85</f>
        <v>0</v>
      </c>
      <c r="C85" s="8">
        <f>'INPUT DAFTAR PESERTA'!C85</f>
        <v>0</v>
      </c>
      <c r="D85" s="3"/>
      <c r="E85" s="3"/>
      <c r="F85" s="3"/>
      <c r="G85" s="3"/>
      <c r="H85" s="3"/>
      <c r="I85" s="3"/>
      <c r="J85" s="3"/>
      <c r="K85" s="3"/>
    </row>
    <row r="86" spans="1:11">
      <c r="A86" s="11">
        <f>'INPUT DAFTAR PESERTA'!A86</f>
        <v>0</v>
      </c>
      <c r="B86" s="11">
        <f>'INPUT DAFTAR PESERTA'!B86</f>
        <v>0</v>
      </c>
      <c r="C86" s="8">
        <f>'INPUT DAFTAR PESERTA'!C86</f>
        <v>0</v>
      </c>
      <c r="D86" s="3"/>
      <c r="E86" s="3"/>
      <c r="F86" s="3"/>
      <c r="G86" s="3"/>
      <c r="H86" s="3"/>
      <c r="I86" s="3"/>
      <c r="J86" s="3"/>
      <c r="K86" s="3"/>
    </row>
    <row r="87" spans="1:11">
      <c r="A87" s="11">
        <f>'INPUT DAFTAR PESERTA'!A87</f>
        <v>0</v>
      </c>
      <c r="B87" s="11">
        <f>'INPUT DAFTAR PESERTA'!B87</f>
        <v>0</v>
      </c>
      <c r="C87" s="8">
        <f>'INPUT DAFTAR PESERTA'!C87</f>
        <v>0</v>
      </c>
      <c r="D87" s="3"/>
      <c r="E87" s="3"/>
      <c r="F87" s="3"/>
      <c r="G87" s="3"/>
      <c r="H87" s="3"/>
      <c r="I87" s="3"/>
      <c r="J87" s="3"/>
      <c r="K87" s="3"/>
    </row>
    <row r="88" spans="1:11">
      <c r="A88" s="11">
        <f>'INPUT DAFTAR PESERTA'!A88</f>
        <v>0</v>
      </c>
      <c r="B88" s="11">
        <f>'INPUT DAFTAR PESERTA'!B88</f>
        <v>0</v>
      </c>
      <c r="C88" s="8">
        <f>'INPUT DAFTAR PESERTA'!C88</f>
        <v>0</v>
      </c>
      <c r="D88" s="3"/>
      <c r="E88" s="3"/>
      <c r="F88" s="3"/>
      <c r="G88" s="3"/>
      <c r="H88" s="3"/>
      <c r="I88" s="3"/>
      <c r="J88" s="3"/>
      <c r="K88" s="3"/>
    </row>
    <row r="89" spans="1:11">
      <c r="A89" s="11">
        <f>'INPUT DAFTAR PESERTA'!A89</f>
        <v>0</v>
      </c>
      <c r="B89" s="11">
        <f>'INPUT DAFTAR PESERTA'!B89</f>
        <v>0</v>
      </c>
      <c r="C89" s="8">
        <f>'INPUT DAFTAR PESERTA'!C89</f>
        <v>0</v>
      </c>
      <c r="D89" s="3"/>
      <c r="E89" s="3"/>
      <c r="F89" s="3"/>
      <c r="G89" s="3"/>
      <c r="H89" s="3"/>
      <c r="I89" s="3"/>
      <c r="J89" s="3"/>
      <c r="K89" s="3"/>
    </row>
    <row r="90" spans="1:11">
      <c r="A90" s="11">
        <f>'INPUT DAFTAR PESERTA'!A90</f>
        <v>0</v>
      </c>
      <c r="B90" s="11">
        <f>'INPUT DAFTAR PESERTA'!B90</f>
        <v>0</v>
      </c>
      <c r="C90" s="8">
        <f>'INPUT DAFTAR PESERTA'!C90</f>
        <v>0</v>
      </c>
      <c r="D90" s="3"/>
      <c r="E90" s="3"/>
      <c r="F90" s="3"/>
      <c r="G90" s="3"/>
      <c r="H90" s="3"/>
      <c r="I90" s="3"/>
      <c r="J90" s="3"/>
      <c r="K90" s="3"/>
    </row>
    <row r="91" spans="1:11">
      <c r="A91" s="11">
        <f>'INPUT DAFTAR PESERTA'!A91</f>
        <v>0</v>
      </c>
      <c r="B91" s="11">
        <f>'INPUT DAFTAR PESERTA'!B91</f>
        <v>0</v>
      </c>
      <c r="C91" s="8">
        <f>'INPUT DAFTAR PESERTA'!C91</f>
        <v>0</v>
      </c>
      <c r="D91" s="3"/>
      <c r="E91" s="3"/>
      <c r="F91" s="3"/>
      <c r="G91" s="3"/>
      <c r="H91" s="3"/>
      <c r="I91" s="3"/>
      <c r="J91" s="3"/>
      <c r="K91" s="3"/>
    </row>
    <row r="92" spans="1:11">
      <c r="A92" s="11">
        <f>'INPUT DAFTAR PESERTA'!A92</f>
        <v>0</v>
      </c>
      <c r="B92" s="11">
        <f>'INPUT DAFTAR PESERTA'!B92</f>
        <v>0</v>
      </c>
      <c r="C92" s="8">
        <f>'INPUT DAFTAR PESERTA'!C92</f>
        <v>0</v>
      </c>
      <c r="D92" s="3"/>
      <c r="E92" s="3"/>
      <c r="F92" s="3"/>
      <c r="G92" s="3"/>
      <c r="H92" s="3"/>
      <c r="I92" s="3"/>
      <c r="J92" s="3"/>
      <c r="K92" s="3"/>
    </row>
    <row r="93" spans="1:11">
      <c r="A93" s="11">
        <f>'INPUT DAFTAR PESERTA'!A93</f>
        <v>0</v>
      </c>
      <c r="B93" s="11">
        <f>'INPUT DAFTAR PESERTA'!B93</f>
        <v>0</v>
      </c>
      <c r="C93" s="8">
        <f>'INPUT DAFTAR PESERTA'!C93</f>
        <v>0</v>
      </c>
      <c r="D93" s="3"/>
      <c r="E93" s="3"/>
      <c r="F93" s="3"/>
      <c r="G93" s="3"/>
      <c r="H93" s="3"/>
      <c r="I93" s="3"/>
      <c r="J93" s="3"/>
      <c r="K93" s="3"/>
    </row>
    <row r="94" spans="1:11">
      <c r="A94" s="11">
        <f>'INPUT DAFTAR PESERTA'!A94</f>
        <v>0</v>
      </c>
      <c r="B94" s="11">
        <f>'INPUT DAFTAR PESERTA'!B94</f>
        <v>0</v>
      </c>
      <c r="C94" s="8">
        <f>'INPUT DAFTAR PESERTA'!C94</f>
        <v>0</v>
      </c>
      <c r="D94" s="3"/>
      <c r="E94" s="3"/>
      <c r="F94" s="3"/>
      <c r="G94" s="3"/>
      <c r="H94" s="3"/>
      <c r="I94" s="3"/>
      <c r="J94" s="3"/>
      <c r="K94" s="3"/>
    </row>
    <row r="95" spans="1:11">
      <c r="A95" s="11">
        <f>'INPUT DAFTAR PESERTA'!A95</f>
        <v>0</v>
      </c>
      <c r="B95" s="11">
        <f>'INPUT DAFTAR PESERTA'!B95</f>
        <v>0</v>
      </c>
      <c r="C95" s="8">
        <f>'INPUT DAFTAR PESERTA'!C95</f>
        <v>0</v>
      </c>
      <c r="D95" s="3"/>
      <c r="E95" s="3"/>
      <c r="F95" s="3"/>
      <c r="G95" s="3"/>
      <c r="H95" s="3"/>
      <c r="I95" s="3"/>
      <c r="J95" s="3"/>
      <c r="K95" s="3"/>
    </row>
    <row r="96" spans="1:11">
      <c r="A96" s="11">
        <f>'INPUT DAFTAR PESERTA'!A96</f>
        <v>0</v>
      </c>
      <c r="B96" s="11">
        <f>'INPUT DAFTAR PESERTA'!B96</f>
        <v>0</v>
      </c>
      <c r="C96" s="8">
        <f>'INPUT DAFTAR PESERTA'!C96</f>
        <v>0</v>
      </c>
      <c r="D96" s="3"/>
      <c r="E96" s="3"/>
      <c r="F96" s="3"/>
      <c r="G96" s="3"/>
      <c r="H96" s="3"/>
      <c r="I96" s="3"/>
      <c r="J96" s="3"/>
      <c r="K96" s="3"/>
    </row>
    <row r="97" spans="1:11">
      <c r="A97" s="11">
        <f>'INPUT DAFTAR PESERTA'!A97</f>
        <v>0</v>
      </c>
      <c r="B97" s="11">
        <f>'INPUT DAFTAR PESERTA'!B97</f>
        <v>0</v>
      </c>
      <c r="C97" s="8">
        <f>'INPUT DAFTAR PESERTA'!C97</f>
        <v>0</v>
      </c>
      <c r="D97" s="3"/>
      <c r="E97" s="3"/>
      <c r="F97" s="3"/>
      <c r="G97" s="3"/>
      <c r="H97" s="3"/>
      <c r="I97" s="3"/>
      <c r="J97" s="3"/>
      <c r="K97" s="3"/>
    </row>
  </sheetData>
  <mergeCells count="6">
    <mergeCell ref="A64:K64"/>
    <mergeCell ref="A2:A3"/>
    <mergeCell ref="B2:B3"/>
    <mergeCell ref="C2:C3"/>
    <mergeCell ref="D2:K2"/>
    <mergeCell ref="L2:L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N98"/>
  <sheetViews>
    <sheetView workbookViewId="0"/>
  </sheetViews>
  <sheetFormatPr defaultColWidth="12.6640625" defaultRowHeight="15.75" customHeight="1"/>
  <cols>
    <col min="1" max="1" width="5.33203125" customWidth="1"/>
    <col min="3" max="3" width="31.6640625" customWidth="1"/>
    <col min="4" max="11" width="9.44140625" customWidth="1"/>
  </cols>
  <sheetData>
    <row r="1" spans="1:14">
      <c r="A1" s="1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>
      <c r="A3" s="46" t="s">
        <v>1</v>
      </c>
      <c r="B3" s="46" t="s">
        <v>2</v>
      </c>
      <c r="C3" s="46" t="s">
        <v>3</v>
      </c>
      <c r="D3" s="48" t="s">
        <v>94</v>
      </c>
      <c r="E3" s="49"/>
      <c r="F3" s="49"/>
      <c r="G3" s="49"/>
      <c r="H3" s="49"/>
      <c r="I3" s="49"/>
      <c r="J3" s="49"/>
      <c r="K3" s="50"/>
      <c r="L3" s="2" t="s">
        <v>84</v>
      </c>
      <c r="M3" s="2" t="s">
        <v>95</v>
      </c>
      <c r="N3" s="46" t="s">
        <v>48</v>
      </c>
    </row>
    <row r="4" spans="1:14">
      <c r="A4" s="47"/>
      <c r="B4" s="47"/>
      <c r="C4" s="47"/>
      <c r="D4" s="2" t="s">
        <v>85</v>
      </c>
      <c r="E4" s="2" t="s">
        <v>86</v>
      </c>
      <c r="F4" s="2" t="s">
        <v>87</v>
      </c>
      <c r="G4" s="2" t="s">
        <v>88</v>
      </c>
      <c r="H4" s="2" t="s">
        <v>89</v>
      </c>
      <c r="I4" s="2" t="s">
        <v>90</v>
      </c>
      <c r="J4" s="2" t="s">
        <v>91</v>
      </c>
      <c r="K4" s="2" t="s">
        <v>92</v>
      </c>
      <c r="L4" s="26">
        <v>0.5</v>
      </c>
      <c r="M4" s="26">
        <v>0.5</v>
      </c>
      <c r="N4" s="47"/>
    </row>
    <row r="5" spans="1:14">
      <c r="A5" s="4">
        <f>'INPUT DAFTAR PESERTA'!A4</f>
        <v>1</v>
      </c>
      <c r="B5" s="4">
        <f>'INPUT DAFTAR PESERTA'!B4</f>
        <v>2209076028</v>
      </c>
      <c r="C5" s="6" t="str">
        <f>'INPUT DAFTAR PESERTA'!C4</f>
        <v>Mirza Syihabudin Almas</v>
      </c>
      <c r="D5" s="4">
        <v>30</v>
      </c>
      <c r="E5" s="4">
        <v>65</v>
      </c>
      <c r="F5" s="4">
        <v>30</v>
      </c>
      <c r="G5" s="4">
        <v>70</v>
      </c>
      <c r="H5" s="4">
        <v>60</v>
      </c>
      <c r="I5" s="4">
        <v>30</v>
      </c>
      <c r="J5" s="4">
        <v>65</v>
      </c>
      <c r="K5" s="4">
        <v>25</v>
      </c>
      <c r="L5" s="14">
        <f t="shared" ref="L5:L64" si="0">(D5+E5+F5+G5+H5+I5+J5+K5)/8</f>
        <v>46.875</v>
      </c>
      <c r="M5" s="14">
        <f>'LAPORAN RESMI'!L4</f>
        <v>50</v>
      </c>
      <c r="N5" s="14">
        <f t="shared" ref="N5:N64" si="1">(L5*$L$4)+(M5*$M$4)</f>
        <v>48.4375</v>
      </c>
    </row>
    <row r="6" spans="1:14">
      <c r="A6" s="4">
        <f>'INPUT DAFTAR PESERTA'!A5</f>
        <v>2</v>
      </c>
      <c r="B6" s="4">
        <f>'INPUT DAFTAR PESERTA'!B5</f>
        <v>2509076001</v>
      </c>
      <c r="C6" s="6" t="str">
        <f>'INPUT DAFTAR PESERTA'!C5</f>
        <v>Mohammad Ali Murtadlo</v>
      </c>
      <c r="D6" s="4">
        <v>49</v>
      </c>
      <c r="E6" s="4">
        <v>52</v>
      </c>
      <c r="F6" s="4">
        <v>27</v>
      </c>
      <c r="G6" s="4">
        <v>62</v>
      </c>
      <c r="H6" s="4">
        <v>80</v>
      </c>
      <c r="I6" s="4">
        <v>18.8</v>
      </c>
      <c r="J6" s="4">
        <v>72</v>
      </c>
      <c r="K6" s="4">
        <v>61</v>
      </c>
      <c r="L6" s="14">
        <f t="shared" si="0"/>
        <v>52.725000000000001</v>
      </c>
      <c r="M6" s="14">
        <f>'LAPORAN RESMI'!L5</f>
        <v>82.125</v>
      </c>
      <c r="N6" s="14">
        <f t="shared" si="1"/>
        <v>67.424999999999997</v>
      </c>
    </row>
    <row r="7" spans="1:14">
      <c r="A7" s="4">
        <f>'INPUT DAFTAR PESERTA'!A6</f>
        <v>3</v>
      </c>
      <c r="B7" s="4">
        <f>'INPUT DAFTAR PESERTA'!B6</f>
        <v>2509076002</v>
      </c>
      <c r="C7" s="6" t="str">
        <f>'INPUT DAFTAR PESERTA'!C6</f>
        <v>Muhammad Zahid Sabil</v>
      </c>
      <c r="D7" s="4">
        <v>68</v>
      </c>
      <c r="E7" s="4">
        <v>69</v>
      </c>
      <c r="F7" s="4">
        <v>60</v>
      </c>
      <c r="G7" s="4">
        <v>85</v>
      </c>
      <c r="H7" s="4">
        <v>92</v>
      </c>
      <c r="I7" s="4">
        <v>28</v>
      </c>
      <c r="J7" s="4">
        <v>88</v>
      </c>
      <c r="K7" s="4">
        <v>61.5</v>
      </c>
      <c r="L7" s="14">
        <f t="shared" si="0"/>
        <v>68.9375</v>
      </c>
      <c r="M7" s="14">
        <f>'LAPORAN RESMI'!L6</f>
        <v>84.5</v>
      </c>
      <c r="N7" s="14">
        <f t="shared" si="1"/>
        <v>76.71875</v>
      </c>
    </row>
    <row r="8" spans="1:14">
      <c r="A8" s="4">
        <f>'INPUT DAFTAR PESERTA'!A7</f>
        <v>4</v>
      </c>
      <c r="B8" s="4">
        <f>'INPUT DAFTAR PESERTA'!B7</f>
        <v>2509076003</v>
      </c>
      <c r="C8" s="6" t="str">
        <f>'INPUT DAFTAR PESERTA'!C7</f>
        <v>Javier Abid Danapati</v>
      </c>
      <c r="D8" s="4">
        <v>77</v>
      </c>
      <c r="E8" s="4">
        <v>59</v>
      </c>
      <c r="F8" s="4">
        <v>32</v>
      </c>
      <c r="G8" s="4">
        <v>75</v>
      </c>
      <c r="H8" s="4">
        <v>92</v>
      </c>
      <c r="I8" s="4">
        <v>50</v>
      </c>
      <c r="J8" s="4">
        <v>0</v>
      </c>
      <c r="K8" s="4">
        <v>55</v>
      </c>
      <c r="L8" s="14">
        <f t="shared" si="0"/>
        <v>55</v>
      </c>
      <c r="M8" s="14">
        <f>'LAPORAN RESMI'!L7</f>
        <v>82.375</v>
      </c>
      <c r="N8" s="14">
        <f t="shared" si="1"/>
        <v>68.6875</v>
      </c>
    </row>
    <row r="9" spans="1:14">
      <c r="A9" s="4">
        <f>'INPUT DAFTAR PESERTA'!A8</f>
        <v>5</v>
      </c>
      <c r="B9" s="4">
        <f>'INPUT DAFTAR PESERTA'!B8</f>
        <v>2509076004</v>
      </c>
      <c r="C9" s="6" t="str">
        <f>'INPUT DAFTAR PESERTA'!C8</f>
        <v>Cristian Mouses</v>
      </c>
      <c r="D9" s="4">
        <v>87</v>
      </c>
      <c r="E9" s="4">
        <v>61</v>
      </c>
      <c r="F9" s="4">
        <v>39</v>
      </c>
      <c r="G9" s="4">
        <v>81</v>
      </c>
      <c r="H9" s="4">
        <v>100</v>
      </c>
      <c r="I9" s="4">
        <v>50</v>
      </c>
      <c r="J9" s="4">
        <v>70</v>
      </c>
      <c r="K9" s="4">
        <v>67</v>
      </c>
      <c r="L9" s="14">
        <f t="shared" si="0"/>
        <v>69.375</v>
      </c>
      <c r="M9" s="14">
        <f>'LAPORAN RESMI'!L8</f>
        <v>86.25</v>
      </c>
      <c r="N9" s="14">
        <f t="shared" si="1"/>
        <v>77.8125</v>
      </c>
    </row>
    <row r="10" spans="1:14">
      <c r="A10" s="4">
        <f>'INPUT DAFTAR PESERTA'!A9</f>
        <v>6</v>
      </c>
      <c r="B10" s="4">
        <f>'INPUT DAFTAR PESERTA'!B9</f>
        <v>2509076005</v>
      </c>
      <c r="C10" s="6" t="str">
        <f>'INPUT DAFTAR PESERTA'!C9</f>
        <v>Guarimus Rinaldi Ngera</v>
      </c>
      <c r="D10" s="4">
        <v>82</v>
      </c>
      <c r="E10" s="4">
        <v>71</v>
      </c>
      <c r="F10" s="4">
        <v>64</v>
      </c>
      <c r="G10" s="4">
        <v>71</v>
      </c>
      <c r="H10" s="4">
        <v>90</v>
      </c>
      <c r="I10" s="4">
        <v>60</v>
      </c>
      <c r="J10" s="4">
        <v>77</v>
      </c>
      <c r="K10" s="4">
        <v>55.5</v>
      </c>
      <c r="L10" s="14">
        <f t="shared" si="0"/>
        <v>71.3125</v>
      </c>
      <c r="M10" s="14">
        <f>'LAPORAN RESMI'!L9</f>
        <v>88.25</v>
      </c>
      <c r="N10" s="14">
        <f t="shared" si="1"/>
        <v>79.78125</v>
      </c>
    </row>
    <row r="11" spans="1:14">
      <c r="A11" s="4">
        <f>'INPUT DAFTAR PESERTA'!A10</f>
        <v>7</v>
      </c>
      <c r="B11" s="4">
        <f>'INPUT DAFTAR PESERTA'!B10</f>
        <v>2509076006</v>
      </c>
      <c r="C11" s="6" t="str">
        <f>'INPUT DAFTAR PESERTA'!C10</f>
        <v>Rafly Khoirul Rizky</v>
      </c>
      <c r="D11" s="4">
        <v>57</v>
      </c>
      <c r="E11" s="4">
        <v>54</v>
      </c>
      <c r="F11" s="4">
        <v>56</v>
      </c>
      <c r="G11" s="4">
        <v>33</v>
      </c>
      <c r="H11" s="4">
        <v>87</v>
      </c>
      <c r="I11" s="4">
        <v>23.8</v>
      </c>
      <c r="J11" s="4">
        <v>0</v>
      </c>
      <c r="K11" s="4">
        <v>0</v>
      </c>
      <c r="L11" s="14">
        <f t="shared" si="0"/>
        <v>38.85</v>
      </c>
      <c r="M11" s="14">
        <f>'LAPORAN RESMI'!L10</f>
        <v>82.6875</v>
      </c>
      <c r="N11" s="14">
        <f t="shared" si="1"/>
        <v>60.768749999999997</v>
      </c>
    </row>
    <row r="12" spans="1:14">
      <c r="A12" s="4">
        <f>'INPUT DAFTAR PESERTA'!A11</f>
        <v>8</v>
      </c>
      <c r="B12" s="4">
        <f>'INPUT DAFTAR PESERTA'!B11</f>
        <v>2509076007</v>
      </c>
      <c r="C12" s="6" t="str">
        <f>'INPUT DAFTAR PESERTA'!C11</f>
        <v>Nurdian Bagus Setiawan</v>
      </c>
      <c r="D12" s="4">
        <v>47</v>
      </c>
      <c r="E12" s="4">
        <v>63</v>
      </c>
      <c r="F12" s="4">
        <v>29</v>
      </c>
      <c r="G12" s="4">
        <v>63</v>
      </c>
      <c r="H12" s="4">
        <v>80</v>
      </c>
      <c r="I12" s="4">
        <v>25.5</v>
      </c>
      <c r="J12" s="4">
        <v>0</v>
      </c>
      <c r="K12" s="4">
        <v>49</v>
      </c>
      <c r="L12" s="14">
        <f t="shared" si="0"/>
        <v>44.5625</v>
      </c>
      <c r="M12" s="14">
        <f>'LAPORAN RESMI'!L11</f>
        <v>81.125</v>
      </c>
      <c r="N12" s="14">
        <f t="shared" si="1"/>
        <v>62.84375</v>
      </c>
    </row>
    <row r="13" spans="1:14">
      <c r="A13" s="4">
        <f>'INPUT DAFTAR PESERTA'!A12</f>
        <v>9</v>
      </c>
      <c r="B13" s="4">
        <f>'INPUT DAFTAR PESERTA'!B12</f>
        <v>2509076008</v>
      </c>
      <c r="C13" s="6" t="str">
        <f>'INPUT DAFTAR PESERTA'!C12</f>
        <v>Krisna Akbar</v>
      </c>
      <c r="D13" s="4">
        <v>87</v>
      </c>
      <c r="E13" s="4">
        <v>86</v>
      </c>
      <c r="F13" s="4">
        <v>44</v>
      </c>
      <c r="G13" s="4">
        <v>22</v>
      </c>
      <c r="H13" s="4">
        <v>79</v>
      </c>
      <c r="I13" s="4">
        <v>0</v>
      </c>
      <c r="J13" s="4">
        <v>60.5</v>
      </c>
      <c r="K13" s="4">
        <v>61</v>
      </c>
      <c r="L13" s="14">
        <f t="shared" si="0"/>
        <v>54.9375</v>
      </c>
      <c r="M13" s="14">
        <f>'LAPORAN RESMI'!L12</f>
        <v>90</v>
      </c>
      <c r="N13" s="14">
        <f t="shared" si="1"/>
        <v>72.46875</v>
      </c>
    </row>
    <row r="14" spans="1:14">
      <c r="A14" s="4">
        <f>'INPUT DAFTAR PESERTA'!A13</f>
        <v>10</v>
      </c>
      <c r="B14" s="4">
        <f>'INPUT DAFTAR PESERTA'!B13</f>
        <v>2509076009</v>
      </c>
      <c r="C14" s="6" t="str">
        <f>'INPUT DAFTAR PESERTA'!C13</f>
        <v>Muhammad Naufal Ammar Dzakiy</v>
      </c>
      <c r="D14" s="4">
        <v>47</v>
      </c>
      <c r="E14" s="4">
        <v>58</v>
      </c>
      <c r="F14" s="4">
        <v>28</v>
      </c>
      <c r="G14" s="4">
        <v>50</v>
      </c>
      <c r="H14" s="4">
        <v>57</v>
      </c>
      <c r="I14" s="4">
        <v>13</v>
      </c>
      <c r="J14" s="4">
        <v>44.5</v>
      </c>
      <c r="K14" s="4">
        <v>59</v>
      </c>
      <c r="L14" s="14">
        <f t="shared" si="0"/>
        <v>44.5625</v>
      </c>
      <c r="M14" s="14">
        <f>'LAPORAN RESMI'!L13</f>
        <v>75.75</v>
      </c>
      <c r="N14" s="14">
        <f t="shared" si="1"/>
        <v>60.15625</v>
      </c>
    </row>
    <row r="15" spans="1:14">
      <c r="A15" s="4">
        <f>'INPUT DAFTAR PESERTA'!A14</f>
        <v>11</v>
      </c>
      <c r="B15" s="4">
        <f>'INPUT DAFTAR PESERTA'!B14</f>
        <v>2509076010</v>
      </c>
      <c r="C15" s="6" t="str">
        <f>'INPUT DAFTAR PESERTA'!C14</f>
        <v>Muhammad Fathir</v>
      </c>
      <c r="D15" s="4">
        <v>46.5</v>
      </c>
      <c r="E15" s="4">
        <v>82</v>
      </c>
      <c r="F15" s="4">
        <v>40</v>
      </c>
      <c r="G15" s="4">
        <v>64</v>
      </c>
      <c r="H15" s="4">
        <v>70</v>
      </c>
      <c r="I15" s="4">
        <v>69</v>
      </c>
      <c r="J15" s="4">
        <v>67</v>
      </c>
      <c r="K15" s="4">
        <v>53.5</v>
      </c>
      <c r="L15" s="14">
        <f t="shared" si="0"/>
        <v>61.5</v>
      </c>
      <c r="M15" s="14">
        <f>'LAPORAN RESMI'!L14</f>
        <v>84.1875</v>
      </c>
      <c r="N15" s="14">
        <f t="shared" si="1"/>
        <v>72.84375</v>
      </c>
    </row>
    <row r="16" spans="1:14">
      <c r="A16" s="4">
        <f>'INPUT DAFTAR PESERTA'!A15</f>
        <v>12</v>
      </c>
      <c r="B16" s="4">
        <f>'INPUT DAFTAR PESERTA'!B15</f>
        <v>2509076011</v>
      </c>
      <c r="C16" s="6" t="str">
        <f>'INPUT DAFTAR PESERTA'!C15</f>
        <v>Waiz Ar Rozzaq</v>
      </c>
      <c r="D16" s="4">
        <v>58</v>
      </c>
      <c r="E16" s="4">
        <v>87</v>
      </c>
      <c r="F16" s="4">
        <v>80</v>
      </c>
      <c r="G16" s="4">
        <v>80</v>
      </c>
      <c r="H16" s="4">
        <v>89</v>
      </c>
      <c r="I16" s="4">
        <v>94</v>
      </c>
      <c r="J16" s="4">
        <v>77</v>
      </c>
      <c r="K16" s="4">
        <v>44.5</v>
      </c>
      <c r="L16" s="14">
        <f t="shared" si="0"/>
        <v>76.1875</v>
      </c>
      <c r="M16" s="14">
        <f>'LAPORAN RESMI'!L15</f>
        <v>78.5</v>
      </c>
      <c r="N16" s="14">
        <f t="shared" si="1"/>
        <v>77.34375</v>
      </c>
    </row>
    <row r="17" spans="1:14">
      <c r="A17" s="4">
        <f>'INPUT DAFTAR PESERTA'!A16</f>
        <v>13</v>
      </c>
      <c r="B17" s="4">
        <f>'INPUT DAFTAR PESERTA'!B16</f>
        <v>2509076012</v>
      </c>
      <c r="C17" s="6" t="str">
        <f>'INPUT DAFTAR PESERTA'!C16</f>
        <v>Aditya Windri Andra</v>
      </c>
      <c r="D17" s="4">
        <v>43.7</v>
      </c>
      <c r="E17" s="4">
        <v>67</v>
      </c>
      <c r="F17" s="4">
        <v>63</v>
      </c>
      <c r="G17" s="4">
        <v>88</v>
      </c>
      <c r="H17" s="4">
        <v>75</v>
      </c>
      <c r="I17" s="4">
        <v>54</v>
      </c>
      <c r="J17" s="4">
        <v>83</v>
      </c>
      <c r="K17" s="4">
        <v>42</v>
      </c>
      <c r="L17" s="14">
        <f t="shared" si="0"/>
        <v>64.462500000000006</v>
      </c>
      <c r="M17" s="14">
        <f>'LAPORAN RESMI'!L16</f>
        <v>85.5</v>
      </c>
      <c r="N17" s="14">
        <f t="shared" si="1"/>
        <v>74.981250000000003</v>
      </c>
    </row>
    <row r="18" spans="1:14">
      <c r="A18" s="4">
        <f>'INPUT DAFTAR PESERTA'!A17</f>
        <v>14</v>
      </c>
      <c r="B18" s="4">
        <f>'INPUT DAFTAR PESERTA'!B17</f>
        <v>2509076013</v>
      </c>
      <c r="C18" s="6" t="str">
        <f>'INPUT DAFTAR PESERTA'!C17</f>
        <v>Wisnu Gafur</v>
      </c>
      <c r="D18" s="4">
        <v>40.700000000000003</v>
      </c>
      <c r="E18" s="4">
        <v>50</v>
      </c>
      <c r="F18" s="4">
        <v>35</v>
      </c>
      <c r="G18" s="4">
        <v>52</v>
      </c>
      <c r="H18" s="4">
        <v>46</v>
      </c>
      <c r="I18" s="4">
        <v>50</v>
      </c>
      <c r="J18" s="4">
        <v>43</v>
      </c>
      <c r="K18" s="4">
        <v>49</v>
      </c>
      <c r="L18" s="14">
        <f t="shared" si="0"/>
        <v>45.712499999999999</v>
      </c>
      <c r="M18" s="14">
        <f>'LAPORAN RESMI'!L17</f>
        <v>75</v>
      </c>
      <c r="N18" s="14">
        <f t="shared" si="1"/>
        <v>60.356250000000003</v>
      </c>
    </row>
    <row r="19" spans="1:14">
      <c r="A19" s="4">
        <f>'INPUT DAFTAR PESERTA'!A18</f>
        <v>15</v>
      </c>
      <c r="B19" s="4">
        <f>'INPUT DAFTAR PESERTA'!B18</f>
        <v>2509076014</v>
      </c>
      <c r="C19" s="6" t="str">
        <f>'INPUT DAFTAR PESERTA'!C18</f>
        <v>Given Subagja</v>
      </c>
      <c r="D19" s="4">
        <v>50.7</v>
      </c>
      <c r="E19" s="4">
        <v>85</v>
      </c>
      <c r="F19" s="4">
        <v>82</v>
      </c>
      <c r="G19" s="4">
        <v>96</v>
      </c>
      <c r="H19" s="4">
        <v>93</v>
      </c>
      <c r="I19" s="4">
        <v>71</v>
      </c>
      <c r="J19" s="4">
        <v>89</v>
      </c>
      <c r="K19" s="4">
        <v>0</v>
      </c>
      <c r="L19" s="14">
        <f t="shared" si="0"/>
        <v>70.837500000000006</v>
      </c>
      <c r="M19" s="14">
        <f>'LAPORAN RESMI'!L18</f>
        <v>89.25</v>
      </c>
      <c r="N19" s="14">
        <f t="shared" si="1"/>
        <v>80.043750000000003</v>
      </c>
    </row>
    <row r="20" spans="1:14">
      <c r="A20" s="4">
        <f>'INPUT DAFTAR PESERTA'!A19</f>
        <v>16</v>
      </c>
      <c r="B20" s="4">
        <f>'INPUT DAFTAR PESERTA'!B19</f>
        <v>2509076015</v>
      </c>
      <c r="C20" s="6" t="str">
        <f>'INPUT DAFTAR PESERTA'!C19</f>
        <v>Taufiqurrahman</v>
      </c>
      <c r="D20" s="4">
        <v>44.7</v>
      </c>
      <c r="E20" s="4">
        <v>92</v>
      </c>
      <c r="F20" s="4">
        <v>64</v>
      </c>
      <c r="G20" s="4">
        <v>97</v>
      </c>
      <c r="H20" s="4">
        <v>100</v>
      </c>
      <c r="I20" s="4">
        <v>82.5</v>
      </c>
      <c r="J20" s="4">
        <v>87</v>
      </c>
      <c r="K20" s="4">
        <v>0</v>
      </c>
      <c r="L20" s="14">
        <f t="shared" si="0"/>
        <v>70.900000000000006</v>
      </c>
      <c r="M20" s="14">
        <f>'LAPORAN RESMI'!L19</f>
        <v>92.25</v>
      </c>
      <c r="N20" s="14">
        <f t="shared" si="1"/>
        <v>81.575000000000003</v>
      </c>
    </row>
    <row r="21" spans="1:14">
      <c r="A21" s="4">
        <f>'INPUT DAFTAR PESERTA'!A20</f>
        <v>17</v>
      </c>
      <c r="B21" s="4">
        <f>'INPUT DAFTAR PESERTA'!B20</f>
        <v>2509076016</v>
      </c>
      <c r="C21" s="6" t="str">
        <f>'INPUT DAFTAR PESERTA'!C20</f>
        <v>Nazwa Gizza Putri Bayu</v>
      </c>
      <c r="D21" s="4">
        <v>61.7</v>
      </c>
      <c r="E21" s="4">
        <v>91</v>
      </c>
      <c r="F21" s="4">
        <v>85</v>
      </c>
      <c r="G21" s="4">
        <v>93</v>
      </c>
      <c r="H21" s="4">
        <v>80</v>
      </c>
      <c r="I21" s="4">
        <v>81</v>
      </c>
      <c r="J21" s="4">
        <v>83</v>
      </c>
      <c r="K21" s="4">
        <v>0</v>
      </c>
      <c r="L21" s="14">
        <f t="shared" si="0"/>
        <v>71.837500000000006</v>
      </c>
      <c r="M21" s="14">
        <f>'LAPORAN RESMI'!L20</f>
        <v>90.125</v>
      </c>
      <c r="N21" s="14">
        <f t="shared" si="1"/>
        <v>80.981250000000003</v>
      </c>
    </row>
    <row r="22" spans="1:14">
      <c r="A22" s="4">
        <f>'INPUT DAFTAR PESERTA'!A21</f>
        <v>18</v>
      </c>
      <c r="B22" s="4">
        <f>'INPUT DAFTAR PESERTA'!B21</f>
        <v>2509076017</v>
      </c>
      <c r="C22" s="6" t="str">
        <f>'INPUT DAFTAR PESERTA'!C21</f>
        <v>Ryan Maulana Malik</v>
      </c>
      <c r="D22" s="4">
        <v>51.7</v>
      </c>
      <c r="E22" s="4">
        <v>91</v>
      </c>
      <c r="F22" s="4">
        <v>93</v>
      </c>
      <c r="G22" s="4">
        <v>94</v>
      </c>
      <c r="H22" s="4">
        <v>100</v>
      </c>
      <c r="I22" s="4">
        <v>71</v>
      </c>
      <c r="J22" s="4">
        <v>92</v>
      </c>
      <c r="K22" s="4">
        <v>0</v>
      </c>
      <c r="L22" s="14">
        <f t="shared" si="0"/>
        <v>74.087500000000006</v>
      </c>
      <c r="M22" s="14">
        <f>'LAPORAN RESMI'!L21</f>
        <v>93.375</v>
      </c>
      <c r="N22" s="14">
        <f t="shared" si="1"/>
        <v>83.731250000000003</v>
      </c>
    </row>
    <row r="23" spans="1:14">
      <c r="A23" s="4">
        <f>'INPUT DAFTAR PESERTA'!A22</f>
        <v>19</v>
      </c>
      <c r="B23" s="4">
        <f>'INPUT DAFTAR PESERTA'!B22</f>
        <v>2509076018</v>
      </c>
      <c r="C23" s="6" t="str">
        <f>'INPUT DAFTAR PESERTA'!C22</f>
        <v>Fajar Ihsan</v>
      </c>
      <c r="D23" s="4">
        <v>90</v>
      </c>
      <c r="E23" s="4">
        <v>86</v>
      </c>
      <c r="F23" s="4">
        <v>75</v>
      </c>
      <c r="G23" s="4">
        <v>97</v>
      </c>
      <c r="H23" s="4">
        <v>72</v>
      </c>
      <c r="I23" s="4">
        <v>57</v>
      </c>
      <c r="J23" s="4">
        <v>29</v>
      </c>
      <c r="K23" s="4">
        <v>51</v>
      </c>
      <c r="L23" s="14">
        <f t="shared" si="0"/>
        <v>69.625</v>
      </c>
      <c r="M23" s="14">
        <f>'LAPORAN RESMI'!L22</f>
        <v>84.5</v>
      </c>
      <c r="N23" s="14">
        <f t="shared" si="1"/>
        <v>77.0625</v>
      </c>
    </row>
    <row r="24" spans="1:14">
      <c r="A24" s="4">
        <f>'INPUT DAFTAR PESERTA'!A23</f>
        <v>20</v>
      </c>
      <c r="B24" s="4">
        <f>'INPUT DAFTAR PESERTA'!B23</f>
        <v>2509076019</v>
      </c>
      <c r="C24" s="6" t="str">
        <f>'INPUT DAFTAR PESERTA'!C23</f>
        <v>Rava Erika Putri</v>
      </c>
      <c r="D24" s="4">
        <v>67</v>
      </c>
      <c r="E24" s="4">
        <v>90</v>
      </c>
      <c r="F24" s="4">
        <v>66</v>
      </c>
      <c r="G24" s="4">
        <v>93</v>
      </c>
      <c r="H24" s="4">
        <v>69</v>
      </c>
      <c r="I24" s="4">
        <v>46</v>
      </c>
      <c r="J24" s="4">
        <v>27</v>
      </c>
      <c r="K24" s="4">
        <v>64</v>
      </c>
      <c r="L24" s="14">
        <f t="shared" si="0"/>
        <v>65.25</v>
      </c>
      <c r="M24" s="14">
        <f>'LAPORAN RESMI'!L23</f>
        <v>90</v>
      </c>
      <c r="N24" s="14">
        <f t="shared" si="1"/>
        <v>77.625</v>
      </c>
    </row>
    <row r="25" spans="1:14">
      <c r="A25" s="4">
        <f>'INPUT DAFTAR PESERTA'!A24</f>
        <v>21</v>
      </c>
      <c r="B25" s="4">
        <f>'INPUT DAFTAR PESERTA'!B24</f>
        <v>2509076020</v>
      </c>
      <c r="C25" s="6" t="str">
        <f>'INPUT DAFTAR PESERTA'!C24</f>
        <v>Ikhsan Nur</v>
      </c>
      <c r="D25" s="4">
        <v>93</v>
      </c>
      <c r="E25" s="4">
        <v>87</v>
      </c>
      <c r="F25" s="4">
        <v>80</v>
      </c>
      <c r="G25" s="4">
        <v>93</v>
      </c>
      <c r="H25" s="4">
        <v>75</v>
      </c>
      <c r="I25" s="4">
        <v>65</v>
      </c>
      <c r="J25" s="4">
        <v>66</v>
      </c>
      <c r="K25" s="4">
        <v>60</v>
      </c>
      <c r="L25" s="14">
        <f t="shared" si="0"/>
        <v>77.375</v>
      </c>
      <c r="M25" s="14">
        <f>'LAPORAN RESMI'!L24</f>
        <v>92.5</v>
      </c>
      <c r="N25" s="14">
        <f t="shared" si="1"/>
        <v>84.9375</v>
      </c>
    </row>
    <row r="26" spans="1:14">
      <c r="A26" s="4">
        <f>'INPUT DAFTAR PESERTA'!A25</f>
        <v>22</v>
      </c>
      <c r="B26" s="4">
        <f>'INPUT DAFTAR PESERTA'!B25</f>
        <v>2509076021</v>
      </c>
      <c r="C26" s="6" t="str">
        <f>'INPUT DAFTAR PESERTA'!C25</f>
        <v>Fahri Fadil Afif</v>
      </c>
      <c r="D26" s="4">
        <v>22</v>
      </c>
      <c r="E26" s="4">
        <v>54</v>
      </c>
      <c r="F26" s="4">
        <v>40</v>
      </c>
      <c r="G26" s="4">
        <v>93</v>
      </c>
      <c r="H26" s="4">
        <v>85</v>
      </c>
      <c r="I26" s="4">
        <v>38</v>
      </c>
      <c r="J26" s="4">
        <v>19</v>
      </c>
      <c r="K26" s="4">
        <v>42</v>
      </c>
      <c r="L26" s="14">
        <f t="shared" si="0"/>
        <v>49.125</v>
      </c>
      <c r="M26" s="14">
        <f>'LAPORAN RESMI'!L25</f>
        <v>86.625</v>
      </c>
      <c r="N26" s="14">
        <f t="shared" si="1"/>
        <v>67.875</v>
      </c>
    </row>
    <row r="27" spans="1:14">
      <c r="A27" s="4">
        <f>'INPUT DAFTAR PESERTA'!A26</f>
        <v>23</v>
      </c>
      <c r="B27" s="4">
        <f>'INPUT DAFTAR PESERTA'!B26</f>
        <v>2509076022</v>
      </c>
      <c r="C27" s="6" t="str">
        <f>'INPUT DAFTAR PESERTA'!C26</f>
        <v>Andika Yanuardani</v>
      </c>
      <c r="D27" s="4">
        <v>98</v>
      </c>
      <c r="E27" s="4">
        <v>83</v>
      </c>
      <c r="F27" s="4">
        <v>88</v>
      </c>
      <c r="G27" s="4">
        <v>95</v>
      </c>
      <c r="H27" s="4">
        <v>80</v>
      </c>
      <c r="I27" s="4">
        <v>45</v>
      </c>
      <c r="J27" s="4">
        <v>45</v>
      </c>
      <c r="K27" s="4">
        <v>70</v>
      </c>
      <c r="L27" s="14">
        <f t="shared" si="0"/>
        <v>75.5</v>
      </c>
      <c r="M27" s="14">
        <f>'LAPORAN RESMI'!L26</f>
        <v>90.125</v>
      </c>
      <c r="N27" s="14">
        <f t="shared" si="1"/>
        <v>82.8125</v>
      </c>
    </row>
    <row r="28" spans="1:14">
      <c r="A28" s="4">
        <f>'INPUT DAFTAR PESERTA'!A27</f>
        <v>24</v>
      </c>
      <c r="B28" s="4">
        <f>'INPUT DAFTAR PESERTA'!B27</f>
        <v>2509076023</v>
      </c>
      <c r="C28" s="6" t="str">
        <f>'INPUT DAFTAR PESERTA'!C27</f>
        <v>Muhammad Hernanditya Rizky Susanto</v>
      </c>
      <c r="D28" s="4">
        <v>22</v>
      </c>
      <c r="E28" s="4">
        <v>51</v>
      </c>
      <c r="F28" s="4">
        <v>70</v>
      </c>
      <c r="G28" s="4">
        <v>89</v>
      </c>
      <c r="H28" s="4">
        <v>63</v>
      </c>
      <c r="I28" s="4">
        <v>33</v>
      </c>
      <c r="J28" s="4">
        <v>73</v>
      </c>
      <c r="K28" s="4">
        <v>54</v>
      </c>
      <c r="L28" s="14">
        <f t="shared" si="0"/>
        <v>56.875</v>
      </c>
      <c r="M28" s="14">
        <f>'LAPORAN RESMI'!L27</f>
        <v>88.25</v>
      </c>
      <c r="N28" s="14">
        <f t="shared" si="1"/>
        <v>72.5625</v>
      </c>
    </row>
    <row r="29" spans="1:14">
      <c r="A29" s="4">
        <f>'INPUT DAFTAR PESERTA'!A28</f>
        <v>25</v>
      </c>
      <c r="B29" s="4">
        <f>'INPUT DAFTAR PESERTA'!B28</f>
        <v>2509076024</v>
      </c>
      <c r="C29" s="6" t="str">
        <f>'INPUT DAFTAR PESERTA'!C28</f>
        <v>Febrianto Paa Linthin</v>
      </c>
      <c r="D29" s="4">
        <v>87</v>
      </c>
      <c r="E29" s="4">
        <v>80</v>
      </c>
      <c r="F29" s="4">
        <v>73</v>
      </c>
      <c r="G29" s="4">
        <v>94</v>
      </c>
      <c r="H29" s="4">
        <v>80</v>
      </c>
      <c r="I29" s="4">
        <v>53</v>
      </c>
      <c r="J29" s="4">
        <v>30</v>
      </c>
      <c r="K29" s="4">
        <v>84</v>
      </c>
      <c r="L29" s="14">
        <f t="shared" si="0"/>
        <v>72.625</v>
      </c>
      <c r="M29" s="14">
        <f>'LAPORAN RESMI'!L28</f>
        <v>90.75</v>
      </c>
      <c r="N29" s="14">
        <f t="shared" si="1"/>
        <v>81.6875</v>
      </c>
    </row>
    <row r="30" spans="1:14">
      <c r="A30" s="4">
        <f>'INPUT DAFTAR PESERTA'!A29</f>
        <v>26</v>
      </c>
      <c r="B30" s="4">
        <f>'INPUT DAFTAR PESERTA'!B29</f>
        <v>2509076025</v>
      </c>
      <c r="C30" s="6" t="str">
        <f>'INPUT DAFTAR PESERTA'!C29</f>
        <v>Sandriko Pebrian Silaen</v>
      </c>
      <c r="D30" s="4">
        <v>74</v>
      </c>
      <c r="E30" s="4">
        <v>71</v>
      </c>
      <c r="F30" s="4">
        <v>82</v>
      </c>
      <c r="G30" s="4">
        <v>95</v>
      </c>
      <c r="H30" s="4">
        <v>77</v>
      </c>
      <c r="I30" s="4">
        <v>24</v>
      </c>
      <c r="J30" s="4">
        <v>21</v>
      </c>
      <c r="K30" s="4">
        <v>62</v>
      </c>
      <c r="L30" s="14">
        <f t="shared" si="0"/>
        <v>63.25</v>
      </c>
      <c r="M30" s="14">
        <f>'LAPORAN RESMI'!L29</f>
        <v>89.75</v>
      </c>
      <c r="N30" s="14">
        <f t="shared" si="1"/>
        <v>76.5</v>
      </c>
    </row>
    <row r="31" spans="1:14">
      <c r="A31" s="4">
        <f>'INPUT DAFTAR PESERTA'!A30</f>
        <v>27</v>
      </c>
      <c r="B31" s="4">
        <f>'INPUT DAFTAR PESERTA'!B30</f>
        <v>2509076026</v>
      </c>
      <c r="C31" s="6" t="str">
        <f>'INPUT DAFTAR PESERTA'!C30</f>
        <v>Alifka Pasha Assiddiq</v>
      </c>
      <c r="D31" s="4">
        <v>53</v>
      </c>
      <c r="E31" s="4">
        <v>80</v>
      </c>
      <c r="F31" s="4">
        <v>75</v>
      </c>
      <c r="G31" s="4">
        <v>95</v>
      </c>
      <c r="H31" s="4">
        <v>65</v>
      </c>
      <c r="I31" s="4">
        <v>41.5</v>
      </c>
      <c r="J31" s="4">
        <v>56</v>
      </c>
      <c r="K31" s="4">
        <v>75</v>
      </c>
      <c r="L31" s="14">
        <f t="shared" si="0"/>
        <v>67.5625</v>
      </c>
      <c r="M31" s="14">
        <f>'LAPORAN RESMI'!L30</f>
        <v>75.2</v>
      </c>
      <c r="N31" s="14">
        <f t="shared" si="1"/>
        <v>71.381249999999994</v>
      </c>
    </row>
    <row r="32" spans="1:14">
      <c r="A32" s="4">
        <f>'INPUT DAFTAR PESERTA'!A31</f>
        <v>28</v>
      </c>
      <c r="B32" s="4">
        <f>'INPUT DAFTAR PESERTA'!B31</f>
        <v>2509076027</v>
      </c>
      <c r="C32" s="6" t="str">
        <f>'INPUT DAFTAR PESERTA'!C31</f>
        <v>Firaas Nur Atsaal</v>
      </c>
      <c r="D32" s="4">
        <v>54</v>
      </c>
      <c r="E32" s="4">
        <v>95</v>
      </c>
      <c r="F32" s="4">
        <v>78</v>
      </c>
      <c r="G32" s="4">
        <v>91</v>
      </c>
      <c r="H32" s="4">
        <v>95</v>
      </c>
      <c r="I32" s="4">
        <v>77.5</v>
      </c>
      <c r="J32" s="4">
        <v>59</v>
      </c>
      <c r="K32" s="4">
        <v>82</v>
      </c>
      <c r="L32" s="14">
        <f t="shared" si="0"/>
        <v>78.9375</v>
      </c>
      <c r="M32" s="14">
        <f>'LAPORAN RESMI'!L31</f>
        <v>89.5625</v>
      </c>
      <c r="N32" s="14">
        <f t="shared" si="1"/>
        <v>84.25</v>
      </c>
    </row>
    <row r="33" spans="1:14">
      <c r="A33" s="4">
        <f>'INPUT DAFTAR PESERTA'!A32</f>
        <v>29</v>
      </c>
      <c r="B33" s="4">
        <f>'INPUT DAFTAR PESERTA'!B32</f>
        <v>2509076028</v>
      </c>
      <c r="C33" s="6" t="str">
        <f>'INPUT DAFTAR PESERTA'!C32</f>
        <v>M. Davy Ananda</v>
      </c>
      <c r="D33" s="4">
        <v>32</v>
      </c>
      <c r="E33" s="4">
        <v>73</v>
      </c>
      <c r="F33" s="4">
        <v>78</v>
      </c>
      <c r="G33" s="4">
        <v>91</v>
      </c>
      <c r="H33" s="4">
        <v>90</v>
      </c>
      <c r="I33" s="4">
        <v>19.5</v>
      </c>
      <c r="J33" s="4">
        <v>42</v>
      </c>
      <c r="K33" s="4">
        <v>82</v>
      </c>
      <c r="L33" s="14">
        <f t="shared" si="0"/>
        <v>63.4375</v>
      </c>
      <c r="M33" s="14">
        <f>'LAPORAN RESMI'!L32</f>
        <v>83.875</v>
      </c>
      <c r="N33" s="14">
        <f t="shared" si="1"/>
        <v>73.65625</v>
      </c>
    </row>
    <row r="34" spans="1:14">
      <c r="A34" s="4">
        <f>'INPUT DAFTAR PESERTA'!A33</f>
        <v>30</v>
      </c>
      <c r="B34" s="4">
        <f>'INPUT DAFTAR PESERTA'!B33</f>
        <v>2509076029</v>
      </c>
      <c r="C34" s="6" t="str">
        <f>'INPUT DAFTAR PESERTA'!C33</f>
        <v>Abimanyu Putra Nugroho</v>
      </c>
      <c r="D34" s="4">
        <v>58</v>
      </c>
      <c r="E34" s="4">
        <v>81</v>
      </c>
      <c r="F34" s="4">
        <v>64</v>
      </c>
      <c r="G34" s="4">
        <v>0</v>
      </c>
      <c r="H34" s="4">
        <v>90</v>
      </c>
      <c r="I34" s="4">
        <v>59</v>
      </c>
      <c r="J34" s="4">
        <v>39</v>
      </c>
      <c r="K34" s="4">
        <v>79</v>
      </c>
      <c r="L34" s="14">
        <f t="shared" si="0"/>
        <v>58.75</v>
      </c>
      <c r="M34" s="14">
        <f>'LAPORAN RESMI'!L33</f>
        <v>66.75</v>
      </c>
      <c r="N34" s="14">
        <f t="shared" si="1"/>
        <v>62.75</v>
      </c>
    </row>
    <row r="35" spans="1:14">
      <c r="A35" s="4">
        <f>'INPUT DAFTAR PESERTA'!A34</f>
        <v>31</v>
      </c>
      <c r="B35" s="4">
        <f>'INPUT DAFTAR PESERTA'!B34</f>
        <v>2509076030</v>
      </c>
      <c r="C35" s="6" t="str">
        <f>'INPUT DAFTAR PESERTA'!C34</f>
        <v>Nur Fahmi Saputra</v>
      </c>
      <c r="D35" s="4">
        <v>18</v>
      </c>
      <c r="E35" s="4">
        <v>30</v>
      </c>
      <c r="F35" s="4">
        <v>47</v>
      </c>
      <c r="G35" s="4">
        <v>25</v>
      </c>
      <c r="H35" s="4">
        <v>82</v>
      </c>
      <c r="I35" s="4">
        <v>50</v>
      </c>
      <c r="J35" s="4">
        <v>37</v>
      </c>
      <c r="K35" s="4">
        <v>53</v>
      </c>
      <c r="L35" s="14">
        <f t="shared" si="0"/>
        <v>42.75</v>
      </c>
      <c r="M35" s="14">
        <f>'LAPORAN RESMI'!L34</f>
        <v>84.875</v>
      </c>
      <c r="N35" s="14">
        <f t="shared" si="1"/>
        <v>63.8125</v>
      </c>
    </row>
    <row r="36" spans="1:14">
      <c r="A36" s="4">
        <f>'INPUT DAFTAR PESERTA'!A35</f>
        <v>32</v>
      </c>
      <c r="B36" s="4">
        <f>'INPUT DAFTAR PESERTA'!B35</f>
        <v>2509076031</v>
      </c>
      <c r="C36" s="6" t="str">
        <f>'INPUT DAFTAR PESERTA'!C35</f>
        <v>Sentike Baso'</v>
      </c>
      <c r="D36" s="4">
        <v>0</v>
      </c>
      <c r="E36" s="4">
        <v>0</v>
      </c>
      <c r="F36" s="4">
        <v>42</v>
      </c>
      <c r="G36" s="4">
        <v>96</v>
      </c>
      <c r="H36" s="4">
        <v>92</v>
      </c>
      <c r="I36" s="4">
        <v>70</v>
      </c>
      <c r="J36" s="4">
        <v>65</v>
      </c>
      <c r="K36" s="4">
        <v>0</v>
      </c>
      <c r="L36" s="14">
        <f t="shared" si="0"/>
        <v>45.625</v>
      </c>
      <c r="M36" s="14">
        <f>'LAPORAN RESMI'!L35</f>
        <v>86.625</v>
      </c>
      <c r="N36" s="14">
        <f t="shared" si="1"/>
        <v>66.125</v>
      </c>
    </row>
    <row r="37" spans="1:14">
      <c r="A37" s="4">
        <f>'INPUT DAFTAR PESERTA'!A36</f>
        <v>33</v>
      </c>
      <c r="B37" s="4">
        <f>'INPUT DAFTAR PESERTA'!B36</f>
        <v>2509076032</v>
      </c>
      <c r="C37" s="6" t="str">
        <f>'INPUT DAFTAR PESERTA'!C36</f>
        <v>Muhammad Dzaky Nirwasita</v>
      </c>
      <c r="D37" s="4">
        <v>10</v>
      </c>
      <c r="E37" s="4">
        <v>62</v>
      </c>
      <c r="F37" s="4">
        <v>77</v>
      </c>
      <c r="G37" s="4">
        <v>95</v>
      </c>
      <c r="H37" s="4">
        <v>83</v>
      </c>
      <c r="I37" s="4">
        <v>67</v>
      </c>
      <c r="J37" s="4">
        <v>89</v>
      </c>
      <c r="K37" s="4">
        <v>62</v>
      </c>
      <c r="L37" s="14">
        <f t="shared" si="0"/>
        <v>68.125</v>
      </c>
      <c r="M37" s="14">
        <f>'LAPORAN RESMI'!L36</f>
        <v>88.25</v>
      </c>
      <c r="N37" s="14">
        <f t="shared" si="1"/>
        <v>78.1875</v>
      </c>
    </row>
    <row r="38" spans="1:14">
      <c r="A38" s="4">
        <f>'INPUT DAFTAR PESERTA'!A37</f>
        <v>34</v>
      </c>
      <c r="B38" s="4">
        <f>'INPUT DAFTAR PESERTA'!B37</f>
        <v>2509076033</v>
      </c>
      <c r="C38" s="6" t="str">
        <f>'INPUT DAFTAR PESERTA'!C37</f>
        <v>Ilham Pratama</v>
      </c>
      <c r="D38" s="4">
        <v>37</v>
      </c>
      <c r="E38" s="4">
        <v>53</v>
      </c>
      <c r="F38" s="4">
        <v>80</v>
      </c>
      <c r="G38" s="4">
        <v>78</v>
      </c>
      <c r="H38" s="4">
        <v>80</v>
      </c>
      <c r="I38" s="4">
        <v>50</v>
      </c>
      <c r="J38" s="4">
        <v>59</v>
      </c>
      <c r="K38" s="4">
        <v>54.2</v>
      </c>
      <c r="L38" s="14">
        <f t="shared" si="0"/>
        <v>61.4</v>
      </c>
      <c r="M38" s="14">
        <f>'LAPORAN RESMI'!L37</f>
        <v>87</v>
      </c>
      <c r="N38" s="14">
        <f t="shared" si="1"/>
        <v>74.2</v>
      </c>
    </row>
    <row r="39" spans="1:14">
      <c r="A39" s="4">
        <f>'INPUT DAFTAR PESERTA'!A38</f>
        <v>35</v>
      </c>
      <c r="B39" s="4">
        <f>'INPUT DAFTAR PESERTA'!B38</f>
        <v>2509076034</v>
      </c>
      <c r="C39" s="6" t="str">
        <f>'INPUT DAFTAR PESERTA'!C38</f>
        <v>Muhammad Azwa Brilianto</v>
      </c>
      <c r="D39" s="4">
        <v>97</v>
      </c>
      <c r="E39" s="4">
        <v>84</v>
      </c>
      <c r="F39" s="4">
        <v>90</v>
      </c>
      <c r="G39" s="4">
        <v>99</v>
      </c>
      <c r="H39" s="4">
        <v>95</v>
      </c>
      <c r="I39" s="4">
        <v>40</v>
      </c>
      <c r="J39" s="4">
        <v>65</v>
      </c>
      <c r="K39" s="4">
        <v>47.7</v>
      </c>
      <c r="L39" s="14">
        <f t="shared" si="0"/>
        <v>77.212500000000006</v>
      </c>
      <c r="M39" s="14">
        <f>'LAPORAN RESMI'!L38</f>
        <v>88.875</v>
      </c>
      <c r="N39" s="14">
        <f t="shared" si="1"/>
        <v>83.043750000000003</v>
      </c>
    </row>
    <row r="40" spans="1:14">
      <c r="A40" s="4">
        <f>'INPUT DAFTAR PESERTA'!A39</f>
        <v>36</v>
      </c>
      <c r="B40" s="4">
        <f>'INPUT DAFTAR PESERTA'!B39</f>
        <v>2509076035</v>
      </c>
      <c r="C40" s="6" t="str">
        <f>'INPUT DAFTAR PESERTA'!C39</f>
        <v>Mario Renhard Simanullang</v>
      </c>
      <c r="D40" s="4">
        <v>97</v>
      </c>
      <c r="E40" s="4">
        <v>35.5</v>
      </c>
      <c r="F40" s="4">
        <v>82</v>
      </c>
      <c r="G40" s="4">
        <v>91</v>
      </c>
      <c r="H40" s="4">
        <v>92</v>
      </c>
      <c r="I40" s="4">
        <v>67</v>
      </c>
      <c r="J40" s="4">
        <v>54.5</v>
      </c>
      <c r="K40" s="4">
        <v>49.2</v>
      </c>
      <c r="L40" s="14">
        <f t="shared" si="0"/>
        <v>71.025000000000006</v>
      </c>
      <c r="M40" s="14">
        <f>'LAPORAN RESMI'!L39</f>
        <v>86</v>
      </c>
      <c r="N40" s="14">
        <f t="shared" si="1"/>
        <v>78.512500000000003</v>
      </c>
    </row>
    <row r="41" spans="1:14">
      <c r="A41" s="4">
        <f>'INPUT DAFTAR PESERTA'!A40</f>
        <v>37</v>
      </c>
      <c r="B41" s="4">
        <f>'INPUT DAFTAR PESERTA'!B40</f>
        <v>2509076036</v>
      </c>
      <c r="C41" s="6" t="str">
        <f>'INPUT DAFTAR PESERTA'!C40</f>
        <v>Andhika Ananda Gusthy</v>
      </c>
      <c r="D41" s="4">
        <v>97</v>
      </c>
      <c r="E41" s="4">
        <v>80</v>
      </c>
      <c r="F41" s="4">
        <v>83</v>
      </c>
      <c r="G41" s="4">
        <v>99</v>
      </c>
      <c r="H41" s="4">
        <v>95</v>
      </c>
      <c r="I41" s="4">
        <v>63.9</v>
      </c>
      <c r="J41" s="4">
        <v>81</v>
      </c>
      <c r="K41" s="4">
        <v>49</v>
      </c>
      <c r="L41" s="14">
        <f t="shared" si="0"/>
        <v>80.987499999999997</v>
      </c>
      <c r="M41" s="14">
        <f>'LAPORAN RESMI'!L40</f>
        <v>94.375</v>
      </c>
      <c r="N41" s="14">
        <f t="shared" si="1"/>
        <v>87.681250000000006</v>
      </c>
    </row>
    <row r="42" spans="1:14">
      <c r="A42" s="4">
        <f>'INPUT DAFTAR PESERTA'!A41</f>
        <v>38</v>
      </c>
      <c r="B42" s="4">
        <f>'INPUT DAFTAR PESERTA'!B41</f>
        <v>2509076037</v>
      </c>
      <c r="C42" s="6" t="str">
        <f>'INPUT DAFTAR PESERTA'!C41</f>
        <v>Zherfaqih Al Barki</v>
      </c>
      <c r="D42" s="4">
        <v>68</v>
      </c>
      <c r="E42" s="4">
        <v>68</v>
      </c>
      <c r="F42" s="4">
        <v>37</v>
      </c>
      <c r="G42" s="4">
        <v>95</v>
      </c>
      <c r="H42" s="4">
        <v>85</v>
      </c>
      <c r="I42" s="4">
        <v>0</v>
      </c>
      <c r="J42" s="4">
        <v>34.5</v>
      </c>
      <c r="K42" s="4">
        <v>0</v>
      </c>
      <c r="L42" s="14">
        <f t="shared" si="0"/>
        <v>48.4375</v>
      </c>
      <c r="M42" s="14">
        <f>'LAPORAN RESMI'!L41</f>
        <v>79.5</v>
      </c>
      <c r="N42" s="14">
        <f t="shared" si="1"/>
        <v>63.96875</v>
      </c>
    </row>
    <row r="43" spans="1:14">
      <c r="A43" s="4">
        <f>'INPUT DAFTAR PESERTA'!A42</f>
        <v>39</v>
      </c>
      <c r="B43" s="4">
        <f>'INPUT DAFTAR PESERTA'!B42</f>
        <v>2509076038</v>
      </c>
      <c r="C43" s="6" t="str">
        <f>'INPUT DAFTAR PESERTA'!C42</f>
        <v>Reihan Aidil Adha</v>
      </c>
      <c r="D43" s="4">
        <v>77</v>
      </c>
      <c r="E43" s="4">
        <v>70</v>
      </c>
      <c r="F43" s="4">
        <v>70</v>
      </c>
      <c r="G43" s="4">
        <v>49</v>
      </c>
      <c r="H43" s="4">
        <v>43</v>
      </c>
      <c r="I43" s="4">
        <v>20</v>
      </c>
      <c r="J43" s="4">
        <v>35</v>
      </c>
      <c r="K43" s="4">
        <v>49.5</v>
      </c>
      <c r="L43" s="14">
        <f t="shared" si="0"/>
        <v>51.6875</v>
      </c>
      <c r="M43" s="14">
        <f>'LAPORAN RESMI'!L42</f>
        <v>71.25</v>
      </c>
      <c r="N43" s="14">
        <f t="shared" si="1"/>
        <v>61.46875</v>
      </c>
    </row>
    <row r="44" spans="1:14">
      <c r="A44" s="4">
        <f>'INPUT DAFTAR PESERTA'!A43</f>
        <v>40</v>
      </c>
      <c r="B44" s="4">
        <f>'INPUT DAFTAR PESERTA'!B43</f>
        <v>2509076039</v>
      </c>
      <c r="C44" s="6" t="str">
        <f>'INPUT DAFTAR PESERTA'!C43</f>
        <v>Baso Syamsurya</v>
      </c>
      <c r="D44" s="4">
        <v>77</v>
      </c>
      <c r="E44" s="4">
        <v>92</v>
      </c>
      <c r="F44" s="4">
        <v>56</v>
      </c>
      <c r="G44" s="4">
        <v>0</v>
      </c>
      <c r="H44" s="4">
        <v>94</v>
      </c>
      <c r="I44" s="4">
        <v>24.5</v>
      </c>
      <c r="J44" s="4">
        <v>89</v>
      </c>
      <c r="K44" s="4">
        <v>0</v>
      </c>
      <c r="L44" s="14">
        <f t="shared" si="0"/>
        <v>54.0625</v>
      </c>
      <c r="M44" s="14">
        <f>'LAPORAN RESMI'!L43</f>
        <v>92.625</v>
      </c>
      <c r="N44" s="14">
        <f t="shared" si="1"/>
        <v>73.34375</v>
      </c>
    </row>
    <row r="45" spans="1:14">
      <c r="A45" s="4">
        <f>'INPUT DAFTAR PESERTA'!A44</f>
        <v>41</v>
      </c>
      <c r="B45" s="4">
        <f>'INPUT DAFTAR PESERTA'!B44</f>
        <v>2509076040</v>
      </c>
      <c r="C45" s="6" t="str">
        <f>'INPUT DAFTAR PESERTA'!C44</f>
        <v>Andriadi Supardi</v>
      </c>
      <c r="D45" s="4">
        <v>97</v>
      </c>
      <c r="E45" s="4">
        <v>91</v>
      </c>
      <c r="F45" s="4">
        <v>83</v>
      </c>
      <c r="G45" s="4">
        <v>90</v>
      </c>
      <c r="H45" s="4">
        <v>92</v>
      </c>
      <c r="I45" s="4">
        <v>55.8</v>
      </c>
      <c r="J45" s="4">
        <v>83.4</v>
      </c>
      <c r="K45" s="4">
        <v>67.5</v>
      </c>
      <c r="L45" s="14">
        <f t="shared" si="0"/>
        <v>82.462500000000006</v>
      </c>
      <c r="M45" s="14">
        <f>'LAPORAN RESMI'!L44</f>
        <v>95.125</v>
      </c>
      <c r="N45" s="14">
        <f t="shared" si="1"/>
        <v>88.793750000000003</v>
      </c>
    </row>
    <row r="46" spans="1:14">
      <c r="A46" s="4">
        <f>'INPUT DAFTAR PESERTA'!A45</f>
        <v>42</v>
      </c>
      <c r="B46" s="4">
        <f>'INPUT DAFTAR PESERTA'!B45</f>
        <v>2509076041</v>
      </c>
      <c r="C46" s="6" t="str">
        <f>'INPUT DAFTAR PESERTA'!C45</f>
        <v>Achmad Fahri Kurniawan</v>
      </c>
      <c r="D46" s="4">
        <v>49.5</v>
      </c>
      <c r="E46" s="4">
        <v>0</v>
      </c>
      <c r="F46" s="4">
        <v>65</v>
      </c>
      <c r="G46" s="4">
        <v>92</v>
      </c>
      <c r="H46" s="4">
        <v>95</v>
      </c>
      <c r="I46" s="4">
        <v>34.700000000000003</v>
      </c>
      <c r="J46" s="4">
        <v>73</v>
      </c>
      <c r="K46" s="4">
        <v>62.5</v>
      </c>
      <c r="L46" s="14">
        <f t="shared" si="0"/>
        <v>58.962499999999999</v>
      </c>
      <c r="M46" s="14">
        <f>'LAPORAN RESMI'!L45</f>
        <v>82.4375</v>
      </c>
      <c r="N46" s="14">
        <f t="shared" si="1"/>
        <v>70.7</v>
      </c>
    </row>
    <row r="47" spans="1:14">
      <c r="A47" s="4">
        <f>'INPUT DAFTAR PESERTA'!A46</f>
        <v>43</v>
      </c>
      <c r="B47" s="4">
        <f>'INPUT DAFTAR PESERTA'!B46</f>
        <v>2509076042</v>
      </c>
      <c r="C47" s="6" t="str">
        <f>'INPUT DAFTAR PESERTA'!C46</f>
        <v>Saktianata Eja Assami</v>
      </c>
      <c r="D47" s="4">
        <v>62.7</v>
      </c>
      <c r="E47" s="4">
        <v>64</v>
      </c>
      <c r="F47" s="4">
        <v>43</v>
      </c>
      <c r="G47" s="4">
        <v>83</v>
      </c>
      <c r="H47" s="4">
        <v>88</v>
      </c>
      <c r="I47" s="4">
        <v>53</v>
      </c>
      <c r="J47" s="4">
        <v>50</v>
      </c>
      <c r="K47" s="4">
        <v>70.5</v>
      </c>
      <c r="L47" s="14">
        <f t="shared" si="0"/>
        <v>64.275000000000006</v>
      </c>
      <c r="M47" s="14">
        <f>'LAPORAN RESMI'!L46</f>
        <v>78.9375</v>
      </c>
      <c r="N47" s="14">
        <f t="shared" si="1"/>
        <v>71.606250000000003</v>
      </c>
    </row>
    <row r="48" spans="1:14">
      <c r="A48" s="4">
        <f>'INPUT DAFTAR PESERTA'!A47</f>
        <v>44</v>
      </c>
      <c r="B48" s="4">
        <f>'INPUT DAFTAR PESERTA'!B47</f>
        <v>2509076043</v>
      </c>
      <c r="C48" s="6" t="str">
        <f>'INPUT DAFTAR PESERTA'!C47</f>
        <v>Zhafanya Maydeline Robert</v>
      </c>
      <c r="D48" s="4">
        <v>55.7</v>
      </c>
      <c r="E48" s="4">
        <v>47</v>
      </c>
      <c r="F48" s="4">
        <v>43</v>
      </c>
      <c r="G48" s="4">
        <v>83</v>
      </c>
      <c r="H48" s="4">
        <v>88</v>
      </c>
      <c r="I48" s="4">
        <v>29</v>
      </c>
      <c r="J48" s="4">
        <v>57</v>
      </c>
      <c r="K48" s="4">
        <v>57</v>
      </c>
      <c r="L48" s="14">
        <f t="shared" si="0"/>
        <v>57.462499999999999</v>
      </c>
      <c r="M48" s="14">
        <f>'LAPORAN RESMI'!L47</f>
        <v>88.0625</v>
      </c>
      <c r="N48" s="14">
        <f t="shared" si="1"/>
        <v>72.762500000000003</v>
      </c>
    </row>
    <row r="49" spans="1:14">
      <c r="A49" s="4">
        <f>'INPUT DAFTAR PESERTA'!A48</f>
        <v>45</v>
      </c>
      <c r="B49" s="4">
        <f>'INPUT DAFTAR PESERTA'!B48</f>
        <v>2509076044</v>
      </c>
      <c r="C49" s="6" t="str">
        <f>'INPUT DAFTAR PESERTA'!C48</f>
        <v>Dhifan Rangga Purwanto</v>
      </c>
      <c r="D49" s="4">
        <v>44.5</v>
      </c>
      <c r="E49" s="4">
        <v>0</v>
      </c>
      <c r="F49" s="4">
        <v>65</v>
      </c>
      <c r="G49" s="4">
        <v>76</v>
      </c>
      <c r="H49" s="4">
        <v>95</v>
      </c>
      <c r="I49" s="4">
        <v>31.7</v>
      </c>
      <c r="J49" s="4">
        <v>64</v>
      </c>
      <c r="K49" s="4">
        <v>61</v>
      </c>
      <c r="L49" s="14">
        <f t="shared" si="0"/>
        <v>54.65</v>
      </c>
      <c r="M49" s="14">
        <f>'LAPORAN RESMI'!L48</f>
        <v>86.875</v>
      </c>
      <c r="N49" s="14">
        <f t="shared" si="1"/>
        <v>70.762500000000003</v>
      </c>
    </row>
    <row r="50" spans="1:14">
      <c r="A50" s="4">
        <f>'INPUT DAFTAR PESERTA'!A49</f>
        <v>46</v>
      </c>
      <c r="B50" s="4">
        <f>'INPUT DAFTAR PESERTA'!B49</f>
        <v>2509076046</v>
      </c>
      <c r="C50" s="6" t="str">
        <f>'INPUT DAFTAR PESERTA'!C49</f>
        <v>Mohamad Hafid</v>
      </c>
      <c r="D50" s="4">
        <v>35</v>
      </c>
      <c r="E50" s="4">
        <v>92</v>
      </c>
      <c r="F50" s="4">
        <v>39</v>
      </c>
      <c r="G50" s="4">
        <v>90</v>
      </c>
      <c r="H50" s="4">
        <v>78</v>
      </c>
      <c r="I50" s="4">
        <v>55</v>
      </c>
      <c r="J50" s="4">
        <v>79</v>
      </c>
      <c r="K50" s="4">
        <v>0</v>
      </c>
      <c r="L50" s="14">
        <f t="shared" si="0"/>
        <v>58.5</v>
      </c>
      <c r="M50" s="14">
        <f>'LAPORAN RESMI'!L49</f>
        <v>74.25</v>
      </c>
      <c r="N50" s="14">
        <f t="shared" si="1"/>
        <v>66.375</v>
      </c>
    </row>
    <row r="51" spans="1:14">
      <c r="A51" s="4">
        <f>'INPUT DAFTAR PESERTA'!A50</f>
        <v>47</v>
      </c>
      <c r="B51" s="4">
        <f>'INPUT DAFTAR PESERTA'!B50</f>
        <v>2509076047</v>
      </c>
      <c r="C51" s="6" t="str">
        <f>'INPUT DAFTAR PESERTA'!C50</f>
        <v>Rifky Prasetya</v>
      </c>
      <c r="D51" s="4">
        <v>60</v>
      </c>
      <c r="E51" s="4">
        <v>87</v>
      </c>
      <c r="F51" s="4">
        <v>66</v>
      </c>
      <c r="G51" s="4">
        <v>96</v>
      </c>
      <c r="H51" s="4">
        <v>75</v>
      </c>
      <c r="I51" s="4">
        <v>67</v>
      </c>
      <c r="J51" s="4">
        <v>71</v>
      </c>
      <c r="K51" s="4">
        <v>0</v>
      </c>
      <c r="L51" s="14">
        <f t="shared" si="0"/>
        <v>65.25</v>
      </c>
      <c r="M51" s="14">
        <f>'LAPORAN RESMI'!L50</f>
        <v>80.75</v>
      </c>
      <c r="N51" s="14">
        <f t="shared" si="1"/>
        <v>73</v>
      </c>
    </row>
    <row r="52" spans="1:14">
      <c r="A52" s="4">
        <f>'INPUT DAFTAR PESERTA'!A51</f>
        <v>48</v>
      </c>
      <c r="B52" s="4">
        <f>'INPUT DAFTAR PESERTA'!B51</f>
        <v>2509076048</v>
      </c>
      <c r="C52" s="6" t="str">
        <f>'INPUT DAFTAR PESERTA'!C51</f>
        <v>Yusriel Ramadhan</v>
      </c>
      <c r="D52" s="4">
        <v>72</v>
      </c>
      <c r="E52" s="4">
        <v>40</v>
      </c>
      <c r="F52" s="4">
        <v>29</v>
      </c>
      <c r="G52" s="4">
        <v>43</v>
      </c>
      <c r="H52" s="4">
        <v>40</v>
      </c>
      <c r="I52" s="4">
        <v>0</v>
      </c>
      <c r="J52" s="4">
        <v>55</v>
      </c>
      <c r="K52" s="4">
        <v>61</v>
      </c>
      <c r="L52" s="14">
        <f t="shared" si="0"/>
        <v>42.5</v>
      </c>
      <c r="M52" s="14">
        <f>'LAPORAN RESMI'!L51</f>
        <v>54</v>
      </c>
      <c r="N52" s="14">
        <f t="shared" si="1"/>
        <v>48.25</v>
      </c>
    </row>
    <row r="53" spans="1:14">
      <c r="A53" s="4">
        <f>'INPUT DAFTAR PESERTA'!A52</f>
        <v>49</v>
      </c>
      <c r="B53" s="4">
        <f>'INPUT DAFTAR PESERTA'!B52</f>
        <v>2509076049</v>
      </c>
      <c r="C53" s="6" t="str">
        <f>'INPUT DAFTAR PESERTA'!C52</f>
        <v>Jiyad Prasetyo Abimanyu</v>
      </c>
      <c r="D53" s="4">
        <v>57</v>
      </c>
      <c r="E53" s="4">
        <v>76</v>
      </c>
      <c r="F53" s="4">
        <v>80</v>
      </c>
      <c r="G53" s="4">
        <v>92</v>
      </c>
      <c r="H53" s="4">
        <v>75</v>
      </c>
      <c r="I53" s="4">
        <v>41.8</v>
      </c>
      <c r="J53" s="4"/>
      <c r="K53" s="4">
        <v>66</v>
      </c>
      <c r="L53" s="14">
        <f t="shared" si="0"/>
        <v>60.975000000000001</v>
      </c>
      <c r="M53" s="14">
        <f>'LAPORAN RESMI'!L52</f>
        <v>66.625</v>
      </c>
      <c r="N53" s="14">
        <f t="shared" si="1"/>
        <v>63.8</v>
      </c>
    </row>
    <row r="54" spans="1:14">
      <c r="A54" s="4">
        <f>'INPUT DAFTAR PESERTA'!A53</f>
        <v>50</v>
      </c>
      <c r="B54" s="4">
        <f>'INPUT DAFTAR PESERTA'!B53</f>
        <v>2509076050</v>
      </c>
      <c r="C54" s="6" t="str">
        <f>'INPUT DAFTAR PESERTA'!C53</f>
        <v>Muhammad Alfin Al Hakim</v>
      </c>
      <c r="D54" s="4">
        <v>59</v>
      </c>
      <c r="E54" s="4">
        <v>68</v>
      </c>
      <c r="F54" s="4">
        <v>89</v>
      </c>
      <c r="G54" s="4">
        <v>70</v>
      </c>
      <c r="H54" s="4">
        <v>70</v>
      </c>
      <c r="I54" s="4">
        <v>32</v>
      </c>
      <c r="J54" s="4">
        <v>68</v>
      </c>
      <c r="K54" s="4">
        <v>37</v>
      </c>
      <c r="L54" s="14">
        <f t="shared" si="0"/>
        <v>61.625</v>
      </c>
      <c r="M54" s="14">
        <f>'LAPORAN RESMI'!L53</f>
        <v>63.5</v>
      </c>
      <c r="N54" s="14">
        <f t="shared" si="1"/>
        <v>62.5625</v>
      </c>
    </row>
    <row r="55" spans="1:14">
      <c r="A55" s="4">
        <f>'INPUT DAFTAR PESERTA'!A54</f>
        <v>51</v>
      </c>
      <c r="B55" s="4">
        <f>'INPUT DAFTAR PESERTA'!B54</f>
        <v>2509076051</v>
      </c>
      <c r="C55" s="6" t="str">
        <f>'INPUT DAFTAR PESERTA'!C54</f>
        <v>Naufal Kurniawan</v>
      </c>
      <c r="D55" s="4">
        <v>50</v>
      </c>
      <c r="E55" s="4">
        <v>72</v>
      </c>
      <c r="F55" s="4">
        <v>70</v>
      </c>
      <c r="G55" s="4">
        <v>71</v>
      </c>
      <c r="H55" s="4">
        <v>55</v>
      </c>
      <c r="I55" s="4">
        <v>32.5</v>
      </c>
      <c r="J55" s="4">
        <v>53</v>
      </c>
      <c r="K55" s="4">
        <v>54.5</v>
      </c>
      <c r="L55" s="14">
        <f t="shared" si="0"/>
        <v>57.25</v>
      </c>
      <c r="M55" s="14">
        <f>'LAPORAN RESMI'!L54</f>
        <v>68.375</v>
      </c>
      <c r="N55" s="14">
        <f t="shared" si="1"/>
        <v>62.8125</v>
      </c>
    </row>
    <row r="56" spans="1:14">
      <c r="A56" s="4">
        <f>'INPUT DAFTAR PESERTA'!A55</f>
        <v>52</v>
      </c>
      <c r="B56" s="4">
        <f>'INPUT DAFTAR PESERTA'!B55</f>
        <v>2509076052</v>
      </c>
      <c r="C56" s="6" t="str">
        <f>'INPUT DAFTAR PESERTA'!C55</f>
        <v>Rifky Maulana Ilham</v>
      </c>
      <c r="D56" s="4">
        <v>77</v>
      </c>
      <c r="E56" s="4">
        <v>83</v>
      </c>
      <c r="F56" s="4">
        <v>87</v>
      </c>
      <c r="G56" s="4">
        <v>96</v>
      </c>
      <c r="H56" s="4">
        <v>90</v>
      </c>
      <c r="I56" s="4">
        <v>71.900000000000006</v>
      </c>
      <c r="J56" s="4">
        <v>44</v>
      </c>
      <c r="K56" s="4">
        <v>0</v>
      </c>
      <c r="L56" s="14">
        <f t="shared" si="0"/>
        <v>68.612499999999997</v>
      </c>
      <c r="M56" s="14">
        <f>'LAPORAN RESMI'!L55</f>
        <v>86.487499999999997</v>
      </c>
      <c r="N56" s="14">
        <f t="shared" si="1"/>
        <v>77.55</v>
      </c>
    </row>
    <row r="57" spans="1:14">
      <c r="A57" s="4">
        <f>'INPUT DAFTAR PESERTA'!A56</f>
        <v>53</v>
      </c>
      <c r="B57" s="4">
        <f>'INPUT DAFTAR PESERTA'!B56</f>
        <v>2509076053</v>
      </c>
      <c r="C57" s="6" t="str">
        <f>'INPUT DAFTAR PESERTA'!C56</f>
        <v>Aditia Prayoga</v>
      </c>
      <c r="D57" s="4">
        <v>35</v>
      </c>
      <c r="E57" s="4">
        <v>69</v>
      </c>
      <c r="F57" s="4">
        <v>59</v>
      </c>
      <c r="G57" s="4">
        <v>74</v>
      </c>
      <c r="H57" s="4">
        <v>90</v>
      </c>
      <c r="I57" s="4">
        <v>0</v>
      </c>
      <c r="J57" s="4"/>
      <c r="K57" s="4">
        <v>47</v>
      </c>
      <c r="L57" s="14">
        <f t="shared" si="0"/>
        <v>46.75</v>
      </c>
      <c r="M57" s="14">
        <f>'LAPORAN RESMI'!L56</f>
        <v>64.25</v>
      </c>
      <c r="N57" s="14">
        <f t="shared" si="1"/>
        <v>55.5</v>
      </c>
    </row>
    <row r="58" spans="1:14">
      <c r="A58" s="4">
        <f>'INPUT DAFTAR PESERTA'!A57</f>
        <v>54</v>
      </c>
      <c r="B58" s="4">
        <f>'INPUT DAFTAR PESERTA'!B57</f>
        <v>2509076054</v>
      </c>
      <c r="C58" s="6" t="str">
        <f>'INPUT DAFTAR PESERTA'!C57</f>
        <v>Muhammad Andi Faris De'mozart</v>
      </c>
      <c r="D58" s="4">
        <v>23</v>
      </c>
      <c r="E58" s="4">
        <v>61</v>
      </c>
      <c r="F58" s="4">
        <v>87</v>
      </c>
      <c r="G58" s="4">
        <v>95</v>
      </c>
      <c r="H58" s="4">
        <v>95</v>
      </c>
      <c r="I58" s="4">
        <v>0</v>
      </c>
      <c r="J58" s="4">
        <v>45</v>
      </c>
      <c r="K58" s="4">
        <v>25</v>
      </c>
      <c r="L58" s="14">
        <f t="shared" si="0"/>
        <v>53.875</v>
      </c>
      <c r="M58" s="14">
        <f>'LAPORAN RESMI'!L57</f>
        <v>66.75</v>
      </c>
      <c r="N58" s="14">
        <f t="shared" si="1"/>
        <v>60.3125</v>
      </c>
    </row>
    <row r="59" spans="1:14">
      <c r="A59" s="4">
        <f>'INPUT DAFTAR PESERTA'!A58</f>
        <v>55</v>
      </c>
      <c r="B59" s="4">
        <f>'INPUT DAFTAR PESERTA'!B58</f>
        <v>2509076055</v>
      </c>
      <c r="C59" s="6" t="str">
        <f>'INPUT DAFTAR PESERTA'!C58</f>
        <v>Faiq Ramadhan Firdaus</v>
      </c>
      <c r="D59" s="4">
        <v>59</v>
      </c>
      <c r="E59" s="4">
        <v>34</v>
      </c>
      <c r="F59" s="4">
        <v>33</v>
      </c>
      <c r="G59" s="4">
        <v>0</v>
      </c>
      <c r="H59" s="4">
        <v>73</v>
      </c>
      <c r="I59" s="4">
        <v>40</v>
      </c>
      <c r="J59" s="4">
        <v>29</v>
      </c>
      <c r="K59" s="4">
        <v>35</v>
      </c>
      <c r="L59" s="14">
        <f t="shared" si="0"/>
        <v>37.875</v>
      </c>
      <c r="M59" s="14">
        <f>'LAPORAN RESMI'!L58</f>
        <v>0</v>
      </c>
      <c r="N59" s="14">
        <f t="shared" si="1"/>
        <v>18.9375</v>
      </c>
    </row>
    <row r="60" spans="1:14">
      <c r="A60" s="4">
        <f>'INPUT DAFTAR PESERTA'!A59</f>
        <v>56</v>
      </c>
      <c r="B60" s="4">
        <f>'INPUT DAFTAR PESERTA'!B59</f>
        <v>2509076056</v>
      </c>
      <c r="C60" s="6" t="str">
        <f>'INPUT DAFTAR PESERTA'!C59</f>
        <v>Fachry Nazrul Ramadhan</v>
      </c>
      <c r="D60" s="4">
        <v>82</v>
      </c>
      <c r="E60" s="4">
        <v>87</v>
      </c>
      <c r="F60" s="4">
        <v>82</v>
      </c>
      <c r="G60" s="4">
        <v>91</v>
      </c>
      <c r="H60" s="4">
        <v>90</v>
      </c>
      <c r="I60" s="4">
        <v>50.5</v>
      </c>
      <c r="J60" s="4">
        <v>30</v>
      </c>
      <c r="K60" s="4">
        <v>59</v>
      </c>
      <c r="L60" s="14">
        <f t="shared" si="0"/>
        <v>71.4375</v>
      </c>
      <c r="M60" s="14">
        <f>'LAPORAN RESMI'!L59</f>
        <v>87.625</v>
      </c>
      <c r="N60" s="14">
        <f t="shared" si="1"/>
        <v>79.53125</v>
      </c>
    </row>
    <row r="61" spans="1:14">
      <c r="A61" s="4">
        <f>'INPUT DAFTAR PESERTA'!A60</f>
        <v>57</v>
      </c>
      <c r="B61" s="4">
        <f>'INPUT DAFTAR PESERTA'!B60</f>
        <v>2509076057</v>
      </c>
      <c r="C61" s="6" t="str">
        <f>'INPUT DAFTAR PESERTA'!C60</f>
        <v>Bagas Sudidi</v>
      </c>
      <c r="D61" s="4">
        <v>33</v>
      </c>
      <c r="E61" s="4">
        <v>0</v>
      </c>
      <c r="F61" s="4">
        <v>41</v>
      </c>
      <c r="G61" s="4">
        <v>57</v>
      </c>
      <c r="H61" s="4">
        <v>68</v>
      </c>
      <c r="I61" s="4">
        <v>34</v>
      </c>
      <c r="J61" s="4">
        <v>57</v>
      </c>
      <c r="K61" s="4">
        <v>57</v>
      </c>
      <c r="L61" s="14">
        <f t="shared" si="0"/>
        <v>43.375</v>
      </c>
      <c r="M61" s="14">
        <f>'LAPORAN RESMI'!L60</f>
        <v>57.875</v>
      </c>
      <c r="N61" s="14">
        <f t="shared" si="1"/>
        <v>50.625</v>
      </c>
    </row>
    <row r="62" spans="1:14">
      <c r="A62" s="4">
        <f>'INPUT DAFTAR PESERTA'!A61</f>
        <v>58</v>
      </c>
      <c r="B62" s="4">
        <f>'INPUT DAFTAR PESERTA'!B61</f>
        <v>2509106133</v>
      </c>
      <c r="C62" s="6" t="str">
        <f>'INPUT DAFTAR PESERTA'!C61</f>
        <v>Ridho Putra Darma</v>
      </c>
      <c r="D62" s="4">
        <v>30</v>
      </c>
      <c r="E62" s="4">
        <v>0</v>
      </c>
      <c r="F62" s="4"/>
      <c r="G62" s="4">
        <v>27</v>
      </c>
      <c r="H62" s="4">
        <v>31</v>
      </c>
      <c r="I62" s="4">
        <v>0</v>
      </c>
      <c r="J62" s="4"/>
      <c r="K62" s="4">
        <v>38</v>
      </c>
      <c r="L62" s="14">
        <f t="shared" si="0"/>
        <v>15.75</v>
      </c>
      <c r="M62" s="14">
        <f>'LAPORAN RESMI'!L61</f>
        <v>0</v>
      </c>
      <c r="N62" s="14">
        <f t="shared" si="1"/>
        <v>7.875</v>
      </c>
    </row>
    <row r="63" spans="1:14">
      <c r="A63" s="4">
        <f>'INPUT DAFTAR PESERTA'!A62</f>
        <v>59</v>
      </c>
      <c r="B63" s="4">
        <f>'INPUT DAFTAR PESERTA'!B62</f>
        <v>2509106134</v>
      </c>
      <c r="C63" s="6" t="str">
        <f>'INPUT DAFTAR PESERTA'!C62</f>
        <v>Syarif Hidayat</v>
      </c>
      <c r="D63" s="4">
        <v>30</v>
      </c>
      <c r="E63" s="4">
        <v>0</v>
      </c>
      <c r="F63" s="4"/>
      <c r="G63" s="4">
        <v>0</v>
      </c>
      <c r="H63" s="4">
        <v>32</v>
      </c>
      <c r="I63" s="4">
        <v>0</v>
      </c>
      <c r="J63" s="4"/>
      <c r="K63" s="4">
        <v>51</v>
      </c>
      <c r="L63" s="14">
        <f t="shared" si="0"/>
        <v>14.125</v>
      </c>
      <c r="M63" s="14">
        <f>'LAPORAN RESMI'!L62</f>
        <v>0</v>
      </c>
      <c r="N63" s="14">
        <f t="shared" si="1"/>
        <v>7.0625</v>
      </c>
    </row>
    <row r="64" spans="1:14">
      <c r="A64" s="4">
        <f>'INPUT DAFTAR PESERTA'!A63</f>
        <v>60</v>
      </c>
      <c r="B64" s="4">
        <f>'INPUT DAFTAR PESERTA'!B63</f>
        <v>2509106135</v>
      </c>
      <c r="C64" s="6" t="str">
        <f>'INPUT DAFTAR PESERTA'!C63</f>
        <v>Muhammad Dzaky Syachraini</v>
      </c>
      <c r="D64" s="4">
        <v>30</v>
      </c>
      <c r="E64" s="4">
        <v>0</v>
      </c>
      <c r="F64" s="4"/>
      <c r="G64" s="4">
        <v>0</v>
      </c>
      <c r="H64" s="4">
        <v>41</v>
      </c>
      <c r="I64" s="4">
        <v>0</v>
      </c>
      <c r="J64" s="4"/>
      <c r="K64" s="4">
        <v>51</v>
      </c>
      <c r="L64" s="14">
        <f t="shared" si="0"/>
        <v>15.25</v>
      </c>
      <c r="M64" s="14">
        <f>'LAPORAN RESMI'!L63</f>
        <v>0</v>
      </c>
      <c r="N64" s="14">
        <f t="shared" si="1"/>
        <v>7.625</v>
      </c>
    </row>
    <row r="80" spans="1:14">
      <c r="A80" s="11"/>
      <c r="B80" s="11"/>
      <c r="C80" s="8"/>
      <c r="D80" s="3"/>
      <c r="E80" s="3"/>
      <c r="F80" s="3"/>
      <c r="G80" s="3"/>
      <c r="H80" s="3"/>
      <c r="I80" s="3"/>
      <c r="J80" s="3"/>
      <c r="K80" s="3"/>
      <c r="L80" s="27"/>
      <c r="M80" s="27"/>
      <c r="N80" s="27"/>
    </row>
    <row r="81" spans="1:14">
      <c r="A81" s="11"/>
      <c r="B81" s="11"/>
      <c r="C81" s="8"/>
      <c r="D81" s="3"/>
      <c r="E81" s="3"/>
      <c r="F81" s="3"/>
      <c r="G81" s="3"/>
      <c r="H81" s="3"/>
      <c r="I81" s="3"/>
      <c r="J81" s="3"/>
      <c r="K81" s="3"/>
      <c r="L81" s="27"/>
      <c r="M81" s="27"/>
      <c r="N81" s="27"/>
    </row>
    <row r="82" spans="1:14">
      <c r="A82" s="11"/>
      <c r="B82" s="11"/>
      <c r="C82" s="8"/>
      <c r="D82" s="3"/>
      <c r="E82" s="3"/>
      <c r="F82" s="3"/>
      <c r="G82" s="3"/>
      <c r="H82" s="3"/>
      <c r="I82" s="3"/>
      <c r="J82" s="3"/>
      <c r="K82" s="3"/>
      <c r="L82" s="27"/>
      <c r="M82" s="27"/>
      <c r="N82" s="27"/>
    </row>
    <row r="83" spans="1:14">
      <c r="A83" s="11"/>
      <c r="B83" s="11"/>
      <c r="C83" s="8"/>
      <c r="D83" s="3"/>
      <c r="E83" s="3"/>
      <c r="F83" s="3"/>
      <c r="G83" s="3"/>
      <c r="H83" s="3"/>
      <c r="I83" s="3"/>
      <c r="J83" s="3"/>
      <c r="K83" s="3"/>
      <c r="L83" s="27"/>
      <c r="M83" s="27"/>
      <c r="N83" s="27"/>
    </row>
    <row r="84" spans="1:14">
      <c r="A84" s="11"/>
      <c r="B84" s="11"/>
      <c r="C84" s="8"/>
      <c r="D84" s="3"/>
      <c r="E84" s="3"/>
      <c r="F84" s="3"/>
      <c r="G84" s="3"/>
      <c r="H84" s="3"/>
      <c r="I84" s="3"/>
      <c r="J84" s="3"/>
      <c r="K84" s="3"/>
      <c r="L84" s="27"/>
      <c r="M84" s="27"/>
      <c r="N84" s="27"/>
    </row>
    <row r="85" spans="1:14">
      <c r="A85" s="11"/>
      <c r="B85" s="11"/>
      <c r="C85" s="8"/>
      <c r="D85" s="3"/>
      <c r="E85" s="3"/>
      <c r="F85" s="3"/>
      <c r="G85" s="3"/>
      <c r="H85" s="3"/>
      <c r="I85" s="3"/>
      <c r="J85" s="3"/>
      <c r="K85" s="3"/>
      <c r="L85" s="27"/>
      <c r="M85" s="27"/>
      <c r="N85" s="27"/>
    </row>
    <row r="86" spans="1:14">
      <c r="A86" s="11"/>
      <c r="B86" s="11"/>
      <c r="C86" s="8"/>
      <c r="D86" s="3"/>
      <c r="E86" s="3"/>
      <c r="F86" s="3"/>
      <c r="G86" s="3"/>
      <c r="H86" s="3"/>
      <c r="I86" s="3"/>
      <c r="J86" s="3"/>
      <c r="K86" s="3"/>
      <c r="L86" s="27"/>
      <c r="M86" s="27"/>
      <c r="N86" s="27"/>
    </row>
    <row r="87" spans="1:14">
      <c r="A87" s="11"/>
      <c r="B87" s="11"/>
      <c r="C87" s="8"/>
      <c r="D87" s="3"/>
      <c r="E87" s="3"/>
      <c r="F87" s="3"/>
      <c r="G87" s="3"/>
      <c r="H87" s="3"/>
      <c r="I87" s="3"/>
      <c r="J87" s="3"/>
      <c r="K87" s="3"/>
      <c r="L87" s="27"/>
      <c r="M87" s="27"/>
      <c r="N87" s="27"/>
    </row>
    <row r="88" spans="1:14">
      <c r="A88" s="11"/>
      <c r="B88" s="11"/>
      <c r="C88" s="8"/>
      <c r="D88" s="3"/>
      <c r="E88" s="3"/>
      <c r="F88" s="3"/>
      <c r="G88" s="3"/>
      <c r="H88" s="3"/>
      <c r="I88" s="3"/>
      <c r="J88" s="3"/>
      <c r="K88" s="3"/>
      <c r="L88" s="27"/>
      <c r="M88" s="27"/>
      <c r="N88" s="27"/>
    </row>
    <row r="89" spans="1:14">
      <c r="A89" s="11"/>
      <c r="B89" s="11"/>
      <c r="C89" s="8"/>
      <c r="D89" s="3"/>
      <c r="E89" s="3"/>
      <c r="F89" s="3"/>
      <c r="G89" s="3"/>
      <c r="H89" s="3"/>
      <c r="I89" s="3"/>
      <c r="J89" s="3"/>
      <c r="K89" s="3"/>
      <c r="L89" s="27"/>
      <c r="M89" s="27"/>
      <c r="N89" s="27"/>
    </row>
    <row r="90" spans="1:14">
      <c r="A90" s="11"/>
      <c r="B90" s="11"/>
      <c r="C90" s="8"/>
      <c r="D90" s="3"/>
      <c r="E90" s="3"/>
      <c r="F90" s="3"/>
      <c r="G90" s="3"/>
      <c r="H90" s="3"/>
      <c r="I90" s="3"/>
      <c r="J90" s="3"/>
      <c r="K90" s="3"/>
      <c r="L90" s="27"/>
      <c r="M90" s="27"/>
      <c r="N90" s="27"/>
    </row>
    <row r="91" spans="1:14">
      <c r="A91" s="11"/>
      <c r="B91" s="11"/>
      <c r="C91" s="8"/>
      <c r="D91" s="3"/>
      <c r="E91" s="3"/>
      <c r="F91" s="3"/>
      <c r="G91" s="3"/>
      <c r="H91" s="3"/>
      <c r="I91" s="3"/>
      <c r="J91" s="3"/>
      <c r="K91" s="3"/>
      <c r="L91" s="27"/>
      <c r="M91" s="27"/>
      <c r="N91" s="27"/>
    </row>
    <row r="92" spans="1:14">
      <c r="A92" s="11"/>
      <c r="B92" s="11"/>
      <c r="C92" s="8"/>
      <c r="D92" s="3"/>
      <c r="E92" s="3"/>
      <c r="F92" s="3"/>
      <c r="G92" s="3"/>
      <c r="H92" s="3"/>
      <c r="I92" s="3"/>
      <c r="J92" s="3"/>
      <c r="K92" s="3"/>
      <c r="L92" s="27"/>
      <c r="M92" s="27"/>
      <c r="N92" s="27"/>
    </row>
    <row r="93" spans="1:14">
      <c r="A93" s="11"/>
      <c r="B93" s="11"/>
      <c r="C93" s="8"/>
      <c r="D93" s="3"/>
      <c r="E93" s="3"/>
      <c r="F93" s="3"/>
      <c r="G93" s="3"/>
      <c r="H93" s="3"/>
      <c r="I93" s="3"/>
      <c r="J93" s="3"/>
      <c r="K93" s="3"/>
      <c r="L93" s="27"/>
      <c r="M93" s="27"/>
      <c r="N93" s="27"/>
    </row>
    <row r="94" spans="1:14">
      <c r="A94" s="11"/>
      <c r="B94" s="11"/>
      <c r="C94" s="8"/>
      <c r="D94" s="3"/>
      <c r="E94" s="3"/>
      <c r="F94" s="3"/>
      <c r="G94" s="3"/>
      <c r="H94" s="3"/>
      <c r="I94" s="3"/>
      <c r="J94" s="3"/>
      <c r="K94" s="3"/>
      <c r="L94" s="27"/>
      <c r="M94" s="27"/>
      <c r="N94" s="27"/>
    </row>
    <row r="95" spans="1:14">
      <c r="A95" s="11"/>
      <c r="B95" s="11"/>
      <c r="C95" s="8"/>
      <c r="D95" s="3"/>
      <c r="E95" s="3"/>
      <c r="F95" s="3"/>
      <c r="G95" s="3"/>
      <c r="H95" s="3"/>
      <c r="I95" s="3"/>
      <c r="J95" s="3"/>
      <c r="K95" s="3"/>
      <c r="L95" s="27"/>
      <c r="M95" s="27"/>
      <c r="N95" s="27"/>
    </row>
    <row r="96" spans="1:14">
      <c r="A96" s="11"/>
      <c r="B96" s="11"/>
      <c r="C96" s="8"/>
      <c r="D96" s="3"/>
      <c r="E96" s="3"/>
      <c r="F96" s="3"/>
      <c r="G96" s="3"/>
      <c r="H96" s="3"/>
      <c r="I96" s="3"/>
      <c r="J96" s="3"/>
      <c r="K96" s="3"/>
      <c r="L96" s="27"/>
      <c r="M96" s="27"/>
      <c r="N96" s="27"/>
    </row>
    <row r="97" spans="1:14">
      <c r="A97" s="11"/>
      <c r="B97" s="11"/>
      <c r="C97" s="8"/>
      <c r="D97" s="3"/>
      <c r="E97" s="3"/>
      <c r="F97" s="3"/>
      <c r="G97" s="3"/>
      <c r="H97" s="3"/>
      <c r="I97" s="3"/>
      <c r="J97" s="3"/>
      <c r="K97" s="3"/>
      <c r="L97" s="27"/>
      <c r="M97" s="27"/>
      <c r="N97" s="27"/>
    </row>
    <row r="98" spans="1:14">
      <c r="A98" s="11"/>
      <c r="B98" s="11"/>
      <c r="C98" s="8"/>
      <c r="D98" s="3"/>
      <c r="E98" s="3"/>
      <c r="F98" s="3"/>
      <c r="G98" s="3"/>
      <c r="H98" s="3"/>
      <c r="I98" s="3"/>
      <c r="J98" s="3"/>
      <c r="K98" s="3"/>
      <c r="L98" s="27"/>
      <c r="M98" s="27"/>
      <c r="N98" s="27"/>
    </row>
  </sheetData>
  <mergeCells count="5">
    <mergeCell ref="A3:A4"/>
    <mergeCell ref="B3:B4"/>
    <mergeCell ref="C3:C4"/>
    <mergeCell ref="D3:K3"/>
    <mergeCell ref="N3:N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Q1000"/>
  <sheetViews>
    <sheetView tabSelected="1" workbookViewId="0">
      <pane xSplit="3" ySplit="5" topLeftCell="E6" activePane="bottomRight" state="frozen"/>
      <selection pane="topRight" activeCell="D1" sqref="D1"/>
      <selection pane="bottomLeft" activeCell="A6" sqref="A6"/>
      <selection pane="bottomRight" activeCell="H6" sqref="H6"/>
    </sheetView>
  </sheetViews>
  <sheetFormatPr defaultColWidth="12.6640625" defaultRowHeight="15.75" customHeight="1"/>
  <cols>
    <col min="1" max="1" width="4.77734375" customWidth="1"/>
    <col min="3" max="3" width="34.21875" customWidth="1"/>
    <col min="4" max="43" width="5.88671875" customWidth="1"/>
  </cols>
  <sheetData>
    <row r="1" spans="1:43">
      <c r="A1" s="11" t="s">
        <v>96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>
      <c r="A3" s="46" t="s">
        <v>1</v>
      </c>
      <c r="B3" s="46" t="s">
        <v>2</v>
      </c>
      <c r="C3" s="46" t="s">
        <v>3</v>
      </c>
      <c r="D3" s="48" t="s">
        <v>85</v>
      </c>
      <c r="E3" s="49"/>
      <c r="F3" s="49"/>
      <c r="G3" s="49"/>
      <c r="H3" s="50"/>
      <c r="I3" s="48" t="s">
        <v>86</v>
      </c>
      <c r="J3" s="49"/>
      <c r="K3" s="49"/>
      <c r="L3" s="49"/>
      <c r="M3" s="50"/>
      <c r="N3" s="48" t="s">
        <v>87</v>
      </c>
      <c r="O3" s="49"/>
      <c r="P3" s="49"/>
      <c r="Q3" s="49"/>
      <c r="R3" s="50"/>
      <c r="S3" s="48" t="s">
        <v>88</v>
      </c>
      <c r="T3" s="49"/>
      <c r="U3" s="49"/>
      <c r="V3" s="49"/>
      <c r="W3" s="50"/>
      <c r="X3" s="48" t="s">
        <v>89</v>
      </c>
      <c r="Y3" s="49"/>
      <c r="Z3" s="49"/>
      <c r="AA3" s="49"/>
      <c r="AB3" s="50"/>
      <c r="AC3" s="48" t="s">
        <v>90</v>
      </c>
      <c r="AD3" s="49"/>
      <c r="AE3" s="49"/>
      <c r="AF3" s="49"/>
      <c r="AG3" s="50"/>
      <c r="AH3" s="48" t="s">
        <v>91</v>
      </c>
      <c r="AI3" s="49"/>
      <c r="AJ3" s="49"/>
      <c r="AK3" s="49"/>
      <c r="AL3" s="50"/>
      <c r="AM3" s="48" t="s">
        <v>92</v>
      </c>
      <c r="AN3" s="49"/>
      <c r="AO3" s="49"/>
      <c r="AP3" s="49"/>
      <c r="AQ3" s="50"/>
    </row>
    <row r="4" spans="1:43">
      <c r="A4" s="52"/>
      <c r="B4" s="52"/>
      <c r="C4" s="52"/>
      <c r="D4" s="2" t="s">
        <v>97</v>
      </c>
      <c r="E4" s="2" t="s">
        <v>98</v>
      </c>
      <c r="F4" s="2" t="s">
        <v>99</v>
      </c>
      <c r="G4" s="2" t="s">
        <v>100</v>
      </c>
      <c r="H4" s="2" t="s">
        <v>101</v>
      </c>
      <c r="I4" s="2" t="s">
        <v>97</v>
      </c>
      <c r="J4" s="2" t="s">
        <v>98</v>
      </c>
      <c r="K4" s="2" t="s">
        <v>99</v>
      </c>
      <c r="L4" s="2" t="s">
        <v>100</v>
      </c>
      <c r="M4" s="2" t="s">
        <v>101</v>
      </c>
      <c r="N4" s="2" t="s">
        <v>97</v>
      </c>
      <c r="O4" s="2" t="s">
        <v>98</v>
      </c>
      <c r="P4" s="2" t="s">
        <v>99</v>
      </c>
      <c r="Q4" s="2" t="s">
        <v>100</v>
      </c>
      <c r="R4" s="2" t="s">
        <v>101</v>
      </c>
      <c r="S4" s="2" t="s">
        <v>97</v>
      </c>
      <c r="T4" s="2" t="s">
        <v>98</v>
      </c>
      <c r="U4" s="2" t="s">
        <v>99</v>
      </c>
      <c r="V4" s="2" t="s">
        <v>100</v>
      </c>
      <c r="W4" s="2" t="s">
        <v>101</v>
      </c>
      <c r="X4" s="2" t="s">
        <v>97</v>
      </c>
      <c r="Y4" s="2" t="s">
        <v>98</v>
      </c>
      <c r="Z4" s="2" t="s">
        <v>99</v>
      </c>
      <c r="AA4" s="2" t="s">
        <v>100</v>
      </c>
      <c r="AB4" s="2" t="s">
        <v>101</v>
      </c>
      <c r="AC4" s="2" t="s">
        <v>97</v>
      </c>
      <c r="AD4" s="2" t="s">
        <v>98</v>
      </c>
      <c r="AE4" s="2" t="s">
        <v>99</v>
      </c>
      <c r="AF4" s="2" t="s">
        <v>100</v>
      </c>
      <c r="AG4" s="2" t="s">
        <v>101</v>
      </c>
      <c r="AH4" s="2" t="s">
        <v>97</v>
      </c>
      <c r="AI4" s="2" t="s">
        <v>98</v>
      </c>
      <c r="AJ4" s="2" t="s">
        <v>99</v>
      </c>
      <c r="AK4" s="2" t="s">
        <v>100</v>
      </c>
      <c r="AL4" s="2" t="s">
        <v>101</v>
      </c>
      <c r="AM4" s="2" t="s">
        <v>97</v>
      </c>
      <c r="AN4" s="2" t="s">
        <v>98</v>
      </c>
      <c r="AO4" s="2" t="s">
        <v>99</v>
      </c>
      <c r="AP4" s="2" t="s">
        <v>100</v>
      </c>
      <c r="AQ4" s="2" t="s">
        <v>101</v>
      </c>
    </row>
    <row r="5" spans="1:43">
      <c r="A5" s="47"/>
      <c r="B5" s="47"/>
      <c r="C5" s="47"/>
      <c r="D5" s="28">
        <v>0.1</v>
      </c>
      <c r="E5" s="28">
        <v>0.2</v>
      </c>
      <c r="F5" s="28">
        <v>0.2</v>
      </c>
      <c r="G5" s="28">
        <v>0.5</v>
      </c>
      <c r="H5" s="28">
        <v>1</v>
      </c>
      <c r="I5" s="28">
        <v>0.1</v>
      </c>
      <c r="J5" s="28">
        <v>0.2</v>
      </c>
      <c r="K5" s="28">
        <v>0.2</v>
      </c>
      <c r="L5" s="28">
        <v>0.5</v>
      </c>
      <c r="M5" s="28">
        <v>1</v>
      </c>
      <c r="N5" s="28">
        <v>0.1</v>
      </c>
      <c r="O5" s="28">
        <v>0.2</v>
      </c>
      <c r="P5" s="28">
        <v>0.2</v>
      </c>
      <c r="Q5" s="28">
        <v>0.5</v>
      </c>
      <c r="R5" s="28">
        <v>1</v>
      </c>
      <c r="S5" s="28">
        <v>0.1</v>
      </c>
      <c r="T5" s="28">
        <v>0.2</v>
      </c>
      <c r="U5" s="28">
        <v>0.2</v>
      </c>
      <c r="V5" s="28">
        <v>0.5</v>
      </c>
      <c r="W5" s="28">
        <v>1</v>
      </c>
      <c r="X5" s="28">
        <v>0.1</v>
      </c>
      <c r="Y5" s="28">
        <v>0.2</v>
      </c>
      <c r="Z5" s="28">
        <v>0.2</v>
      </c>
      <c r="AA5" s="28">
        <v>0.5</v>
      </c>
      <c r="AB5" s="28">
        <v>1</v>
      </c>
      <c r="AC5" s="28">
        <v>0.1</v>
      </c>
      <c r="AD5" s="28">
        <v>0.2</v>
      </c>
      <c r="AE5" s="28">
        <v>0.2</v>
      </c>
      <c r="AF5" s="28">
        <v>0.5</v>
      </c>
      <c r="AG5" s="28">
        <v>1</v>
      </c>
      <c r="AH5" s="28">
        <v>0.1</v>
      </c>
      <c r="AI5" s="28">
        <v>0.2</v>
      </c>
      <c r="AJ5" s="28">
        <v>0.2</v>
      </c>
      <c r="AK5" s="28">
        <v>0.5</v>
      </c>
      <c r="AL5" s="28">
        <v>1</v>
      </c>
      <c r="AM5" s="28">
        <v>0.1</v>
      </c>
      <c r="AN5" s="28">
        <v>0.2</v>
      </c>
      <c r="AO5" s="28">
        <v>0.2</v>
      </c>
      <c r="AP5" s="28">
        <v>0.5</v>
      </c>
      <c r="AQ5" s="28">
        <v>1</v>
      </c>
    </row>
    <row r="6" spans="1:43">
      <c r="A6" s="4">
        <f>'INPUT DAFTAR PESERTA'!A4</f>
        <v>1</v>
      </c>
      <c r="B6" s="4">
        <f>'INPUT DAFTAR PESERTA'!B4</f>
        <v>2209076028</v>
      </c>
      <c r="C6" s="6" t="str">
        <f>'INPUT DAFTAR PESERTA'!C4</f>
        <v>Mirza Syihabudin Almas</v>
      </c>
      <c r="D6" s="4">
        <v>2</v>
      </c>
      <c r="E6" s="4">
        <v>3</v>
      </c>
      <c r="F6" s="4">
        <v>3</v>
      </c>
      <c r="G6" s="4">
        <v>1</v>
      </c>
      <c r="H6" s="29">
        <f t="shared" ref="H6:H65" si="0">((D6*$D$5/3)+(E6*$E$5/3)+(F6*$F$5/3)+(G6*$G$5/3))*90</f>
        <v>57.000000000000007</v>
      </c>
      <c r="I6" s="4">
        <v>3</v>
      </c>
      <c r="J6" s="4">
        <v>3</v>
      </c>
      <c r="K6" s="4">
        <v>3</v>
      </c>
      <c r="L6" s="4">
        <v>2</v>
      </c>
      <c r="M6" s="29">
        <f>((I6*$D$5/3)+(J6*$E$5/3)+(K6*$F$5/3)+(L6*$G$5/3))*90</f>
        <v>75.000000000000014</v>
      </c>
      <c r="N6" s="4">
        <v>3</v>
      </c>
      <c r="O6" s="4">
        <v>3</v>
      </c>
      <c r="P6" s="4">
        <v>3</v>
      </c>
      <c r="Q6" s="4">
        <v>1</v>
      </c>
      <c r="R6" s="29">
        <f t="shared" ref="R6:R65" si="1">((N6*$D$5/3)+(O6*$E$5/3)+(P6*$F$5/3)+(Q6*$G$5/3))*90</f>
        <v>60.000000000000007</v>
      </c>
      <c r="S6" s="4">
        <v>3</v>
      </c>
      <c r="T6" s="4">
        <v>3</v>
      </c>
      <c r="U6" s="4">
        <v>3</v>
      </c>
      <c r="V6" s="4">
        <v>2</v>
      </c>
      <c r="W6" s="29">
        <f>((S6*$D$5/3)+(T6*$E$5/3)+(U6*$F$5/3)+(V6*$G$5/3))*90</f>
        <v>75.000000000000014</v>
      </c>
      <c r="X6" s="4">
        <v>3</v>
      </c>
      <c r="Y6" s="4">
        <v>2</v>
      </c>
      <c r="Z6" s="4">
        <v>3</v>
      </c>
      <c r="AA6" s="4">
        <v>2</v>
      </c>
      <c r="AB6" s="29">
        <f t="shared" ref="AB6:AB65" si="2">((X6*$D$5/3)+(Y6*$E$5/3)+(Z6*$F$5/3)+(AA6*$G$5/3))*90</f>
        <v>69</v>
      </c>
      <c r="AC6" s="4">
        <v>2</v>
      </c>
      <c r="AD6" s="4">
        <v>2</v>
      </c>
      <c r="AE6" s="4">
        <v>2</v>
      </c>
      <c r="AF6" s="4">
        <v>1</v>
      </c>
      <c r="AG6" s="29">
        <f t="shared" ref="AG6:AG65" si="3">((AC6*$D$5/3)+(AD6*$E$5/3)+(AE6*$F$5/3)+(AF6*$G$5/3))*90</f>
        <v>45</v>
      </c>
      <c r="AH6" s="4">
        <v>2</v>
      </c>
      <c r="AI6" s="4">
        <v>3</v>
      </c>
      <c r="AJ6" s="4">
        <v>3</v>
      </c>
      <c r="AK6" s="4">
        <v>1.5</v>
      </c>
      <c r="AL6" s="29">
        <f t="shared" ref="AL6:AL65" si="4">((AH6*$D$5/3)+(AI6*$E$5/3)+(AJ6*$F$5/3)+(AK6*$G$5/3))*90</f>
        <v>64.500000000000014</v>
      </c>
      <c r="AM6" s="4">
        <v>2</v>
      </c>
      <c r="AN6" s="4">
        <v>3</v>
      </c>
      <c r="AO6" s="4">
        <v>3</v>
      </c>
      <c r="AP6" s="4">
        <v>1</v>
      </c>
      <c r="AQ6" s="29">
        <f t="shared" ref="AQ6:AQ65" si="5">((AM6*$D$5/3)+(AN6*$E$5/3)+(AO6*$F$5/3)+(AP6*$G$5/3))*90</f>
        <v>57.000000000000007</v>
      </c>
    </row>
    <row r="7" spans="1:43">
      <c r="A7" s="4">
        <f>'INPUT DAFTAR PESERTA'!A5</f>
        <v>2</v>
      </c>
      <c r="B7" s="4">
        <f>'INPUT DAFTAR PESERTA'!B5</f>
        <v>2509076001</v>
      </c>
      <c r="C7" s="6" t="str">
        <f>'INPUT DAFTAR PESERTA'!C5</f>
        <v>Mohammad Ali Murtadlo</v>
      </c>
      <c r="D7" s="4">
        <v>3</v>
      </c>
      <c r="E7" s="4">
        <v>3</v>
      </c>
      <c r="F7" s="4">
        <v>3</v>
      </c>
      <c r="G7" s="4">
        <v>2</v>
      </c>
      <c r="H7" s="29">
        <f t="shared" si="0"/>
        <v>75.000000000000014</v>
      </c>
      <c r="I7" s="4">
        <v>3</v>
      </c>
      <c r="J7" s="4">
        <v>3</v>
      </c>
      <c r="K7" s="4">
        <v>3</v>
      </c>
      <c r="L7" s="4">
        <v>1</v>
      </c>
      <c r="M7" s="29">
        <f t="shared" ref="M6:M65" si="6">((I7*$D$5/3)+(J7*$E$5/3)+(K7*$F$5/3)+(L7*$G$5/3))*90</f>
        <v>60.000000000000007</v>
      </c>
      <c r="N7" s="4">
        <v>2</v>
      </c>
      <c r="O7" s="4">
        <v>3</v>
      </c>
      <c r="P7" s="4">
        <v>3</v>
      </c>
      <c r="Q7" s="4">
        <v>1</v>
      </c>
      <c r="R7" s="29">
        <f t="shared" si="1"/>
        <v>57.000000000000007</v>
      </c>
      <c r="S7" s="4">
        <v>2</v>
      </c>
      <c r="T7" s="4">
        <v>3</v>
      </c>
      <c r="U7" s="4">
        <v>3</v>
      </c>
      <c r="V7" s="4">
        <v>1</v>
      </c>
      <c r="W7" s="29">
        <f t="shared" ref="W6:W65" si="7">((S7*$D$5/3)+(T7*$E$5/3)+(U7*$F$5/3)+(V7*$G$5/3))*90</f>
        <v>57.000000000000007</v>
      </c>
      <c r="X7" s="4">
        <v>2</v>
      </c>
      <c r="Y7" s="4">
        <v>2</v>
      </c>
      <c r="Z7" s="4">
        <v>2</v>
      </c>
      <c r="AA7" s="4">
        <v>3</v>
      </c>
      <c r="AB7" s="29">
        <f t="shared" si="2"/>
        <v>75</v>
      </c>
      <c r="AC7" s="4">
        <v>2</v>
      </c>
      <c r="AD7" s="4">
        <v>2</v>
      </c>
      <c r="AE7" s="4">
        <v>2</v>
      </c>
      <c r="AF7" s="4">
        <v>1</v>
      </c>
      <c r="AG7" s="29">
        <f t="shared" si="3"/>
        <v>45</v>
      </c>
      <c r="AH7" s="4">
        <v>2</v>
      </c>
      <c r="AI7" s="4">
        <v>3</v>
      </c>
      <c r="AJ7" s="4">
        <v>3</v>
      </c>
      <c r="AK7" s="4">
        <v>3</v>
      </c>
      <c r="AL7" s="29">
        <f t="shared" si="4"/>
        <v>87.000000000000014</v>
      </c>
      <c r="AM7" s="4">
        <v>2</v>
      </c>
      <c r="AN7" s="4">
        <v>3</v>
      </c>
      <c r="AO7" s="4">
        <v>3</v>
      </c>
      <c r="AP7" s="4">
        <v>2</v>
      </c>
      <c r="AQ7" s="29">
        <f t="shared" si="5"/>
        <v>72</v>
      </c>
    </row>
    <row r="8" spans="1:43">
      <c r="A8" s="4">
        <f>'INPUT DAFTAR PESERTA'!A6</f>
        <v>3</v>
      </c>
      <c r="B8" s="4">
        <f>'INPUT DAFTAR PESERTA'!B6</f>
        <v>2509076002</v>
      </c>
      <c r="C8" s="6" t="str">
        <f>'INPUT DAFTAR PESERTA'!C6</f>
        <v>Muhammad Zahid Sabil</v>
      </c>
      <c r="D8" s="4">
        <v>3</v>
      </c>
      <c r="E8" s="4">
        <v>3</v>
      </c>
      <c r="F8" s="4">
        <v>3</v>
      </c>
      <c r="G8" s="4">
        <v>2</v>
      </c>
      <c r="H8" s="29">
        <f t="shared" si="0"/>
        <v>75.000000000000014</v>
      </c>
      <c r="I8" s="4">
        <v>3</v>
      </c>
      <c r="J8" s="4">
        <v>3</v>
      </c>
      <c r="K8" s="4">
        <v>3</v>
      </c>
      <c r="L8" s="4">
        <v>2</v>
      </c>
      <c r="M8" s="29">
        <f t="shared" si="6"/>
        <v>75.000000000000014</v>
      </c>
      <c r="N8" s="4">
        <v>2</v>
      </c>
      <c r="O8" s="4">
        <v>3</v>
      </c>
      <c r="P8" s="4">
        <v>3</v>
      </c>
      <c r="Q8" s="4">
        <v>1</v>
      </c>
      <c r="R8" s="29">
        <f t="shared" si="1"/>
        <v>57.000000000000007</v>
      </c>
      <c r="S8" s="4">
        <v>2</v>
      </c>
      <c r="T8" s="4">
        <v>3</v>
      </c>
      <c r="U8" s="4">
        <v>3</v>
      </c>
      <c r="V8" s="4">
        <v>3</v>
      </c>
      <c r="W8" s="29">
        <f t="shared" si="7"/>
        <v>87.000000000000014</v>
      </c>
      <c r="X8" s="4">
        <v>2</v>
      </c>
      <c r="Y8" s="4">
        <v>2</v>
      </c>
      <c r="Z8" s="4">
        <v>2</v>
      </c>
      <c r="AA8" s="4">
        <v>3</v>
      </c>
      <c r="AB8" s="29">
        <f t="shared" si="2"/>
        <v>75</v>
      </c>
      <c r="AC8" s="4">
        <v>2</v>
      </c>
      <c r="AD8" s="4">
        <v>2</v>
      </c>
      <c r="AE8" s="4">
        <v>2</v>
      </c>
      <c r="AF8" s="4">
        <v>1</v>
      </c>
      <c r="AG8" s="29">
        <f t="shared" si="3"/>
        <v>45</v>
      </c>
      <c r="AH8" s="4">
        <v>2</v>
      </c>
      <c r="AI8" s="4">
        <v>3</v>
      </c>
      <c r="AJ8" s="4">
        <v>3</v>
      </c>
      <c r="AK8" s="4">
        <v>3</v>
      </c>
      <c r="AL8" s="29">
        <f t="shared" si="4"/>
        <v>87.000000000000014</v>
      </c>
      <c r="AM8" s="4">
        <v>2</v>
      </c>
      <c r="AN8" s="4">
        <v>3</v>
      </c>
      <c r="AO8" s="4">
        <v>3</v>
      </c>
      <c r="AP8" s="4">
        <v>2</v>
      </c>
      <c r="AQ8" s="29">
        <f t="shared" si="5"/>
        <v>72</v>
      </c>
    </row>
    <row r="9" spans="1:43">
      <c r="A9" s="4">
        <f>'INPUT DAFTAR PESERTA'!A7</f>
        <v>4</v>
      </c>
      <c r="B9" s="4">
        <f>'INPUT DAFTAR PESERTA'!B7</f>
        <v>2509076003</v>
      </c>
      <c r="C9" s="6" t="str">
        <f>'INPUT DAFTAR PESERTA'!C7</f>
        <v>Javier Abid Danapati</v>
      </c>
      <c r="D9" s="4">
        <v>1</v>
      </c>
      <c r="E9" s="4">
        <v>3</v>
      </c>
      <c r="F9" s="4">
        <v>2</v>
      </c>
      <c r="G9" s="4">
        <v>2</v>
      </c>
      <c r="H9" s="29">
        <f t="shared" si="0"/>
        <v>62.999999999999993</v>
      </c>
      <c r="I9" s="4">
        <v>3</v>
      </c>
      <c r="J9" s="4">
        <v>3</v>
      </c>
      <c r="K9" s="4">
        <v>3</v>
      </c>
      <c r="L9" s="4">
        <v>1</v>
      </c>
      <c r="M9" s="29">
        <f t="shared" si="6"/>
        <v>60.000000000000007</v>
      </c>
      <c r="N9" s="4">
        <v>3</v>
      </c>
      <c r="O9" s="4">
        <v>3</v>
      </c>
      <c r="P9" s="4">
        <v>3</v>
      </c>
      <c r="Q9" s="4">
        <v>1</v>
      </c>
      <c r="R9" s="29">
        <f t="shared" si="1"/>
        <v>60.000000000000007</v>
      </c>
      <c r="S9" s="4">
        <v>2</v>
      </c>
      <c r="T9" s="4">
        <v>3</v>
      </c>
      <c r="U9" s="4">
        <v>3</v>
      </c>
      <c r="V9" s="4">
        <v>2</v>
      </c>
      <c r="W9" s="29">
        <f t="shared" si="7"/>
        <v>72</v>
      </c>
      <c r="X9" s="4">
        <v>3</v>
      </c>
      <c r="Y9" s="4">
        <v>2</v>
      </c>
      <c r="Z9" s="4">
        <v>2</v>
      </c>
      <c r="AA9" s="4">
        <v>3</v>
      </c>
      <c r="AB9" s="29">
        <f t="shared" si="2"/>
        <v>78</v>
      </c>
      <c r="AC9" s="4">
        <v>2</v>
      </c>
      <c r="AD9" s="4">
        <v>2</v>
      </c>
      <c r="AE9" s="4">
        <v>2</v>
      </c>
      <c r="AF9" s="4">
        <v>1</v>
      </c>
      <c r="AG9" s="29">
        <f t="shared" si="3"/>
        <v>45</v>
      </c>
      <c r="AH9" s="4">
        <v>2</v>
      </c>
      <c r="AI9" s="4">
        <v>2</v>
      </c>
      <c r="AJ9" s="4">
        <v>2</v>
      </c>
      <c r="AK9" s="4">
        <v>1</v>
      </c>
      <c r="AL9" s="29">
        <f t="shared" si="4"/>
        <v>45</v>
      </c>
      <c r="AM9" s="4">
        <v>3</v>
      </c>
      <c r="AN9" s="4">
        <v>3</v>
      </c>
      <c r="AO9" s="4">
        <v>3</v>
      </c>
      <c r="AP9" s="4">
        <v>1.5</v>
      </c>
      <c r="AQ9" s="29">
        <f t="shared" si="5"/>
        <v>67.500000000000014</v>
      </c>
    </row>
    <row r="10" spans="1:43">
      <c r="A10" s="4">
        <f>'INPUT DAFTAR PESERTA'!A8</f>
        <v>5</v>
      </c>
      <c r="B10" s="4">
        <f>'INPUT DAFTAR PESERTA'!B8</f>
        <v>2509076004</v>
      </c>
      <c r="C10" s="6" t="str">
        <f>'INPUT DAFTAR PESERTA'!C8</f>
        <v>Cristian Mouses</v>
      </c>
      <c r="D10" s="4">
        <v>3</v>
      </c>
      <c r="E10" s="4">
        <v>2</v>
      </c>
      <c r="F10" s="4">
        <v>3</v>
      </c>
      <c r="G10" s="4">
        <v>3</v>
      </c>
      <c r="H10" s="29">
        <f t="shared" si="0"/>
        <v>84</v>
      </c>
      <c r="I10" s="4">
        <v>3</v>
      </c>
      <c r="J10" s="4">
        <v>3</v>
      </c>
      <c r="K10" s="4">
        <v>3</v>
      </c>
      <c r="L10" s="4">
        <v>2</v>
      </c>
      <c r="M10" s="29">
        <f t="shared" si="6"/>
        <v>75.000000000000014</v>
      </c>
      <c r="N10" s="4">
        <v>3</v>
      </c>
      <c r="O10" s="4">
        <v>3</v>
      </c>
      <c r="P10" s="4">
        <v>3</v>
      </c>
      <c r="Q10" s="4">
        <v>1</v>
      </c>
      <c r="R10" s="29">
        <f t="shared" si="1"/>
        <v>60.000000000000007</v>
      </c>
      <c r="S10" s="4">
        <v>2</v>
      </c>
      <c r="T10" s="4">
        <v>3</v>
      </c>
      <c r="U10" s="4">
        <v>3</v>
      </c>
      <c r="V10" s="4">
        <v>3</v>
      </c>
      <c r="W10" s="29">
        <f t="shared" si="7"/>
        <v>87.000000000000014</v>
      </c>
      <c r="X10" s="4">
        <v>2</v>
      </c>
      <c r="Y10" s="4">
        <v>2</v>
      </c>
      <c r="Z10" s="4">
        <v>2</v>
      </c>
      <c r="AA10" s="4">
        <v>3</v>
      </c>
      <c r="AB10" s="29">
        <f t="shared" si="2"/>
        <v>75</v>
      </c>
      <c r="AC10" s="4">
        <v>2</v>
      </c>
      <c r="AD10" s="4">
        <v>2</v>
      </c>
      <c r="AE10" s="4">
        <v>2</v>
      </c>
      <c r="AF10" s="4">
        <v>1</v>
      </c>
      <c r="AG10" s="29">
        <f t="shared" si="3"/>
        <v>45</v>
      </c>
      <c r="AH10" s="4">
        <v>3</v>
      </c>
      <c r="AI10" s="4">
        <v>2</v>
      </c>
      <c r="AJ10" s="4">
        <v>2</v>
      </c>
      <c r="AK10" s="4">
        <v>2</v>
      </c>
      <c r="AL10" s="29">
        <f t="shared" si="4"/>
        <v>62.999999999999993</v>
      </c>
      <c r="AM10" s="4">
        <v>3</v>
      </c>
      <c r="AN10" s="4">
        <v>3</v>
      </c>
      <c r="AO10" s="4">
        <v>3</v>
      </c>
      <c r="AP10" s="4">
        <v>1.5</v>
      </c>
      <c r="AQ10" s="29">
        <f t="shared" si="5"/>
        <v>67.500000000000014</v>
      </c>
    </row>
    <row r="11" spans="1:43">
      <c r="A11" s="4">
        <f>'INPUT DAFTAR PESERTA'!A9</f>
        <v>6</v>
      </c>
      <c r="B11" s="4">
        <f>'INPUT DAFTAR PESERTA'!B9</f>
        <v>2509076005</v>
      </c>
      <c r="C11" s="6" t="str">
        <f>'INPUT DAFTAR PESERTA'!C9</f>
        <v>Guarimus Rinaldi Ngera</v>
      </c>
      <c r="D11" s="4">
        <v>1</v>
      </c>
      <c r="E11" s="4">
        <v>1</v>
      </c>
      <c r="F11" s="4">
        <v>1</v>
      </c>
      <c r="G11" s="4">
        <v>3</v>
      </c>
      <c r="H11" s="29">
        <f t="shared" si="0"/>
        <v>60.000000000000007</v>
      </c>
      <c r="I11" s="4">
        <v>2</v>
      </c>
      <c r="J11" s="4">
        <v>2</v>
      </c>
      <c r="K11" s="4">
        <v>2</v>
      </c>
      <c r="L11" s="4">
        <v>2</v>
      </c>
      <c r="M11" s="29">
        <f t="shared" si="6"/>
        <v>60.000000000000007</v>
      </c>
      <c r="N11" s="4">
        <v>3</v>
      </c>
      <c r="O11" s="4">
        <v>3</v>
      </c>
      <c r="P11" s="4">
        <v>3</v>
      </c>
      <c r="Q11" s="4">
        <v>2</v>
      </c>
      <c r="R11" s="29">
        <f t="shared" si="1"/>
        <v>75.000000000000014</v>
      </c>
      <c r="S11" s="4">
        <v>2</v>
      </c>
      <c r="T11" s="4">
        <v>3</v>
      </c>
      <c r="U11" s="4">
        <v>3</v>
      </c>
      <c r="V11" s="4">
        <v>2</v>
      </c>
      <c r="W11" s="29">
        <f t="shared" si="7"/>
        <v>72</v>
      </c>
      <c r="X11" s="4">
        <v>2</v>
      </c>
      <c r="Y11" s="4">
        <v>2</v>
      </c>
      <c r="Z11" s="4">
        <v>2</v>
      </c>
      <c r="AA11" s="4">
        <v>3</v>
      </c>
      <c r="AB11" s="29">
        <f t="shared" si="2"/>
        <v>75</v>
      </c>
      <c r="AC11" s="4">
        <v>2</v>
      </c>
      <c r="AD11" s="4">
        <v>2</v>
      </c>
      <c r="AE11" s="4">
        <v>2</v>
      </c>
      <c r="AF11" s="4">
        <v>1</v>
      </c>
      <c r="AG11" s="29">
        <f t="shared" si="3"/>
        <v>45</v>
      </c>
      <c r="AH11" s="4">
        <v>2</v>
      </c>
      <c r="AI11" s="4">
        <v>2</v>
      </c>
      <c r="AJ11" s="4">
        <v>2</v>
      </c>
      <c r="AK11" s="4">
        <v>2</v>
      </c>
      <c r="AL11" s="29">
        <f t="shared" si="4"/>
        <v>60.000000000000007</v>
      </c>
      <c r="AM11" s="4">
        <v>3</v>
      </c>
      <c r="AN11" s="4">
        <v>3</v>
      </c>
      <c r="AO11" s="4">
        <v>3</v>
      </c>
      <c r="AP11" s="4">
        <v>1.5</v>
      </c>
      <c r="AQ11" s="29">
        <f t="shared" si="5"/>
        <v>67.500000000000014</v>
      </c>
    </row>
    <row r="12" spans="1:43">
      <c r="A12" s="4">
        <f>'INPUT DAFTAR PESERTA'!A10</f>
        <v>7</v>
      </c>
      <c r="B12" s="4">
        <f>'INPUT DAFTAR PESERTA'!B10</f>
        <v>2509076006</v>
      </c>
      <c r="C12" s="6" t="str">
        <f>'INPUT DAFTAR PESERTA'!C10</f>
        <v>Rafly Khoirul Rizky</v>
      </c>
      <c r="D12" s="4">
        <v>3</v>
      </c>
      <c r="E12" s="4">
        <v>3</v>
      </c>
      <c r="F12" s="4">
        <v>3</v>
      </c>
      <c r="G12" s="4">
        <v>1</v>
      </c>
      <c r="H12" s="29">
        <f t="shared" si="0"/>
        <v>60.000000000000007</v>
      </c>
      <c r="I12" s="4">
        <v>3</v>
      </c>
      <c r="J12" s="4">
        <v>2</v>
      </c>
      <c r="K12" s="4">
        <v>3</v>
      </c>
      <c r="L12" s="4">
        <v>1</v>
      </c>
      <c r="M12" s="29">
        <f t="shared" si="6"/>
        <v>54</v>
      </c>
      <c r="N12" s="4">
        <v>3</v>
      </c>
      <c r="O12" s="4">
        <v>3</v>
      </c>
      <c r="P12" s="4">
        <v>3</v>
      </c>
      <c r="Q12" s="4">
        <v>2</v>
      </c>
      <c r="R12" s="29">
        <f t="shared" si="1"/>
        <v>75.000000000000014</v>
      </c>
      <c r="S12" s="4">
        <v>3</v>
      </c>
      <c r="T12" s="4">
        <v>3</v>
      </c>
      <c r="U12" s="4">
        <v>3</v>
      </c>
      <c r="V12" s="4">
        <v>1</v>
      </c>
      <c r="W12" s="29">
        <f t="shared" si="7"/>
        <v>60.000000000000007</v>
      </c>
      <c r="X12" s="4">
        <v>2</v>
      </c>
      <c r="Y12" s="4">
        <v>2</v>
      </c>
      <c r="Z12" s="4">
        <v>2</v>
      </c>
      <c r="AA12" s="4">
        <v>3</v>
      </c>
      <c r="AB12" s="29">
        <f t="shared" si="2"/>
        <v>75</v>
      </c>
      <c r="AC12" s="4">
        <v>2</v>
      </c>
      <c r="AD12" s="4">
        <v>2</v>
      </c>
      <c r="AE12" s="4">
        <v>2</v>
      </c>
      <c r="AF12" s="4">
        <v>1</v>
      </c>
      <c r="AG12" s="29">
        <f t="shared" si="3"/>
        <v>45</v>
      </c>
      <c r="AH12" s="4">
        <v>2</v>
      </c>
      <c r="AI12" s="4">
        <v>2</v>
      </c>
      <c r="AJ12" s="4">
        <v>2</v>
      </c>
      <c r="AK12" s="4">
        <v>1</v>
      </c>
      <c r="AL12" s="29">
        <f t="shared" si="4"/>
        <v>45</v>
      </c>
      <c r="AM12" s="4">
        <v>2</v>
      </c>
      <c r="AN12" s="4">
        <v>2</v>
      </c>
      <c r="AO12" s="4">
        <v>2</v>
      </c>
      <c r="AP12" s="4">
        <v>1.5</v>
      </c>
      <c r="AQ12" s="29">
        <f t="shared" si="5"/>
        <v>52.5</v>
      </c>
    </row>
    <row r="13" spans="1:43">
      <c r="A13" s="4">
        <f>'INPUT DAFTAR PESERTA'!A11</f>
        <v>8</v>
      </c>
      <c r="B13" s="4">
        <f>'INPUT DAFTAR PESERTA'!B11</f>
        <v>2509076007</v>
      </c>
      <c r="C13" s="6" t="str">
        <f>'INPUT DAFTAR PESERTA'!C11</f>
        <v>Nurdian Bagus Setiawan</v>
      </c>
      <c r="D13" s="4">
        <v>3</v>
      </c>
      <c r="E13" s="4">
        <v>3</v>
      </c>
      <c r="F13" s="4">
        <v>3</v>
      </c>
      <c r="G13" s="4">
        <v>1</v>
      </c>
      <c r="H13" s="29">
        <f t="shared" si="0"/>
        <v>60.000000000000007</v>
      </c>
      <c r="I13" s="4">
        <v>3</v>
      </c>
      <c r="J13" s="4">
        <v>2</v>
      </c>
      <c r="K13" s="4">
        <v>3</v>
      </c>
      <c r="L13" s="4">
        <v>2</v>
      </c>
      <c r="M13" s="29">
        <f t="shared" si="6"/>
        <v>69</v>
      </c>
      <c r="N13" s="4">
        <v>3</v>
      </c>
      <c r="O13" s="4">
        <v>3</v>
      </c>
      <c r="P13" s="4">
        <v>3</v>
      </c>
      <c r="Q13" s="4">
        <v>1</v>
      </c>
      <c r="R13" s="29">
        <f t="shared" si="1"/>
        <v>60.000000000000007</v>
      </c>
      <c r="S13" s="4">
        <v>3</v>
      </c>
      <c r="T13" s="4">
        <v>3</v>
      </c>
      <c r="U13" s="4">
        <v>3</v>
      </c>
      <c r="V13" s="4">
        <v>1</v>
      </c>
      <c r="W13" s="29">
        <f t="shared" si="7"/>
        <v>60.000000000000007</v>
      </c>
      <c r="X13" s="4">
        <v>3</v>
      </c>
      <c r="Y13" s="4">
        <v>2</v>
      </c>
      <c r="Z13" s="4">
        <v>2</v>
      </c>
      <c r="AA13" s="4">
        <v>3</v>
      </c>
      <c r="AB13" s="29">
        <f t="shared" si="2"/>
        <v>78</v>
      </c>
      <c r="AC13" s="4">
        <v>2</v>
      </c>
      <c r="AD13" s="4">
        <v>2</v>
      </c>
      <c r="AE13" s="4">
        <v>2</v>
      </c>
      <c r="AF13" s="4">
        <v>1</v>
      </c>
      <c r="AG13" s="29">
        <f t="shared" si="3"/>
        <v>45</v>
      </c>
      <c r="AH13" s="4">
        <v>2</v>
      </c>
      <c r="AI13" s="4">
        <v>2</v>
      </c>
      <c r="AJ13" s="4">
        <v>2</v>
      </c>
      <c r="AK13" s="4">
        <v>1</v>
      </c>
      <c r="AL13" s="29">
        <f t="shared" si="4"/>
        <v>45</v>
      </c>
      <c r="AM13" s="4">
        <v>2</v>
      </c>
      <c r="AN13" s="4">
        <v>2</v>
      </c>
      <c r="AO13" s="4">
        <v>2</v>
      </c>
      <c r="AP13" s="4">
        <v>1</v>
      </c>
      <c r="AQ13" s="29">
        <f t="shared" si="5"/>
        <v>45</v>
      </c>
    </row>
    <row r="14" spans="1:43">
      <c r="A14" s="4">
        <f>'INPUT DAFTAR PESERTA'!A12</f>
        <v>9</v>
      </c>
      <c r="B14" s="4">
        <f>'INPUT DAFTAR PESERTA'!B12</f>
        <v>2509076008</v>
      </c>
      <c r="C14" s="6" t="str">
        <f>'INPUT DAFTAR PESERTA'!C12</f>
        <v>Krisna Akbar</v>
      </c>
      <c r="D14" s="4">
        <v>3</v>
      </c>
      <c r="E14" s="4">
        <v>3</v>
      </c>
      <c r="F14" s="4">
        <v>3</v>
      </c>
      <c r="G14" s="4">
        <v>2</v>
      </c>
      <c r="H14" s="29">
        <f t="shared" si="0"/>
        <v>75.000000000000014</v>
      </c>
      <c r="I14" s="4">
        <v>3</v>
      </c>
      <c r="J14" s="4">
        <v>2</v>
      </c>
      <c r="K14" s="4">
        <v>3</v>
      </c>
      <c r="L14" s="4">
        <v>3</v>
      </c>
      <c r="M14" s="29">
        <f t="shared" si="6"/>
        <v>84</v>
      </c>
      <c r="N14" s="4">
        <v>2</v>
      </c>
      <c r="O14" s="4">
        <v>3</v>
      </c>
      <c r="P14" s="4">
        <v>3</v>
      </c>
      <c r="Q14" s="4">
        <v>2</v>
      </c>
      <c r="R14" s="29">
        <f t="shared" si="1"/>
        <v>72</v>
      </c>
      <c r="S14" s="4">
        <v>3</v>
      </c>
      <c r="T14" s="4">
        <v>3</v>
      </c>
      <c r="U14" s="4">
        <v>3</v>
      </c>
      <c r="V14" s="4">
        <v>1</v>
      </c>
      <c r="W14" s="29">
        <f t="shared" si="7"/>
        <v>60.000000000000007</v>
      </c>
      <c r="X14" s="4">
        <v>2</v>
      </c>
      <c r="Y14" s="4">
        <v>2</v>
      </c>
      <c r="Z14" s="4">
        <v>2</v>
      </c>
      <c r="AA14" s="4">
        <v>3</v>
      </c>
      <c r="AB14" s="29">
        <f t="shared" si="2"/>
        <v>75</v>
      </c>
      <c r="AC14" s="4">
        <v>2</v>
      </c>
      <c r="AD14" s="4">
        <v>2</v>
      </c>
      <c r="AE14" s="4">
        <v>2</v>
      </c>
      <c r="AF14" s="4">
        <v>1</v>
      </c>
      <c r="AG14" s="29">
        <f t="shared" si="3"/>
        <v>45</v>
      </c>
      <c r="AH14" s="4">
        <v>2</v>
      </c>
      <c r="AI14" s="4">
        <v>2</v>
      </c>
      <c r="AJ14" s="4">
        <v>2</v>
      </c>
      <c r="AK14" s="4">
        <v>1</v>
      </c>
      <c r="AL14" s="29">
        <f t="shared" si="4"/>
        <v>45</v>
      </c>
      <c r="AM14" s="4">
        <v>2</v>
      </c>
      <c r="AN14" s="4">
        <v>2</v>
      </c>
      <c r="AO14" s="4">
        <v>2</v>
      </c>
      <c r="AP14" s="4">
        <v>2</v>
      </c>
      <c r="AQ14" s="29">
        <f t="shared" si="5"/>
        <v>60.000000000000007</v>
      </c>
    </row>
    <row r="15" spans="1:43">
      <c r="A15" s="4">
        <f>'INPUT DAFTAR PESERTA'!A13</f>
        <v>10</v>
      </c>
      <c r="B15" s="4">
        <f>'INPUT DAFTAR PESERTA'!B13</f>
        <v>2509076009</v>
      </c>
      <c r="C15" s="6" t="str">
        <f>'INPUT DAFTAR PESERTA'!C13</f>
        <v>Muhammad Naufal Ammar Dzakiy</v>
      </c>
      <c r="D15" s="4">
        <v>3</v>
      </c>
      <c r="E15" s="4">
        <v>3</v>
      </c>
      <c r="F15" s="4">
        <v>3</v>
      </c>
      <c r="G15" s="4">
        <v>1</v>
      </c>
      <c r="H15" s="29">
        <f t="shared" si="0"/>
        <v>60.000000000000007</v>
      </c>
      <c r="I15" s="4">
        <v>3</v>
      </c>
      <c r="J15" s="4">
        <v>2</v>
      </c>
      <c r="K15" s="4">
        <v>3</v>
      </c>
      <c r="L15" s="4">
        <v>1</v>
      </c>
      <c r="M15" s="29">
        <f t="shared" si="6"/>
        <v>54</v>
      </c>
      <c r="N15" s="4">
        <v>3</v>
      </c>
      <c r="O15" s="4">
        <v>3</v>
      </c>
      <c r="P15" s="4">
        <v>3</v>
      </c>
      <c r="Q15" s="4">
        <v>1</v>
      </c>
      <c r="R15" s="29">
        <f t="shared" si="1"/>
        <v>60.000000000000007</v>
      </c>
      <c r="S15" s="4">
        <v>3</v>
      </c>
      <c r="T15" s="4">
        <v>3</v>
      </c>
      <c r="U15" s="4">
        <v>3</v>
      </c>
      <c r="V15" s="4">
        <v>1</v>
      </c>
      <c r="W15" s="29">
        <f t="shared" si="7"/>
        <v>60.000000000000007</v>
      </c>
      <c r="X15" s="4">
        <v>3</v>
      </c>
      <c r="Y15" s="4">
        <v>2</v>
      </c>
      <c r="Z15" s="4">
        <v>2</v>
      </c>
      <c r="AA15" s="4">
        <v>3</v>
      </c>
      <c r="AB15" s="29">
        <f t="shared" si="2"/>
        <v>78</v>
      </c>
      <c r="AC15" s="4">
        <v>2</v>
      </c>
      <c r="AD15" s="4">
        <v>2</v>
      </c>
      <c r="AE15" s="4">
        <v>2</v>
      </c>
      <c r="AF15" s="4">
        <v>1</v>
      </c>
      <c r="AG15" s="29">
        <f t="shared" si="3"/>
        <v>45</v>
      </c>
      <c r="AH15" s="4">
        <v>2</v>
      </c>
      <c r="AI15" s="4">
        <v>2</v>
      </c>
      <c r="AJ15" s="4">
        <v>2</v>
      </c>
      <c r="AK15" s="4">
        <v>1</v>
      </c>
      <c r="AL15" s="29">
        <f t="shared" si="4"/>
        <v>45</v>
      </c>
      <c r="AM15" s="4">
        <v>2</v>
      </c>
      <c r="AN15" s="4">
        <v>2</v>
      </c>
      <c r="AO15" s="4">
        <v>2</v>
      </c>
      <c r="AP15" s="4">
        <v>1</v>
      </c>
      <c r="AQ15" s="29">
        <f t="shared" si="5"/>
        <v>45</v>
      </c>
    </row>
    <row r="16" spans="1:43">
      <c r="A16" s="4">
        <f>'INPUT DAFTAR PESERTA'!A14</f>
        <v>11</v>
      </c>
      <c r="B16" s="4">
        <f>'INPUT DAFTAR PESERTA'!B14</f>
        <v>2509076010</v>
      </c>
      <c r="C16" s="6" t="str">
        <f>'INPUT DAFTAR PESERTA'!C14</f>
        <v>Muhammad Fathir</v>
      </c>
      <c r="D16" s="4">
        <v>2</v>
      </c>
      <c r="E16" s="4">
        <v>3</v>
      </c>
      <c r="F16" s="4">
        <v>3</v>
      </c>
      <c r="G16" s="4">
        <v>1</v>
      </c>
      <c r="H16" s="29">
        <f t="shared" si="0"/>
        <v>57.000000000000007</v>
      </c>
      <c r="I16" s="4">
        <v>3</v>
      </c>
      <c r="J16" s="4">
        <v>2</v>
      </c>
      <c r="K16" s="4">
        <v>3</v>
      </c>
      <c r="L16" s="4">
        <v>3</v>
      </c>
      <c r="M16" s="29">
        <f t="shared" si="6"/>
        <v>84</v>
      </c>
      <c r="N16" s="4">
        <v>3</v>
      </c>
      <c r="O16" s="4">
        <v>3</v>
      </c>
      <c r="P16" s="4">
        <v>3</v>
      </c>
      <c r="Q16" s="4">
        <v>1</v>
      </c>
      <c r="R16" s="29">
        <f t="shared" si="1"/>
        <v>60.000000000000007</v>
      </c>
      <c r="S16" s="4">
        <v>3</v>
      </c>
      <c r="T16" s="4">
        <v>3</v>
      </c>
      <c r="U16" s="4">
        <v>3</v>
      </c>
      <c r="V16" s="4">
        <v>1</v>
      </c>
      <c r="W16" s="29">
        <f t="shared" si="7"/>
        <v>60.000000000000007</v>
      </c>
      <c r="X16" s="4">
        <v>3</v>
      </c>
      <c r="Y16" s="4">
        <v>2</v>
      </c>
      <c r="Z16" s="4">
        <v>3</v>
      </c>
      <c r="AA16" s="4">
        <v>2</v>
      </c>
      <c r="AB16" s="29">
        <f t="shared" si="2"/>
        <v>69</v>
      </c>
      <c r="AC16" s="4">
        <v>2</v>
      </c>
      <c r="AD16" s="4">
        <v>2</v>
      </c>
      <c r="AE16" s="4">
        <v>2</v>
      </c>
      <c r="AF16" s="4">
        <v>2</v>
      </c>
      <c r="AG16" s="29">
        <f t="shared" si="3"/>
        <v>60.000000000000007</v>
      </c>
      <c r="AH16" s="4">
        <v>2</v>
      </c>
      <c r="AI16" s="4">
        <v>3</v>
      </c>
      <c r="AJ16" s="4">
        <v>3</v>
      </c>
      <c r="AK16" s="4">
        <v>2</v>
      </c>
      <c r="AL16" s="29">
        <f t="shared" si="4"/>
        <v>72</v>
      </c>
      <c r="AM16" s="4">
        <v>2</v>
      </c>
      <c r="AN16" s="4">
        <v>2</v>
      </c>
      <c r="AO16" s="4">
        <v>2</v>
      </c>
      <c r="AP16" s="4">
        <v>1</v>
      </c>
      <c r="AQ16" s="29">
        <f t="shared" si="5"/>
        <v>45</v>
      </c>
    </row>
    <row r="17" spans="1:43">
      <c r="A17" s="4">
        <f>'INPUT DAFTAR PESERTA'!A15</f>
        <v>12</v>
      </c>
      <c r="B17" s="4">
        <f>'INPUT DAFTAR PESERTA'!B15</f>
        <v>2509076011</v>
      </c>
      <c r="C17" s="6" t="str">
        <f>'INPUT DAFTAR PESERTA'!C15</f>
        <v>Waiz Ar Rozzaq</v>
      </c>
      <c r="D17" s="4">
        <v>2</v>
      </c>
      <c r="E17" s="4">
        <v>3</v>
      </c>
      <c r="F17" s="4">
        <v>3</v>
      </c>
      <c r="G17" s="4">
        <v>1</v>
      </c>
      <c r="H17" s="29">
        <f t="shared" si="0"/>
        <v>57.000000000000007</v>
      </c>
      <c r="I17" s="4">
        <v>3</v>
      </c>
      <c r="J17" s="4">
        <v>2</v>
      </c>
      <c r="K17" s="4">
        <v>3</v>
      </c>
      <c r="L17" s="4">
        <v>3</v>
      </c>
      <c r="M17" s="29">
        <f t="shared" si="6"/>
        <v>84</v>
      </c>
      <c r="N17" s="4">
        <v>3</v>
      </c>
      <c r="O17" s="4">
        <v>3</v>
      </c>
      <c r="P17" s="4">
        <v>3</v>
      </c>
      <c r="Q17" s="4">
        <v>3</v>
      </c>
      <c r="R17" s="29">
        <f t="shared" si="1"/>
        <v>90</v>
      </c>
      <c r="S17" s="4">
        <v>3</v>
      </c>
      <c r="T17" s="4">
        <v>3</v>
      </c>
      <c r="U17" s="4">
        <v>3</v>
      </c>
      <c r="V17" s="4">
        <v>3</v>
      </c>
      <c r="W17" s="29">
        <f t="shared" si="7"/>
        <v>90</v>
      </c>
      <c r="X17" s="4">
        <v>3</v>
      </c>
      <c r="Y17" s="4">
        <v>3</v>
      </c>
      <c r="Z17" s="4">
        <v>3</v>
      </c>
      <c r="AA17" s="4">
        <v>3</v>
      </c>
      <c r="AB17" s="29">
        <f t="shared" si="2"/>
        <v>90</v>
      </c>
      <c r="AC17" s="4">
        <v>2</v>
      </c>
      <c r="AD17" s="4">
        <v>2</v>
      </c>
      <c r="AE17" s="4">
        <v>2</v>
      </c>
      <c r="AF17" s="4">
        <v>3</v>
      </c>
      <c r="AG17" s="29">
        <f t="shared" si="3"/>
        <v>75</v>
      </c>
      <c r="AH17" s="4">
        <v>2</v>
      </c>
      <c r="AI17" s="4">
        <v>3</v>
      </c>
      <c r="AJ17" s="4">
        <v>3</v>
      </c>
      <c r="AK17" s="4">
        <v>3</v>
      </c>
      <c r="AL17" s="29">
        <f t="shared" si="4"/>
        <v>87.000000000000014</v>
      </c>
      <c r="AM17" s="4">
        <v>2</v>
      </c>
      <c r="AN17" s="4">
        <v>2</v>
      </c>
      <c r="AO17" s="4">
        <v>2</v>
      </c>
      <c r="AP17" s="4">
        <v>1</v>
      </c>
      <c r="AQ17" s="29">
        <f t="shared" si="5"/>
        <v>45</v>
      </c>
    </row>
    <row r="18" spans="1:43">
      <c r="A18" s="4">
        <f>'INPUT DAFTAR PESERTA'!A16</f>
        <v>13</v>
      </c>
      <c r="B18" s="4">
        <f>'INPUT DAFTAR PESERTA'!B16</f>
        <v>2509076012</v>
      </c>
      <c r="C18" s="6" t="str">
        <f>'INPUT DAFTAR PESERTA'!C16</f>
        <v>Aditya Windri Andra</v>
      </c>
      <c r="D18" s="4">
        <v>2</v>
      </c>
      <c r="E18" s="4">
        <v>3</v>
      </c>
      <c r="F18" s="4">
        <v>3</v>
      </c>
      <c r="G18" s="4">
        <v>1</v>
      </c>
      <c r="H18" s="29">
        <f t="shared" si="0"/>
        <v>57.000000000000007</v>
      </c>
      <c r="I18" s="4">
        <v>3</v>
      </c>
      <c r="J18" s="4">
        <v>2</v>
      </c>
      <c r="K18" s="4">
        <v>3</v>
      </c>
      <c r="L18" s="4">
        <v>2</v>
      </c>
      <c r="M18" s="29">
        <f t="shared" si="6"/>
        <v>69</v>
      </c>
      <c r="N18" s="4">
        <v>3</v>
      </c>
      <c r="O18" s="4">
        <v>3</v>
      </c>
      <c r="P18" s="4">
        <v>3</v>
      </c>
      <c r="Q18" s="4">
        <v>2</v>
      </c>
      <c r="R18" s="29">
        <f t="shared" si="1"/>
        <v>75.000000000000014</v>
      </c>
      <c r="S18" s="4">
        <v>3</v>
      </c>
      <c r="T18" s="4">
        <v>3</v>
      </c>
      <c r="U18" s="4">
        <v>3</v>
      </c>
      <c r="V18" s="4">
        <v>3</v>
      </c>
      <c r="W18" s="29">
        <f t="shared" si="7"/>
        <v>90</v>
      </c>
      <c r="X18" s="4">
        <v>3</v>
      </c>
      <c r="Y18" s="4">
        <v>3</v>
      </c>
      <c r="Z18" s="4">
        <v>3</v>
      </c>
      <c r="AA18" s="4">
        <v>3</v>
      </c>
      <c r="AB18" s="29">
        <f t="shared" si="2"/>
        <v>90</v>
      </c>
      <c r="AC18" s="4">
        <v>2</v>
      </c>
      <c r="AD18" s="4">
        <v>2</v>
      </c>
      <c r="AE18" s="4">
        <v>2</v>
      </c>
      <c r="AF18" s="4">
        <v>1</v>
      </c>
      <c r="AG18" s="29">
        <f t="shared" si="3"/>
        <v>45</v>
      </c>
      <c r="AH18" s="4">
        <v>2</v>
      </c>
      <c r="AI18" s="4">
        <v>3</v>
      </c>
      <c r="AJ18" s="4">
        <v>3</v>
      </c>
      <c r="AK18" s="4">
        <v>3</v>
      </c>
      <c r="AL18" s="29">
        <f t="shared" si="4"/>
        <v>87.000000000000014</v>
      </c>
      <c r="AM18" s="4">
        <v>2</v>
      </c>
      <c r="AN18" s="4">
        <v>2</v>
      </c>
      <c r="AO18" s="4">
        <v>2</v>
      </c>
      <c r="AP18" s="4">
        <v>1</v>
      </c>
      <c r="AQ18" s="29">
        <f t="shared" si="5"/>
        <v>45</v>
      </c>
    </row>
    <row r="19" spans="1:43">
      <c r="A19" s="4">
        <f>'INPUT DAFTAR PESERTA'!A17</f>
        <v>14</v>
      </c>
      <c r="B19" s="4">
        <f>'INPUT DAFTAR PESERTA'!B17</f>
        <v>2509076013</v>
      </c>
      <c r="C19" s="6" t="str">
        <f>'INPUT DAFTAR PESERTA'!C17</f>
        <v>Wisnu Gafur</v>
      </c>
      <c r="D19" s="4">
        <v>2</v>
      </c>
      <c r="E19" s="4">
        <v>3</v>
      </c>
      <c r="F19" s="4">
        <v>3</v>
      </c>
      <c r="G19" s="4">
        <v>1</v>
      </c>
      <c r="H19" s="29">
        <f t="shared" si="0"/>
        <v>57.000000000000007</v>
      </c>
      <c r="I19" s="4">
        <v>3</v>
      </c>
      <c r="J19" s="4">
        <v>2</v>
      </c>
      <c r="K19" s="4">
        <v>3</v>
      </c>
      <c r="L19" s="4">
        <v>1</v>
      </c>
      <c r="M19" s="29">
        <f t="shared" si="6"/>
        <v>54</v>
      </c>
      <c r="N19" s="4">
        <v>3</v>
      </c>
      <c r="O19" s="4">
        <v>3</v>
      </c>
      <c r="P19" s="4">
        <v>3</v>
      </c>
      <c r="Q19" s="4">
        <v>1</v>
      </c>
      <c r="R19" s="29">
        <f t="shared" si="1"/>
        <v>60.000000000000007</v>
      </c>
      <c r="S19" s="4">
        <v>3</v>
      </c>
      <c r="T19" s="4">
        <v>3</v>
      </c>
      <c r="U19" s="4">
        <v>3</v>
      </c>
      <c r="V19" s="4">
        <v>1</v>
      </c>
      <c r="W19" s="29">
        <f t="shared" si="7"/>
        <v>60.000000000000007</v>
      </c>
      <c r="X19" s="4">
        <v>3</v>
      </c>
      <c r="Y19" s="4">
        <v>3</v>
      </c>
      <c r="Z19" s="4">
        <v>3</v>
      </c>
      <c r="AA19" s="4">
        <v>1</v>
      </c>
      <c r="AB19" s="29">
        <f t="shared" si="2"/>
        <v>60.000000000000007</v>
      </c>
      <c r="AC19" s="4">
        <v>2</v>
      </c>
      <c r="AD19" s="4">
        <v>2</v>
      </c>
      <c r="AE19" s="4">
        <v>2</v>
      </c>
      <c r="AF19" s="4">
        <v>1</v>
      </c>
      <c r="AG19" s="29">
        <f t="shared" si="3"/>
        <v>45</v>
      </c>
      <c r="AH19" s="4">
        <v>2</v>
      </c>
      <c r="AI19" s="4">
        <v>3</v>
      </c>
      <c r="AJ19" s="4">
        <v>3</v>
      </c>
      <c r="AK19" s="4">
        <v>1</v>
      </c>
      <c r="AL19" s="29">
        <f t="shared" si="4"/>
        <v>57.000000000000007</v>
      </c>
      <c r="AM19" s="4">
        <v>2</v>
      </c>
      <c r="AN19" s="4">
        <v>2</v>
      </c>
      <c r="AO19" s="4">
        <v>2</v>
      </c>
      <c r="AP19" s="4">
        <v>1</v>
      </c>
      <c r="AQ19" s="29">
        <f t="shared" si="5"/>
        <v>45</v>
      </c>
    </row>
    <row r="20" spans="1:43">
      <c r="A20" s="4">
        <f>'INPUT DAFTAR PESERTA'!A18</f>
        <v>15</v>
      </c>
      <c r="B20" s="4">
        <f>'INPUT DAFTAR PESERTA'!B18</f>
        <v>2509076014</v>
      </c>
      <c r="C20" s="6" t="str">
        <f>'INPUT DAFTAR PESERTA'!C18</f>
        <v>Given Subagja</v>
      </c>
      <c r="D20" s="4">
        <v>3</v>
      </c>
      <c r="E20" s="4">
        <v>3</v>
      </c>
      <c r="F20" s="4">
        <v>3</v>
      </c>
      <c r="G20" s="4">
        <v>1</v>
      </c>
      <c r="H20" s="29">
        <f t="shared" si="0"/>
        <v>60.000000000000007</v>
      </c>
      <c r="I20" s="4">
        <v>2</v>
      </c>
      <c r="J20" s="4">
        <v>3</v>
      </c>
      <c r="K20" s="4">
        <v>3</v>
      </c>
      <c r="L20" s="4">
        <v>3</v>
      </c>
      <c r="M20" s="29">
        <f t="shared" si="6"/>
        <v>87.000000000000014</v>
      </c>
      <c r="N20" s="4">
        <v>3</v>
      </c>
      <c r="O20" s="4">
        <v>3</v>
      </c>
      <c r="P20" s="4">
        <v>3</v>
      </c>
      <c r="Q20" s="4">
        <v>3</v>
      </c>
      <c r="R20" s="29">
        <f t="shared" si="1"/>
        <v>90</v>
      </c>
      <c r="S20" s="4">
        <v>2</v>
      </c>
      <c r="T20" s="4">
        <v>3</v>
      </c>
      <c r="U20" s="4">
        <v>3</v>
      </c>
      <c r="V20" s="4">
        <v>3</v>
      </c>
      <c r="W20" s="29">
        <f t="shared" si="7"/>
        <v>87.000000000000014</v>
      </c>
      <c r="X20" s="4">
        <v>3</v>
      </c>
      <c r="Y20" s="4">
        <v>2</v>
      </c>
      <c r="Z20" s="4">
        <v>2</v>
      </c>
      <c r="AA20" s="4">
        <v>3</v>
      </c>
      <c r="AB20" s="29">
        <f t="shared" si="2"/>
        <v>78</v>
      </c>
      <c r="AC20" s="4">
        <v>3</v>
      </c>
      <c r="AD20" s="4">
        <v>2</v>
      </c>
      <c r="AE20" s="4">
        <v>2</v>
      </c>
      <c r="AF20" s="4">
        <v>2</v>
      </c>
      <c r="AG20" s="29">
        <f t="shared" si="3"/>
        <v>62.999999999999993</v>
      </c>
      <c r="AH20" s="4">
        <v>2</v>
      </c>
      <c r="AI20" s="4">
        <v>3</v>
      </c>
      <c r="AJ20" s="4">
        <v>3</v>
      </c>
      <c r="AK20" s="4">
        <v>3</v>
      </c>
      <c r="AL20" s="29">
        <f t="shared" si="4"/>
        <v>87.000000000000014</v>
      </c>
      <c r="AM20" s="4">
        <v>2</v>
      </c>
      <c r="AN20" s="4">
        <v>3</v>
      </c>
      <c r="AO20" s="4">
        <v>2</v>
      </c>
      <c r="AP20" s="4">
        <v>0</v>
      </c>
      <c r="AQ20" s="29">
        <f t="shared" si="5"/>
        <v>36</v>
      </c>
    </row>
    <row r="21" spans="1:43">
      <c r="A21" s="4">
        <f>'INPUT DAFTAR PESERTA'!A19</f>
        <v>16</v>
      </c>
      <c r="B21" s="4">
        <f>'INPUT DAFTAR PESERTA'!B19</f>
        <v>2509076015</v>
      </c>
      <c r="C21" s="6" t="str">
        <f>'INPUT DAFTAR PESERTA'!C19</f>
        <v>Taufiqurrahman</v>
      </c>
      <c r="D21" s="4">
        <v>2</v>
      </c>
      <c r="E21" s="4">
        <v>3</v>
      </c>
      <c r="F21" s="4">
        <v>3</v>
      </c>
      <c r="G21" s="4">
        <v>1</v>
      </c>
      <c r="H21" s="29">
        <f t="shared" si="0"/>
        <v>57.000000000000007</v>
      </c>
      <c r="I21" s="4">
        <v>3</v>
      </c>
      <c r="J21" s="4">
        <v>2</v>
      </c>
      <c r="K21" s="4">
        <v>3</v>
      </c>
      <c r="L21" s="4">
        <v>3</v>
      </c>
      <c r="M21" s="29">
        <f t="shared" si="6"/>
        <v>84</v>
      </c>
      <c r="N21" s="4">
        <v>3</v>
      </c>
      <c r="O21" s="4">
        <v>3</v>
      </c>
      <c r="P21" s="4">
        <v>3</v>
      </c>
      <c r="Q21" s="4">
        <v>2</v>
      </c>
      <c r="R21" s="29">
        <f t="shared" si="1"/>
        <v>75.000000000000014</v>
      </c>
      <c r="S21" s="4">
        <v>2</v>
      </c>
      <c r="T21" s="4">
        <v>3</v>
      </c>
      <c r="U21" s="4">
        <v>3</v>
      </c>
      <c r="V21" s="4">
        <v>3</v>
      </c>
      <c r="W21" s="29">
        <f t="shared" si="7"/>
        <v>87.000000000000014</v>
      </c>
      <c r="X21" s="4">
        <v>3</v>
      </c>
      <c r="Y21" s="4">
        <v>2</v>
      </c>
      <c r="Z21" s="4">
        <v>2</v>
      </c>
      <c r="AA21" s="4">
        <v>3</v>
      </c>
      <c r="AB21" s="29">
        <f t="shared" si="2"/>
        <v>78</v>
      </c>
      <c r="AC21" s="4">
        <v>3</v>
      </c>
      <c r="AD21" s="4">
        <v>2</v>
      </c>
      <c r="AE21" s="4">
        <v>2</v>
      </c>
      <c r="AF21" s="4">
        <v>3</v>
      </c>
      <c r="AG21" s="29">
        <f t="shared" si="3"/>
        <v>78</v>
      </c>
      <c r="AH21" s="4">
        <v>2</v>
      </c>
      <c r="AI21" s="4">
        <v>3</v>
      </c>
      <c r="AJ21" s="4">
        <v>3</v>
      </c>
      <c r="AK21" s="4">
        <v>3</v>
      </c>
      <c r="AL21" s="29">
        <f t="shared" si="4"/>
        <v>87.000000000000014</v>
      </c>
      <c r="AM21" s="4">
        <v>2</v>
      </c>
      <c r="AN21" s="4">
        <v>2</v>
      </c>
      <c r="AO21" s="4">
        <v>2</v>
      </c>
      <c r="AP21" s="4">
        <v>0</v>
      </c>
      <c r="AQ21" s="29">
        <f t="shared" si="5"/>
        <v>30.000000000000004</v>
      </c>
    </row>
    <row r="22" spans="1:43">
      <c r="A22" s="4">
        <f>'INPUT DAFTAR PESERTA'!A20</f>
        <v>17</v>
      </c>
      <c r="B22" s="4">
        <f>'INPUT DAFTAR PESERTA'!B20</f>
        <v>2509076016</v>
      </c>
      <c r="C22" s="6" t="str">
        <f>'INPUT DAFTAR PESERTA'!C20</f>
        <v>Nazwa Gizza Putri Bayu</v>
      </c>
      <c r="D22" s="4">
        <v>2</v>
      </c>
      <c r="E22" s="4">
        <v>2</v>
      </c>
      <c r="F22" s="4">
        <v>3</v>
      </c>
      <c r="G22" s="4">
        <v>1</v>
      </c>
      <c r="H22" s="29">
        <f t="shared" si="0"/>
        <v>51</v>
      </c>
      <c r="I22" s="4">
        <v>3</v>
      </c>
      <c r="J22" s="4">
        <v>2</v>
      </c>
      <c r="K22" s="4">
        <v>3</v>
      </c>
      <c r="L22" s="4">
        <v>3</v>
      </c>
      <c r="M22" s="29">
        <f t="shared" si="6"/>
        <v>84</v>
      </c>
      <c r="N22" s="4">
        <v>3</v>
      </c>
      <c r="O22" s="4">
        <v>3</v>
      </c>
      <c r="P22" s="4">
        <v>3</v>
      </c>
      <c r="Q22" s="4">
        <v>3</v>
      </c>
      <c r="R22" s="29">
        <f t="shared" si="1"/>
        <v>90</v>
      </c>
      <c r="S22" s="4">
        <v>2</v>
      </c>
      <c r="T22" s="4">
        <v>3</v>
      </c>
      <c r="U22" s="4">
        <v>3</v>
      </c>
      <c r="V22" s="4">
        <v>3</v>
      </c>
      <c r="W22" s="29">
        <f t="shared" si="7"/>
        <v>87.000000000000014</v>
      </c>
      <c r="X22" s="4">
        <v>2</v>
      </c>
      <c r="Y22" s="4">
        <v>2</v>
      </c>
      <c r="Z22" s="4">
        <v>2</v>
      </c>
      <c r="AA22" s="4">
        <v>3</v>
      </c>
      <c r="AB22" s="29">
        <f t="shared" si="2"/>
        <v>75</v>
      </c>
      <c r="AC22" s="4">
        <v>3</v>
      </c>
      <c r="AD22" s="4">
        <v>2</v>
      </c>
      <c r="AE22" s="4">
        <v>2</v>
      </c>
      <c r="AF22" s="4">
        <v>3</v>
      </c>
      <c r="AG22" s="29">
        <f t="shared" si="3"/>
        <v>78</v>
      </c>
      <c r="AH22" s="4">
        <v>2</v>
      </c>
      <c r="AI22" s="4">
        <v>3</v>
      </c>
      <c r="AJ22" s="4">
        <v>3</v>
      </c>
      <c r="AK22" s="4">
        <v>3</v>
      </c>
      <c r="AL22" s="29">
        <f t="shared" si="4"/>
        <v>87.000000000000014</v>
      </c>
      <c r="AM22" s="4">
        <v>2</v>
      </c>
      <c r="AN22" s="4">
        <v>2</v>
      </c>
      <c r="AO22" s="4">
        <v>2</v>
      </c>
      <c r="AP22" s="4">
        <v>0</v>
      </c>
      <c r="AQ22" s="29">
        <f t="shared" si="5"/>
        <v>30.000000000000004</v>
      </c>
    </row>
    <row r="23" spans="1:43">
      <c r="A23" s="4">
        <f>'INPUT DAFTAR PESERTA'!A21</f>
        <v>18</v>
      </c>
      <c r="B23" s="4">
        <f>'INPUT DAFTAR PESERTA'!B21</f>
        <v>2509076017</v>
      </c>
      <c r="C23" s="6" t="str">
        <f>'INPUT DAFTAR PESERTA'!C21</f>
        <v>Ryan Maulana Malik</v>
      </c>
      <c r="D23" s="4">
        <v>1</v>
      </c>
      <c r="E23" s="4">
        <v>3</v>
      </c>
      <c r="F23" s="4">
        <v>3</v>
      </c>
      <c r="G23" s="4">
        <v>1</v>
      </c>
      <c r="H23" s="29">
        <f t="shared" si="0"/>
        <v>54.000000000000007</v>
      </c>
      <c r="I23" s="4">
        <v>3</v>
      </c>
      <c r="J23" s="4">
        <v>2</v>
      </c>
      <c r="K23" s="4">
        <v>3</v>
      </c>
      <c r="L23" s="4">
        <v>3</v>
      </c>
      <c r="M23" s="29">
        <f t="shared" si="6"/>
        <v>84</v>
      </c>
      <c r="N23" s="4">
        <v>3</v>
      </c>
      <c r="O23" s="4">
        <v>3</v>
      </c>
      <c r="P23" s="4">
        <v>3</v>
      </c>
      <c r="Q23" s="4">
        <v>3</v>
      </c>
      <c r="R23" s="29">
        <f t="shared" si="1"/>
        <v>90</v>
      </c>
      <c r="S23" s="4">
        <v>2</v>
      </c>
      <c r="T23" s="4">
        <v>3</v>
      </c>
      <c r="U23" s="4">
        <v>3</v>
      </c>
      <c r="V23" s="4">
        <v>3</v>
      </c>
      <c r="W23" s="29">
        <f t="shared" si="7"/>
        <v>87.000000000000014</v>
      </c>
      <c r="X23" s="4">
        <v>3</v>
      </c>
      <c r="Y23" s="4">
        <v>2</v>
      </c>
      <c r="Z23" s="4">
        <v>2</v>
      </c>
      <c r="AA23" s="4">
        <v>3</v>
      </c>
      <c r="AB23" s="29">
        <f t="shared" si="2"/>
        <v>78</v>
      </c>
      <c r="AC23" s="4">
        <v>3</v>
      </c>
      <c r="AD23" s="4">
        <v>2</v>
      </c>
      <c r="AE23" s="4">
        <v>2</v>
      </c>
      <c r="AF23" s="4">
        <v>2.5</v>
      </c>
      <c r="AG23" s="29">
        <f t="shared" si="3"/>
        <v>70.500000000000014</v>
      </c>
      <c r="AH23" s="4">
        <v>2</v>
      </c>
      <c r="AI23" s="4">
        <v>3</v>
      </c>
      <c r="AJ23" s="4">
        <v>3</v>
      </c>
      <c r="AK23" s="4">
        <v>3</v>
      </c>
      <c r="AL23" s="29">
        <f t="shared" si="4"/>
        <v>87.000000000000014</v>
      </c>
      <c r="AM23" s="4">
        <v>2</v>
      </c>
      <c r="AN23" s="4">
        <v>2</v>
      </c>
      <c r="AO23" s="4">
        <v>2</v>
      </c>
      <c r="AP23" s="4">
        <v>0</v>
      </c>
      <c r="AQ23" s="29">
        <f t="shared" si="5"/>
        <v>30.000000000000004</v>
      </c>
    </row>
    <row r="24" spans="1:43">
      <c r="A24" s="4">
        <f>'INPUT DAFTAR PESERTA'!A22</f>
        <v>19</v>
      </c>
      <c r="B24" s="4">
        <f>'INPUT DAFTAR PESERTA'!B22</f>
        <v>2509076018</v>
      </c>
      <c r="C24" s="6" t="str">
        <f>'INPUT DAFTAR PESERTA'!C22</f>
        <v>Fajar Ihsan</v>
      </c>
      <c r="D24" s="4">
        <v>3</v>
      </c>
      <c r="E24" s="4">
        <v>2</v>
      </c>
      <c r="F24" s="4">
        <v>3</v>
      </c>
      <c r="G24" s="4">
        <v>3</v>
      </c>
      <c r="H24" s="29">
        <f t="shared" si="0"/>
        <v>84</v>
      </c>
      <c r="I24" s="4">
        <v>2</v>
      </c>
      <c r="J24" s="4">
        <v>3</v>
      </c>
      <c r="K24" s="4">
        <v>2</v>
      </c>
      <c r="L24" s="4">
        <v>3</v>
      </c>
      <c r="M24" s="29">
        <f t="shared" si="6"/>
        <v>81</v>
      </c>
      <c r="N24" s="4">
        <v>2</v>
      </c>
      <c r="O24" s="4">
        <v>3</v>
      </c>
      <c r="P24" s="4">
        <v>3</v>
      </c>
      <c r="Q24" s="4">
        <v>3</v>
      </c>
      <c r="R24" s="29">
        <f t="shared" si="1"/>
        <v>87.000000000000014</v>
      </c>
      <c r="S24" s="4">
        <v>2</v>
      </c>
      <c r="T24" s="4">
        <v>3</v>
      </c>
      <c r="U24" s="4">
        <v>3</v>
      </c>
      <c r="V24" s="4">
        <v>3</v>
      </c>
      <c r="W24" s="29">
        <f t="shared" si="7"/>
        <v>87.000000000000014</v>
      </c>
      <c r="X24" s="4">
        <v>2</v>
      </c>
      <c r="Y24" s="4">
        <v>2</v>
      </c>
      <c r="Z24" s="4">
        <v>2</v>
      </c>
      <c r="AA24" s="4">
        <v>3</v>
      </c>
      <c r="AB24" s="29">
        <f t="shared" si="2"/>
        <v>75</v>
      </c>
      <c r="AC24" s="4">
        <v>3</v>
      </c>
      <c r="AD24" s="4">
        <v>2</v>
      </c>
      <c r="AE24" s="4">
        <v>2</v>
      </c>
      <c r="AF24" s="4">
        <v>1.5</v>
      </c>
      <c r="AG24" s="29">
        <f t="shared" si="3"/>
        <v>55.5</v>
      </c>
      <c r="AH24" s="4">
        <v>2</v>
      </c>
      <c r="AI24" s="4">
        <v>3</v>
      </c>
      <c r="AJ24" s="4">
        <v>3</v>
      </c>
      <c r="AK24" s="4">
        <v>1</v>
      </c>
      <c r="AL24" s="29">
        <f t="shared" si="4"/>
        <v>57.000000000000007</v>
      </c>
      <c r="AM24" s="4">
        <v>2</v>
      </c>
      <c r="AN24" s="4">
        <v>2</v>
      </c>
      <c r="AO24" s="4">
        <v>2</v>
      </c>
      <c r="AP24" s="4">
        <v>1</v>
      </c>
      <c r="AQ24" s="29">
        <f t="shared" si="5"/>
        <v>45</v>
      </c>
    </row>
    <row r="25" spans="1:43">
      <c r="A25" s="4">
        <f>'INPUT DAFTAR PESERTA'!A23</f>
        <v>20</v>
      </c>
      <c r="B25" s="4">
        <f>'INPUT DAFTAR PESERTA'!B23</f>
        <v>2509076019</v>
      </c>
      <c r="C25" s="6" t="str">
        <f>'INPUT DAFTAR PESERTA'!C23</f>
        <v>Rava Erika Putri</v>
      </c>
      <c r="D25" s="4">
        <v>3</v>
      </c>
      <c r="E25" s="4">
        <v>3</v>
      </c>
      <c r="F25" s="4">
        <v>2</v>
      </c>
      <c r="G25" s="4">
        <v>2</v>
      </c>
      <c r="H25" s="29">
        <f t="shared" si="0"/>
        <v>69</v>
      </c>
      <c r="I25" s="4">
        <v>2</v>
      </c>
      <c r="J25" s="4">
        <v>2</v>
      </c>
      <c r="K25" s="4">
        <v>3</v>
      </c>
      <c r="L25" s="4">
        <v>3</v>
      </c>
      <c r="M25" s="29">
        <f t="shared" si="6"/>
        <v>81</v>
      </c>
      <c r="N25" s="4">
        <v>2</v>
      </c>
      <c r="O25" s="4">
        <v>3</v>
      </c>
      <c r="P25" s="4">
        <v>3</v>
      </c>
      <c r="Q25" s="4">
        <v>2</v>
      </c>
      <c r="R25" s="29">
        <f t="shared" si="1"/>
        <v>72</v>
      </c>
      <c r="S25" s="4">
        <v>2</v>
      </c>
      <c r="T25" s="4">
        <v>3</v>
      </c>
      <c r="U25" s="4">
        <v>3</v>
      </c>
      <c r="V25" s="4">
        <v>3</v>
      </c>
      <c r="W25" s="29">
        <f t="shared" si="7"/>
        <v>87.000000000000014</v>
      </c>
      <c r="X25" s="4">
        <v>2</v>
      </c>
      <c r="Y25" s="4">
        <v>2</v>
      </c>
      <c r="Z25" s="4">
        <v>2</v>
      </c>
      <c r="AA25" s="4">
        <v>3</v>
      </c>
      <c r="AB25" s="29">
        <f t="shared" si="2"/>
        <v>75</v>
      </c>
      <c r="AC25" s="4">
        <v>2</v>
      </c>
      <c r="AD25" s="4">
        <v>2</v>
      </c>
      <c r="AE25" s="4">
        <v>2</v>
      </c>
      <c r="AF25" s="4">
        <v>1</v>
      </c>
      <c r="AG25" s="29">
        <f t="shared" si="3"/>
        <v>45</v>
      </c>
      <c r="AH25" s="4">
        <v>2</v>
      </c>
      <c r="AI25" s="4">
        <v>3</v>
      </c>
      <c r="AJ25" s="4">
        <v>3</v>
      </c>
      <c r="AK25" s="4">
        <v>1</v>
      </c>
      <c r="AL25" s="29">
        <f t="shared" si="4"/>
        <v>57.000000000000007</v>
      </c>
      <c r="AM25" s="4">
        <v>2</v>
      </c>
      <c r="AN25" s="4">
        <v>2</v>
      </c>
      <c r="AO25" s="4">
        <v>2</v>
      </c>
      <c r="AP25" s="4">
        <v>1</v>
      </c>
      <c r="AQ25" s="29">
        <f t="shared" si="5"/>
        <v>45</v>
      </c>
    </row>
    <row r="26" spans="1:43">
      <c r="A26" s="4">
        <f>'INPUT DAFTAR PESERTA'!A24</f>
        <v>21</v>
      </c>
      <c r="B26" s="4">
        <f>'INPUT DAFTAR PESERTA'!B24</f>
        <v>2509076020</v>
      </c>
      <c r="C26" s="6" t="str">
        <f>'INPUT DAFTAR PESERTA'!C24</f>
        <v>Ikhsan Nur</v>
      </c>
      <c r="D26" s="4">
        <v>3</v>
      </c>
      <c r="E26" s="4">
        <v>3</v>
      </c>
      <c r="F26" s="4">
        <v>3</v>
      </c>
      <c r="G26" s="4">
        <v>3</v>
      </c>
      <c r="H26" s="29">
        <f t="shared" si="0"/>
        <v>90</v>
      </c>
      <c r="I26" s="4">
        <v>2</v>
      </c>
      <c r="J26" s="4">
        <v>3</v>
      </c>
      <c r="K26" s="4">
        <v>2</v>
      </c>
      <c r="L26" s="4">
        <v>3</v>
      </c>
      <c r="M26" s="29">
        <f t="shared" si="6"/>
        <v>81</v>
      </c>
      <c r="N26" s="4">
        <v>2</v>
      </c>
      <c r="O26" s="4">
        <v>3</v>
      </c>
      <c r="P26" s="4">
        <v>2</v>
      </c>
      <c r="Q26" s="4">
        <v>3</v>
      </c>
      <c r="R26" s="29">
        <f t="shared" si="1"/>
        <v>81</v>
      </c>
      <c r="S26" s="4">
        <v>2</v>
      </c>
      <c r="T26" s="4">
        <v>3</v>
      </c>
      <c r="U26" s="4">
        <v>3</v>
      </c>
      <c r="V26" s="4">
        <v>3</v>
      </c>
      <c r="W26" s="29">
        <f t="shared" si="7"/>
        <v>87.000000000000014</v>
      </c>
      <c r="X26" s="4">
        <v>2</v>
      </c>
      <c r="Y26" s="4">
        <v>2</v>
      </c>
      <c r="Z26" s="4">
        <v>2</v>
      </c>
      <c r="AA26" s="4">
        <v>3</v>
      </c>
      <c r="AB26" s="29">
        <f t="shared" si="2"/>
        <v>75</v>
      </c>
      <c r="AC26" s="4">
        <v>2</v>
      </c>
      <c r="AD26" s="4">
        <v>2</v>
      </c>
      <c r="AE26" s="4">
        <v>2</v>
      </c>
      <c r="AF26" s="4">
        <v>1.5</v>
      </c>
      <c r="AG26" s="29">
        <f t="shared" si="3"/>
        <v>52.5</v>
      </c>
      <c r="AH26" s="4">
        <v>2</v>
      </c>
      <c r="AI26" s="4">
        <v>3</v>
      </c>
      <c r="AJ26" s="4">
        <v>3</v>
      </c>
      <c r="AK26" s="4">
        <v>1</v>
      </c>
      <c r="AL26" s="29">
        <f t="shared" si="4"/>
        <v>57.000000000000007</v>
      </c>
      <c r="AM26" s="4">
        <v>2</v>
      </c>
      <c r="AN26" s="4">
        <v>2</v>
      </c>
      <c r="AO26" s="4">
        <v>2</v>
      </c>
      <c r="AP26" s="4">
        <v>1</v>
      </c>
      <c r="AQ26" s="29">
        <f t="shared" si="5"/>
        <v>45</v>
      </c>
    </row>
    <row r="27" spans="1:43">
      <c r="A27" s="4">
        <f>'INPUT DAFTAR PESERTA'!A25</f>
        <v>22</v>
      </c>
      <c r="B27" s="4">
        <f>'INPUT DAFTAR PESERTA'!B25</f>
        <v>2509076021</v>
      </c>
      <c r="C27" s="6" t="str">
        <f>'INPUT DAFTAR PESERTA'!C25</f>
        <v>Fahri Fadil Afif</v>
      </c>
      <c r="D27" s="4">
        <v>3</v>
      </c>
      <c r="E27" s="4">
        <v>3</v>
      </c>
      <c r="F27" s="4">
        <v>3</v>
      </c>
      <c r="G27" s="4">
        <v>1</v>
      </c>
      <c r="H27" s="29">
        <f t="shared" si="0"/>
        <v>60.000000000000007</v>
      </c>
      <c r="I27" s="4">
        <v>2</v>
      </c>
      <c r="J27" s="4">
        <v>2</v>
      </c>
      <c r="K27" s="4">
        <v>3</v>
      </c>
      <c r="L27" s="4">
        <v>1</v>
      </c>
      <c r="M27" s="29">
        <f t="shared" si="6"/>
        <v>51</v>
      </c>
      <c r="N27" s="4">
        <v>2</v>
      </c>
      <c r="O27" s="4">
        <v>3</v>
      </c>
      <c r="P27" s="4">
        <v>3</v>
      </c>
      <c r="Q27" s="4">
        <v>2</v>
      </c>
      <c r="R27" s="29">
        <f t="shared" si="1"/>
        <v>72</v>
      </c>
      <c r="S27" s="4">
        <v>2</v>
      </c>
      <c r="T27" s="4">
        <v>3</v>
      </c>
      <c r="U27" s="4">
        <v>3</v>
      </c>
      <c r="V27" s="4">
        <v>3</v>
      </c>
      <c r="W27" s="29">
        <f t="shared" si="7"/>
        <v>87.000000000000014</v>
      </c>
      <c r="X27" s="4">
        <v>2</v>
      </c>
      <c r="Y27" s="4">
        <v>2</v>
      </c>
      <c r="Z27" s="4">
        <v>2</v>
      </c>
      <c r="AA27" s="4">
        <v>3</v>
      </c>
      <c r="AB27" s="29">
        <f t="shared" si="2"/>
        <v>75</v>
      </c>
      <c r="AC27" s="4">
        <v>2</v>
      </c>
      <c r="AD27" s="4">
        <v>2</v>
      </c>
      <c r="AE27" s="4">
        <v>2</v>
      </c>
      <c r="AF27" s="4">
        <v>1</v>
      </c>
      <c r="AG27" s="29">
        <f t="shared" si="3"/>
        <v>45</v>
      </c>
      <c r="AH27" s="4">
        <v>2</v>
      </c>
      <c r="AI27" s="4">
        <v>3</v>
      </c>
      <c r="AJ27" s="4">
        <v>3</v>
      </c>
      <c r="AK27" s="4">
        <v>1</v>
      </c>
      <c r="AL27" s="29">
        <f t="shared" si="4"/>
        <v>57.000000000000007</v>
      </c>
      <c r="AM27" s="4">
        <v>2</v>
      </c>
      <c r="AN27" s="4">
        <v>2</v>
      </c>
      <c r="AO27" s="4">
        <v>2</v>
      </c>
      <c r="AP27" s="4">
        <v>1</v>
      </c>
      <c r="AQ27" s="29">
        <f t="shared" si="5"/>
        <v>45</v>
      </c>
    </row>
    <row r="28" spans="1:43">
      <c r="A28" s="4">
        <f>'INPUT DAFTAR PESERTA'!A26</f>
        <v>23</v>
      </c>
      <c r="B28" s="4">
        <f>'INPUT DAFTAR PESERTA'!B26</f>
        <v>2509076022</v>
      </c>
      <c r="C28" s="6" t="str">
        <f>'INPUT DAFTAR PESERTA'!C26</f>
        <v>Andika Yanuardani</v>
      </c>
      <c r="D28" s="4">
        <v>2</v>
      </c>
      <c r="E28" s="4">
        <v>3</v>
      </c>
      <c r="F28" s="4">
        <v>3</v>
      </c>
      <c r="G28" s="4">
        <v>3</v>
      </c>
      <c r="H28" s="29">
        <f t="shared" si="0"/>
        <v>87.000000000000014</v>
      </c>
      <c r="I28" s="4">
        <v>3</v>
      </c>
      <c r="J28" s="4">
        <v>3</v>
      </c>
      <c r="K28" s="4">
        <v>3</v>
      </c>
      <c r="L28" s="4">
        <v>3</v>
      </c>
      <c r="M28" s="29">
        <f t="shared" si="6"/>
        <v>90</v>
      </c>
      <c r="N28" s="4">
        <v>2</v>
      </c>
      <c r="O28" s="4">
        <v>3</v>
      </c>
      <c r="P28" s="4">
        <v>3</v>
      </c>
      <c r="Q28" s="4">
        <v>3</v>
      </c>
      <c r="R28" s="29">
        <f t="shared" si="1"/>
        <v>87.000000000000014</v>
      </c>
      <c r="S28" s="4">
        <v>2</v>
      </c>
      <c r="T28" s="4">
        <v>3</v>
      </c>
      <c r="U28" s="4">
        <v>3</v>
      </c>
      <c r="V28" s="4">
        <v>3</v>
      </c>
      <c r="W28" s="29">
        <f t="shared" si="7"/>
        <v>87.000000000000014</v>
      </c>
      <c r="X28" s="4">
        <v>2</v>
      </c>
      <c r="Y28" s="4">
        <v>2</v>
      </c>
      <c r="Z28" s="4">
        <v>2</v>
      </c>
      <c r="AA28" s="4">
        <v>3</v>
      </c>
      <c r="AB28" s="29">
        <f t="shared" si="2"/>
        <v>75</v>
      </c>
      <c r="AC28" s="4">
        <v>2</v>
      </c>
      <c r="AD28" s="4">
        <v>2</v>
      </c>
      <c r="AE28" s="4">
        <v>2</v>
      </c>
      <c r="AF28" s="4">
        <v>1</v>
      </c>
      <c r="AG28" s="29">
        <f t="shared" si="3"/>
        <v>45</v>
      </c>
      <c r="AH28" s="4">
        <v>2</v>
      </c>
      <c r="AI28" s="4">
        <v>3</v>
      </c>
      <c r="AJ28" s="4">
        <v>3</v>
      </c>
      <c r="AK28" s="4">
        <v>1</v>
      </c>
      <c r="AL28" s="29">
        <f t="shared" si="4"/>
        <v>57.000000000000007</v>
      </c>
      <c r="AM28" s="4">
        <v>2</v>
      </c>
      <c r="AN28" s="4">
        <v>3</v>
      </c>
      <c r="AO28" s="4">
        <v>3</v>
      </c>
      <c r="AP28" s="4">
        <v>2</v>
      </c>
      <c r="AQ28" s="29">
        <f t="shared" si="5"/>
        <v>72</v>
      </c>
    </row>
    <row r="29" spans="1:43">
      <c r="A29" s="4">
        <f>'INPUT DAFTAR PESERTA'!A27</f>
        <v>24</v>
      </c>
      <c r="B29" s="4">
        <f>'INPUT DAFTAR PESERTA'!B27</f>
        <v>2509076023</v>
      </c>
      <c r="C29" s="6" t="str">
        <f>'INPUT DAFTAR PESERTA'!C27</f>
        <v>Muhammad Hernanditya Rizky Susanto</v>
      </c>
      <c r="D29" s="4">
        <v>3</v>
      </c>
      <c r="E29" s="4">
        <v>3</v>
      </c>
      <c r="F29" s="4">
        <v>3</v>
      </c>
      <c r="G29" s="4">
        <v>1</v>
      </c>
      <c r="H29" s="29">
        <f t="shared" si="0"/>
        <v>60.000000000000007</v>
      </c>
      <c r="I29" s="4">
        <v>3</v>
      </c>
      <c r="J29" s="4">
        <v>3</v>
      </c>
      <c r="K29" s="4">
        <v>3</v>
      </c>
      <c r="L29" s="4">
        <v>1</v>
      </c>
      <c r="M29" s="29">
        <f t="shared" si="6"/>
        <v>60.000000000000007</v>
      </c>
      <c r="N29" s="4">
        <v>2</v>
      </c>
      <c r="O29" s="4">
        <v>2</v>
      </c>
      <c r="P29" s="4">
        <v>3</v>
      </c>
      <c r="Q29" s="4">
        <v>3</v>
      </c>
      <c r="R29" s="29">
        <f t="shared" si="1"/>
        <v>81</v>
      </c>
      <c r="S29" s="4">
        <v>2</v>
      </c>
      <c r="T29" s="4">
        <v>3</v>
      </c>
      <c r="U29" s="4">
        <v>3</v>
      </c>
      <c r="V29" s="4">
        <v>3</v>
      </c>
      <c r="W29" s="29">
        <f t="shared" si="7"/>
        <v>87.000000000000014</v>
      </c>
      <c r="X29" s="4">
        <v>2</v>
      </c>
      <c r="Y29" s="4">
        <v>2</v>
      </c>
      <c r="Z29" s="4">
        <v>2</v>
      </c>
      <c r="AA29" s="4">
        <v>3</v>
      </c>
      <c r="AB29" s="29">
        <f t="shared" si="2"/>
        <v>75</v>
      </c>
      <c r="AC29" s="4">
        <v>2</v>
      </c>
      <c r="AD29" s="4">
        <v>2</v>
      </c>
      <c r="AE29" s="4">
        <v>2</v>
      </c>
      <c r="AF29" s="4">
        <v>1</v>
      </c>
      <c r="AG29" s="29">
        <f t="shared" si="3"/>
        <v>45</v>
      </c>
      <c r="AH29" s="4">
        <v>2</v>
      </c>
      <c r="AI29" s="4">
        <v>3</v>
      </c>
      <c r="AJ29" s="4">
        <v>3</v>
      </c>
      <c r="AK29" s="4">
        <v>3</v>
      </c>
      <c r="AL29" s="29">
        <f t="shared" si="4"/>
        <v>87.000000000000014</v>
      </c>
      <c r="AM29" s="4">
        <v>2</v>
      </c>
      <c r="AN29" s="4">
        <v>3</v>
      </c>
      <c r="AO29" s="4">
        <v>3</v>
      </c>
      <c r="AP29" s="4">
        <v>2</v>
      </c>
      <c r="AQ29" s="29">
        <f t="shared" si="5"/>
        <v>72</v>
      </c>
    </row>
    <row r="30" spans="1:43">
      <c r="A30" s="4">
        <f>'INPUT DAFTAR PESERTA'!A28</f>
        <v>25</v>
      </c>
      <c r="B30" s="4">
        <f>'INPUT DAFTAR PESERTA'!B28</f>
        <v>2509076024</v>
      </c>
      <c r="C30" s="6" t="str">
        <f>'INPUT DAFTAR PESERTA'!C28</f>
        <v>Febrianto Paa Linthin</v>
      </c>
      <c r="D30" s="4">
        <v>3</v>
      </c>
      <c r="E30" s="4">
        <v>3</v>
      </c>
      <c r="F30" s="4">
        <v>3</v>
      </c>
      <c r="G30" s="4">
        <v>3</v>
      </c>
      <c r="H30" s="29">
        <f t="shared" si="0"/>
        <v>90</v>
      </c>
      <c r="I30" s="4">
        <v>3</v>
      </c>
      <c r="J30" s="4">
        <v>3</v>
      </c>
      <c r="K30" s="4">
        <v>3</v>
      </c>
      <c r="L30" s="4">
        <v>3</v>
      </c>
      <c r="M30" s="29">
        <f t="shared" si="6"/>
        <v>90</v>
      </c>
      <c r="N30" s="4">
        <v>2</v>
      </c>
      <c r="O30" s="4">
        <v>3</v>
      </c>
      <c r="P30" s="4">
        <v>3</v>
      </c>
      <c r="Q30" s="4">
        <v>3</v>
      </c>
      <c r="R30" s="29">
        <f t="shared" si="1"/>
        <v>87.000000000000014</v>
      </c>
      <c r="S30" s="29">
        <v>2</v>
      </c>
      <c r="T30" s="4">
        <v>3</v>
      </c>
      <c r="U30" s="4">
        <v>3</v>
      </c>
      <c r="V30" s="4">
        <v>3</v>
      </c>
      <c r="W30" s="29">
        <f t="shared" si="7"/>
        <v>87.000000000000014</v>
      </c>
      <c r="X30" s="4">
        <v>2</v>
      </c>
      <c r="Y30" s="4">
        <v>2</v>
      </c>
      <c r="Z30" s="4">
        <v>2</v>
      </c>
      <c r="AA30" s="4">
        <v>3</v>
      </c>
      <c r="AB30" s="29">
        <f t="shared" si="2"/>
        <v>75</v>
      </c>
      <c r="AC30" s="4">
        <v>2</v>
      </c>
      <c r="AD30" s="4">
        <v>2</v>
      </c>
      <c r="AE30" s="4">
        <v>2</v>
      </c>
      <c r="AF30" s="4">
        <v>1.5</v>
      </c>
      <c r="AG30" s="29">
        <f t="shared" si="3"/>
        <v>52.5</v>
      </c>
      <c r="AH30" s="4">
        <v>2</v>
      </c>
      <c r="AI30" s="4">
        <v>3</v>
      </c>
      <c r="AJ30" s="4">
        <v>3</v>
      </c>
      <c r="AK30" s="4">
        <v>1</v>
      </c>
      <c r="AL30" s="29">
        <f t="shared" si="4"/>
        <v>57.000000000000007</v>
      </c>
      <c r="AM30" s="4">
        <v>2</v>
      </c>
      <c r="AN30" s="4">
        <v>3</v>
      </c>
      <c r="AO30" s="4">
        <v>3</v>
      </c>
      <c r="AP30" s="4">
        <v>3</v>
      </c>
      <c r="AQ30" s="29">
        <f t="shared" si="5"/>
        <v>87.000000000000014</v>
      </c>
    </row>
    <row r="31" spans="1:43">
      <c r="A31" s="4">
        <f>'INPUT DAFTAR PESERTA'!A29</f>
        <v>26</v>
      </c>
      <c r="B31" s="4">
        <f>'INPUT DAFTAR PESERTA'!B29</f>
        <v>2509076025</v>
      </c>
      <c r="C31" s="6" t="str">
        <f>'INPUT DAFTAR PESERTA'!C29</f>
        <v>Sandriko Pebrian Silaen</v>
      </c>
      <c r="D31" s="4">
        <v>3</v>
      </c>
      <c r="E31" s="4">
        <v>3</v>
      </c>
      <c r="F31" s="4">
        <v>3</v>
      </c>
      <c r="G31" s="4">
        <v>3</v>
      </c>
      <c r="H31" s="29">
        <f t="shared" si="0"/>
        <v>90</v>
      </c>
      <c r="I31" s="4">
        <v>3</v>
      </c>
      <c r="J31" s="4">
        <v>3</v>
      </c>
      <c r="K31" s="4">
        <v>3</v>
      </c>
      <c r="L31" s="4">
        <v>2</v>
      </c>
      <c r="M31" s="29">
        <f t="shared" si="6"/>
        <v>75.000000000000014</v>
      </c>
      <c r="N31" s="4">
        <v>3</v>
      </c>
      <c r="O31" s="4">
        <v>3</v>
      </c>
      <c r="P31" s="4">
        <v>3</v>
      </c>
      <c r="Q31" s="4">
        <v>3</v>
      </c>
      <c r="R31" s="29">
        <f t="shared" si="1"/>
        <v>90</v>
      </c>
      <c r="S31" s="29">
        <v>2</v>
      </c>
      <c r="T31" s="4">
        <v>3</v>
      </c>
      <c r="U31" s="4">
        <v>3</v>
      </c>
      <c r="V31" s="4">
        <v>3</v>
      </c>
      <c r="W31" s="29">
        <f t="shared" si="7"/>
        <v>87.000000000000014</v>
      </c>
      <c r="X31" s="4">
        <v>2</v>
      </c>
      <c r="Y31" s="4">
        <v>2</v>
      </c>
      <c r="Z31" s="4">
        <v>2</v>
      </c>
      <c r="AA31" s="4">
        <v>3</v>
      </c>
      <c r="AB31" s="29">
        <f t="shared" si="2"/>
        <v>75</v>
      </c>
      <c r="AC31" s="4">
        <v>2</v>
      </c>
      <c r="AD31" s="4">
        <v>2</v>
      </c>
      <c r="AE31" s="4">
        <v>2</v>
      </c>
      <c r="AF31" s="4">
        <v>1</v>
      </c>
      <c r="AG31" s="29">
        <f t="shared" si="3"/>
        <v>45</v>
      </c>
      <c r="AH31" s="4">
        <v>2</v>
      </c>
      <c r="AI31" s="4">
        <v>3</v>
      </c>
      <c r="AJ31" s="4">
        <v>3</v>
      </c>
      <c r="AK31" s="4">
        <v>1</v>
      </c>
      <c r="AL31" s="29">
        <f t="shared" si="4"/>
        <v>57.000000000000007</v>
      </c>
      <c r="AM31" s="4">
        <v>2</v>
      </c>
      <c r="AN31" s="4">
        <v>3</v>
      </c>
      <c r="AO31" s="4">
        <v>3</v>
      </c>
      <c r="AP31" s="4">
        <v>2</v>
      </c>
      <c r="AQ31" s="29">
        <f t="shared" si="5"/>
        <v>72</v>
      </c>
    </row>
    <row r="32" spans="1:43">
      <c r="A32" s="4">
        <f>'INPUT DAFTAR PESERTA'!A30</f>
        <v>27</v>
      </c>
      <c r="B32" s="4">
        <f>'INPUT DAFTAR PESERTA'!B30</f>
        <v>2509076026</v>
      </c>
      <c r="C32" s="6" t="str">
        <f>'INPUT DAFTAR PESERTA'!C30</f>
        <v>Alifka Pasha Assiddiq</v>
      </c>
      <c r="D32" s="4">
        <v>3</v>
      </c>
      <c r="E32" s="4">
        <v>3</v>
      </c>
      <c r="F32" s="4">
        <v>3</v>
      </c>
      <c r="G32" s="4">
        <v>2</v>
      </c>
      <c r="H32" s="29">
        <f t="shared" si="0"/>
        <v>75.000000000000014</v>
      </c>
      <c r="I32" s="4">
        <v>3</v>
      </c>
      <c r="J32" s="4">
        <v>3</v>
      </c>
      <c r="K32" s="4">
        <v>3</v>
      </c>
      <c r="L32" s="4">
        <v>3</v>
      </c>
      <c r="M32" s="29">
        <f t="shared" si="6"/>
        <v>90</v>
      </c>
      <c r="N32" s="4">
        <v>3</v>
      </c>
      <c r="O32" s="4">
        <v>3</v>
      </c>
      <c r="P32" s="4">
        <v>3</v>
      </c>
      <c r="Q32" s="4">
        <v>3</v>
      </c>
      <c r="R32" s="29">
        <f t="shared" si="1"/>
        <v>90</v>
      </c>
      <c r="S32" s="29">
        <v>3</v>
      </c>
      <c r="T32" s="4">
        <v>3</v>
      </c>
      <c r="U32" s="4">
        <v>3</v>
      </c>
      <c r="V32" s="4">
        <v>3</v>
      </c>
      <c r="W32" s="29">
        <f t="shared" si="7"/>
        <v>90</v>
      </c>
      <c r="X32" s="4">
        <v>2</v>
      </c>
      <c r="Y32" s="4">
        <v>2</v>
      </c>
      <c r="Z32" s="4">
        <v>2</v>
      </c>
      <c r="AA32" s="4">
        <v>2</v>
      </c>
      <c r="AB32" s="29">
        <f t="shared" si="2"/>
        <v>60.000000000000007</v>
      </c>
      <c r="AC32" s="4">
        <v>3</v>
      </c>
      <c r="AD32" s="4">
        <v>2</v>
      </c>
      <c r="AE32" s="4">
        <v>2</v>
      </c>
      <c r="AF32" s="4">
        <v>1</v>
      </c>
      <c r="AG32" s="29">
        <f t="shared" si="3"/>
        <v>48</v>
      </c>
      <c r="AH32" s="4">
        <v>2</v>
      </c>
      <c r="AI32" s="4">
        <v>3</v>
      </c>
      <c r="AJ32" s="4">
        <v>3</v>
      </c>
      <c r="AK32" s="4">
        <v>2</v>
      </c>
      <c r="AL32" s="29">
        <f t="shared" si="4"/>
        <v>72</v>
      </c>
      <c r="AM32" s="4">
        <v>2</v>
      </c>
      <c r="AN32" s="4">
        <v>3</v>
      </c>
      <c r="AO32" s="4">
        <v>3</v>
      </c>
      <c r="AP32" s="4">
        <v>3</v>
      </c>
      <c r="AQ32" s="29">
        <f t="shared" si="5"/>
        <v>87.000000000000014</v>
      </c>
    </row>
    <row r="33" spans="1:43">
      <c r="A33" s="4">
        <f>'INPUT DAFTAR PESERTA'!A31</f>
        <v>28</v>
      </c>
      <c r="B33" s="4">
        <f>'INPUT DAFTAR PESERTA'!B31</f>
        <v>2509076027</v>
      </c>
      <c r="C33" s="6" t="str">
        <f>'INPUT DAFTAR PESERTA'!C31</f>
        <v>Firaas Nur Atsaal</v>
      </c>
      <c r="D33" s="4">
        <v>3</v>
      </c>
      <c r="E33" s="4">
        <v>3</v>
      </c>
      <c r="F33" s="4">
        <v>3</v>
      </c>
      <c r="G33" s="4">
        <v>2</v>
      </c>
      <c r="H33" s="29">
        <f t="shared" si="0"/>
        <v>75.000000000000014</v>
      </c>
      <c r="I33" s="4">
        <v>3</v>
      </c>
      <c r="J33" s="4">
        <v>3</v>
      </c>
      <c r="K33" s="4">
        <v>3</v>
      </c>
      <c r="L33" s="4">
        <v>3</v>
      </c>
      <c r="M33" s="29">
        <f t="shared" si="6"/>
        <v>90</v>
      </c>
      <c r="N33" s="4">
        <v>3</v>
      </c>
      <c r="O33" s="4">
        <v>3</v>
      </c>
      <c r="P33" s="4">
        <v>3</v>
      </c>
      <c r="Q33" s="4">
        <v>3</v>
      </c>
      <c r="R33" s="29">
        <f t="shared" si="1"/>
        <v>90</v>
      </c>
      <c r="S33" s="29">
        <v>3</v>
      </c>
      <c r="T33" s="4">
        <v>3</v>
      </c>
      <c r="U33" s="4">
        <v>3</v>
      </c>
      <c r="V33" s="4">
        <v>3</v>
      </c>
      <c r="W33" s="29">
        <f t="shared" si="7"/>
        <v>90</v>
      </c>
      <c r="X33" s="4">
        <v>3</v>
      </c>
      <c r="Y33" s="4">
        <v>2</v>
      </c>
      <c r="Z33" s="4">
        <v>2</v>
      </c>
      <c r="AA33" s="4">
        <v>3</v>
      </c>
      <c r="AB33" s="29">
        <f t="shared" si="2"/>
        <v>78</v>
      </c>
      <c r="AC33" s="4">
        <v>3</v>
      </c>
      <c r="AD33" s="4">
        <v>2</v>
      </c>
      <c r="AE33" s="4">
        <v>2</v>
      </c>
      <c r="AF33" s="4">
        <v>2.5</v>
      </c>
      <c r="AG33" s="29">
        <f t="shared" si="3"/>
        <v>70.500000000000014</v>
      </c>
      <c r="AH33" s="4">
        <v>2</v>
      </c>
      <c r="AI33" s="4">
        <v>3</v>
      </c>
      <c r="AJ33" s="4">
        <v>3</v>
      </c>
      <c r="AK33" s="4">
        <v>2</v>
      </c>
      <c r="AL33" s="29">
        <f t="shared" si="4"/>
        <v>72</v>
      </c>
      <c r="AM33" s="4">
        <v>2</v>
      </c>
      <c r="AN33" s="4">
        <v>3</v>
      </c>
      <c r="AO33" s="4">
        <v>3</v>
      </c>
      <c r="AP33" s="4">
        <v>3</v>
      </c>
      <c r="AQ33" s="29">
        <f t="shared" si="5"/>
        <v>87.000000000000014</v>
      </c>
    </row>
    <row r="34" spans="1:43">
      <c r="A34" s="4">
        <f>'INPUT DAFTAR PESERTA'!A32</f>
        <v>29</v>
      </c>
      <c r="B34" s="4">
        <f>'INPUT DAFTAR PESERTA'!B32</f>
        <v>2509076028</v>
      </c>
      <c r="C34" s="6" t="str">
        <f>'INPUT DAFTAR PESERTA'!C32</f>
        <v>M. Davy Ananda</v>
      </c>
      <c r="D34" s="4">
        <v>3</v>
      </c>
      <c r="E34" s="4">
        <v>3</v>
      </c>
      <c r="F34" s="4">
        <v>3</v>
      </c>
      <c r="G34" s="4">
        <v>1</v>
      </c>
      <c r="H34" s="29">
        <f t="shared" si="0"/>
        <v>60.000000000000007</v>
      </c>
      <c r="I34" s="4">
        <v>3</v>
      </c>
      <c r="J34" s="4">
        <v>3</v>
      </c>
      <c r="K34" s="4">
        <v>3</v>
      </c>
      <c r="L34" s="4">
        <v>2</v>
      </c>
      <c r="M34" s="29">
        <f t="shared" si="6"/>
        <v>75.000000000000014</v>
      </c>
      <c r="N34" s="4">
        <v>3</v>
      </c>
      <c r="O34" s="4">
        <v>3</v>
      </c>
      <c r="P34" s="4">
        <v>3</v>
      </c>
      <c r="Q34" s="4">
        <v>3</v>
      </c>
      <c r="R34" s="29">
        <f t="shared" si="1"/>
        <v>90</v>
      </c>
      <c r="S34" s="29">
        <v>3</v>
      </c>
      <c r="T34" s="4">
        <v>3</v>
      </c>
      <c r="U34" s="4">
        <v>3</v>
      </c>
      <c r="V34" s="4">
        <v>3</v>
      </c>
      <c r="W34" s="29">
        <f t="shared" si="7"/>
        <v>90</v>
      </c>
      <c r="X34" s="4">
        <v>2</v>
      </c>
      <c r="Y34" s="4">
        <v>2</v>
      </c>
      <c r="Z34" s="4">
        <v>2</v>
      </c>
      <c r="AA34" s="4">
        <v>3</v>
      </c>
      <c r="AB34" s="29">
        <f t="shared" si="2"/>
        <v>75</v>
      </c>
      <c r="AC34" s="4">
        <v>3</v>
      </c>
      <c r="AD34" s="4">
        <v>2</v>
      </c>
      <c r="AE34" s="4">
        <v>2</v>
      </c>
      <c r="AF34" s="4">
        <v>1</v>
      </c>
      <c r="AG34" s="29">
        <f t="shared" si="3"/>
        <v>48</v>
      </c>
      <c r="AH34" s="4">
        <v>2</v>
      </c>
      <c r="AI34" s="4">
        <v>3</v>
      </c>
      <c r="AJ34" s="4">
        <v>3</v>
      </c>
      <c r="AK34" s="4">
        <v>1</v>
      </c>
      <c r="AL34" s="29">
        <f t="shared" si="4"/>
        <v>57.000000000000007</v>
      </c>
      <c r="AM34" s="4">
        <v>2</v>
      </c>
      <c r="AN34" s="4">
        <v>3</v>
      </c>
      <c r="AO34" s="4">
        <v>3</v>
      </c>
      <c r="AP34" s="4">
        <v>3</v>
      </c>
      <c r="AQ34" s="29">
        <f t="shared" si="5"/>
        <v>87.000000000000014</v>
      </c>
    </row>
    <row r="35" spans="1:43">
      <c r="A35" s="4">
        <f>'INPUT DAFTAR PESERTA'!A33</f>
        <v>30</v>
      </c>
      <c r="B35" s="4">
        <f>'INPUT DAFTAR PESERTA'!B33</f>
        <v>2509076029</v>
      </c>
      <c r="C35" s="6" t="str">
        <f>'INPUT DAFTAR PESERTA'!C33</f>
        <v>Abimanyu Putra Nugroho</v>
      </c>
      <c r="D35" s="4">
        <v>3</v>
      </c>
      <c r="E35" s="4">
        <v>3</v>
      </c>
      <c r="F35" s="4">
        <v>3</v>
      </c>
      <c r="G35" s="4">
        <v>2</v>
      </c>
      <c r="H35" s="29">
        <f t="shared" si="0"/>
        <v>75.000000000000014</v>
      </c>
      <c r="I35" s="4">
        <v>3</v>
      </c>
      <c r="J35" s="4">
        <v>3</v>
      </c>
      <c r="K35" s="4">
        <v>3</v>
      </c>
      <c r="L35" s="4">
        <v>3</v>
      </c>
      <c r="M35" s="29">
        <f t="shared" si="6"/>
        <v>90</v>
      </c>
      <c r="N35" s="4">
        <v>3</v>
      </c>
      <c r="O35" s="4">
        <v>3</v>
      </c>
      <c r="P35" s="4">
        <v>3</v>
      </c>
      <c r="Q35" s="4">
        <v>2</v>
      </c>
      <c r="R35" s="29">
        <f t="shared" si="1"/>
        <v>75.000000000000014</v>
      </c>
      <c r="S35" s="29">
        <v>3</v>
      </c>
      <c r="T35" s="4">
        <v>3</v>
      </c>
      <c r="U35" s="4">
        <v>3</v>
      </c>
      <c r="V35" s="4">
        <v>1</v>
      </c>
      <c r="W35" s="29">
        <f t="shared" si="7"/>
        <v>60.000000000000007</v>
      </c>
      <c r="X35" s="4">
        <v>2</v>
      </c>
      <c r="Y35" s="4">
        <v>2</v>
      </c>
      <c r="Z35" s="4">
        <v>2</v>
      </c>
      <c r="AA35" s="4">
        <v>3</v>
      </c>
      <c r="AB35" s="29">
        <f t="shared" si="2"/>
        <v>75</v>
      </c>
      <c r="AC35" s="4">
        <v>3</v>
      </c>
      <c r="AD35" s="4">
        <v>2</v>
      </c>
      <c r="AE35" s="4">
        <v>2</v>
      </c>
      <c r="AF35" s="4">
        <v>1.5</v>
      </c>
      <c r="AG35" s="29">
        <f t="shared" si="3"/>
        <v>55.5</v>
      </c>
      <c r="AH35" s="4">
        <v>2</v>
      </c>
      <c r="AI35" s="4">
        <v>3</v>
      </c>
      <c r="AJ35" s="4">
        <v>3</v>
      </c>
      <c r="AK35" s="4">
        <v>1</v>
      </c>
      <c r="AL35" s="29">
        <f t="shared" si="4"/>
        <v>57.000000000000007</v>
      </c>
      <c r="AM35" s="4">
        <v>2</v>
      </c>
      <c r="AN35" s="4">
        <v>3</v>
      </c>
      <c r="AO35" s="4">
        <v>3</v>
      </c>
      <c r="AP35" s="4">
        <v>3</v>
      </c>
      <c r="AQ35" s="29">
        <f t="shared" si="5"/>
        <v>87.000000000000014</v>
      </c>
    </row>
    <row r="36" spans="1:43">
      <c r="A36" s="4">
        <f>'INPUT DAFTAR PESERTA'!A34</f>
        <v>31</v>
      </c>
      <c r="B36" s="4">
        <f>'INPUT DAFTAR PESERTA'!B34</f>
        <v>2509076030</v>
      </c>
      <c r="C36" s="6" t="str">
        <f>'INPUT DAFTAR PESERTA'!C34</f>
        <v>Nur Fahmi Saputra</v>
      </c>
      <c r="D36" s="4">
        <v>3</v>
      </c>
      <c r="E36" s="4">
        <v>3</v>
      </c>
      <c r="F36" s="4">
        <v>3</v>
      </c>
      <c r="G36" s="4">
        <v>1</v>
      </c>
      <c r="H36" s="29">
        <f t="shared" si="0"/>
        <v>60.000000000000007</v>
      </c>
      <c r="I36" s="4">
        <v>3</v>
      </c>
      <c r="J36" s="4">
        <v>3</v>
      </c>
      <c r="K36" s="4">
        <v>3</v>
      </c>
      <c r="L36" s="4">
        <v>1</v>
      </c>
      <c r="M36" s="29">
        <f t="shared" si="6"/>
        <v>60.000000000000007</v>
      </c>
      <c r="N36" s="4">
        <v>3</v>
      </c>
      <c r="O36" s="4">
        <v>3</v>
      </c>
      <c r="P36" s="4">
        <v>3</v>
      </c>
      <c r="Q36" s="4">
        <v>2</v>
      </c>
      <c r="R36" s="29">
        <f t="shared" si="1"/>
        <v>75.000000000000014</v>
      </c>
      <c r="S36" s="29">
        <v>3</v>
      </c>
      <c r="T36" s="4">
        <v>3</v>
      </c>
      <c r="U36" s="4">
        <v>3</v>
      </c>
      <c r="V36" s="4">
        <v>1</v>
      </c>
      <c r="W36" s="29">
        <f t="shared" si="7"/>
        <v>60.000000000000007</v>
      </c>
      <c r="X36" s="4">
        <v>2</v>
      </c>
      <c r="Y36" s="4">
        <v>2</v>
      </c>
      <c r="Z36" s="4">
        <v>2</v>
      </c>
      <c r="AA36" s="4">
        <v>3</v>
      </c>
      <c r="AB36" s="29">
        <f t="shared" si="2"/>
        <v>75</v>
      </c>
      <c r="AC36" s="4">
        <v>2</v>
      </c>
      <c r="AD36" s="4">
        <v>2</v>
      </c>
      <c r="AE36" s="4">
        <v>2</v>
      </c>
      <c r="AF36" s="4">
        <v>1</v>
      </c>
      <c r="AG36" s="29">
        <f t="shared" si="3"/>
        <v>45</v>
      </c>
      <c r="AH36" s="4">
        <v>2</v>
      </c>
      <c r="AI36" s="4">
        <v>3</v>
      </c>
      <c r="AJ36" s="4">
        <v>3</v>
      </c>
      <c r="AK36" s="4">
        <v>1</v>
      </c>
      <c r="AL36" s="29">
        <f t="shared" si="4"/>
        <v>57.000000000000007</v>
      </c>
      <c r="AM36" s="4">
        <v>3</v>
      </c>
      <c r="AN36" s="4">
        <v>2</v>
      </c>
      <c r="AO36" s="4">
        <v>3</v>
      </c>
      <c r="AP36" s="4">
        <v>1</v>
      </c>
      <c r="AQ36" s="29">
        <f t="shared" si="5"/>
        <v>54</v>
      </c>
    </row>
    <row r="37" spans="1:43">
      <c r="A37" s="4">
        <f>'INPUT DAFTAR PESERTA'!A35</f>
        <v>32</v>
      </c>
      <c r="B37" s="4">
        <f>'INPUT DAFTAR PESERTA'!B35</f>
        <v>2509076031</v>
      </c>
      <c r="C37" s="6" t="str">
        <f>'INPUT DAFTAR PESERTA'!C35</f>
        <v>Sentike Baso'</v>
      </c>
      <c r="D37" s="4">
        <v>3</v>
      </c>
      <c r="E37" s="4">
        <v>3</v>
      </c>
      <c r="F37" s="4">
        <v>3</v>
      </c>
      <c r="G37" s="4">
        <v>0</v>
      </c>
      <c r="H37" s="29">
        <f t="shared" si="0"/>
        <v>45.000000000000007</v>
      </c>
      <c r="I37" s="4">
        <v>3</v>
      </c>
      <c r="J37" s="4">
        <v>3</v>
      </c>
      <c r="K37" s="4">
        <v>3</v>
      </c>
      <c r="L37" s="4">
        <v>1</v>
      </c>
      <c r="M37" s="29">
        <f t="shared" si="6"/>
        <v>60.000000000000007</v>
      </c>
      <c r="N37" s="4">
        <v>3</v>
      </c>
      <c r="O37" s="4">
        <v>3</v>
      </c>
      <c r="P37" s="4">
        <v>3</v>
      </c>
      <c r="Q37" s="4">
        <v>2</v>
      </c>
      <c r="R37" s="29">
        <f t="shared" si="1"/>
        <v>75.000000000000014</v>
      </c>
      <c r="S37" s="29">
        <v>3</v>
      </c>
      <c r="T37" s="4">
        <v>3</v>
      </c>
      <c r="U37" s="4">
        <v>3</v>
      </c>
      <c r="V37" s="4">
        <v>3</v>
      </c>
      <c r="W37" s="29">
        <f t="shared" si="7"/>
        <v>90</v>
      </c>
      <c r="X37" s="4">
        <v>2</v>
      </c>
      <c r="Y37" s="4">
        <v>2</v>
      </c>
      <c r="Z37" s="4">
        <v>2</v>
      </c>
      <c r="AA37" s="4">
        <v>3</v>
      </c>
      <c r="AB37" s="29">
        <f t="shared" si="2"/>
        <v>75</v>
      </c>
      <c r="AC37" s="4">
        <v>2</v>
      </c>
      <c r="AD37" s="4">
        <v>2</v>
      </c>
      <c r="AE37" s="4">
        <v>2</v>
      </c>
      <c r="AF37" s="4">
        <v>1</v>
      </c>
      <c r="AG37" s="29">
        <f t="shared" si="3"/>
        <v>45</v>
      </c>
      <c r="AH37" s="4">
        <v>2</v>
      </c>
      <c r="AI37" s="4">
        <v>3</v>
      </c>
      <c r="AJ37" s="4">
        <v>3</v>
      </c>
      <c r="AK37" s="4">
        <v>2</v>
      </c>
      <c r="AL37" s="29">
        <f t="shared" si="4"/>
        <v>72</v>
      </c>
      <c r="AM37" s="4">
        <v>2</v>
      </c>
      <c r="AN37" s="4">
        <v>2</v>
      </c>
      <c r="AO37" s="4">
        <v>2</v>
      </c>
      <c r="AP37" s="4">
        <v>1</v>
      </c>
      <c r="AQ37" s="29">
        <f t="shared" si="5"/>
        <v>45</v>
      </c>
    </row>
    <row r="38" spans="1:43">
      <c r="A38" s="4">
        <f>'INPUT DAFTAR PESERTA'!A36</f>
        <v>33</v>
      </c>
      <c r="B38" s="4">
        <f>'INPUT DAFTAR PESERTA'!B36</f>
        <v>2509076032</v>
      </c>
      <c r="C38" s="6" t="str">
        <f>'INPUT DAFTAR PESERTA'!C36</f>
        <v>Muhammad Dzaky Nirwasita</v>
      </c>
      <c r="D38" s="4">
        <v>3</v>
      </c>
      <c r="E38" s="4">
        <v>3</v>
      </c>
      <c r="F38" s="4">
        <v>3</v>
      </c>
      <c r="G38" s="4">
        <v>1</v>
      </c>
      <c r="H38" s="29">
        <f t="shared" si="0"/>
        <v>60.000000000000007</v>
      </c>
      <c r="I38" s="4">
        <v>3</v>
      </c>
      <c r="J38" s="4">
        <v>3</v>
      </c>
      <c r="K38" s="4">
        <v>3</v>
      </c>
      <c r="L38" s="4">
        <v>2</v>
      </c>
      <c r="M38" s="29">
        <f t="shared" si="6"/>
        <v>75.000000000000014</v>
      </c>
      <c r="N38" s="4">
        <v>3</v>
      </c>
      <c r="O38" s="4">
        <v>3</v>
      </c>
      <c r="P38" s="4">
        <v>3</v>
      </c>
      <c r="Q38" s="4">
        <v>3</v>
      </c>
      <c r="R38" s="29">
        <f t="shared" si="1"/>
        <v>90</v>
      </c>
      <c r="S38" s="29">
        <v>3</v>
      </c>
      <c r="T38" s="4">
        <v>3</v>
      </c>
      <c r="U38" s="4">
        <v>3</v>
      </c>
      <c r="V38" s="4">
        <v>3</v>
      </c>
      <c r="W38" s="29">
        <f t="shared" si="7"/>
        <v>90</v>
      </c>
      <c r="X38" s="4">
        <v>2</v>
      </c>
      <c r="Y38" s="4">
        <v>2</v>
      </c>
      <c r="Z38" s="4">
        <v>2</v>
      </c>
      <c r="AA38" s="4">
        <v>3</v>
      </c>
      <c r="AB38" s="29">
        <f t="shared" si="2"/>
        <v>75</v>
      </c>
      <c r="AC38" s="4">
        <v>2</v>
      </c>
      <c r="AD38" s="4">
        <v>2</v>
      </c>
      <c r="AE38" s="4">
        <v>2</v>
      </c>
      <c r="AF38" s="4">
        <v>1.5</v>
      </c>
      <c r="AG38" s="29">
        <f t="shared" si="3"/>
        <v>52.5</v>
      </c>
      <c r="AH38" s="4">
        <v>2</v>
      </c>
      <c r="AI38" s="4">
        <v>3</v>
      </c>
      <c r="AJ38" s="4">
        <v>3</v>
      </c>
      <c r="AK38" s="4">
        <v>3</v>
      </c>
      <c r="AL38" s="29">
        <f t="shared" si="4"/>
        <v>87.000000000000014</v>
      </c>
      <c r="AM38" s="4">
        <v>3</v>
      </c>
      <c r="AN38" s="4">
        <v>2</v>
      </c>
      <c r="AO38" s="4">
        <v>3</v>
      </c>
      <c r="AP38" s="4">
        <v>2</v>
      </c>
      <c r="AQ38" s="29">
        <f t="shared" si="5"/>
        <v>69</v>
      </c>
    </row>
    <row r="39" spans="1:43">
      <c r="A39" s="4">
        <f>'INPUT DAFTAR PESERTA'!A37</f>
        <v>34</v>
      </c>
      <c r="B39" s="4">
        <f>'INPUT DAFTAR PESERTA'!B37</f>
        <v>2509076033</v>
      </c>
      <c r="C39" s="6" t="str">
        <f>'INPUT DAFTAR PESERTA'!C37</f>
        <v>Ilham Pratama</v>
      </c>
      <c r="D39" s="4">
        <v>3</v>
      </c>
      <c r="E39" s="4">
        <v>3</v>
      </c>
      <c r="F39" s="4">
        <v>3</v>
      </c>
      <c r="G39" s="4">
        <v>1</v>
      </c>
      <c r="H39" s="29">
        <f t="shared" si="0"/>
        <v>60.000000000000007</v>
      </c>
      <c r="I39" s="4">
        <v>3</v>
      </c>
      <c r="J39" s="4">
        <v>3</v>
      </c>
      <c r="K39" s="4">
        <v>3</v>
      </c>
      <c r="L39" s="4">
        <v>1</v>
      </c>
      <c r="M39" s="29">
        <f t="shared" si="6"/>
        <v>60.000000000000007</v>
      </c>
      <c r="N39" s="4">
        <v>3</v>
      </c>
      <c r="O39" s="4">
        <v>3</v>
      </c>
      <c r="P39" s="4">
        <v>3</v>
      </c>
      <c r="Q39" s="4">
        <v>3</v>
      </c>
      <c r="R39" s="29">
        <f t="shared" si="1"/>
        <v>90</v>
      </c>
      <c r="S39" s="29">
        <v>3</v>
      </c>
      <c r="T39" s="4">
        <v>3</v>
      </c>
      <c r="U39" s="4">
        <v>3</v>
      </c>
      <c r="V39" s="4">
        <v>3</v>
      </c>
      <c r="W39" s="29">
        <f t="shared" si="7"/>
        <v>90</v>
      </c>
      <c r="X39" s="4">
        <v>2</v>
      </c>
      <c r="Y39" s="4">
        <v>2</v>
      </c>
      <c r="Z39" s="4">
        <v>2</v>
      </c>
      <c r="AA39" s="4">
        <v>3</v>
      </c>
      <c r="AB39" s="29">
        <f t="shared" si="2"/>
        <v>75</v>
      </c>
      <c r="AC39" s="4">
        <v>2</v>
      </c>
      <c r="AD39" s="4">
        <v>2</v>
      </c>
      <c r="AE39" s="4">
        <v>2</v>
      </c>
      <c r="AF39" s="4">
        <v>1</v>
      </c>
      <c r="AG39" s="29">
        <f t="shared" si="3"/>
        <v>45</v>
      </c>
      <c r="AH39" s="4">
        <v>2</v>
      </c>
      <c r="AI39" s="4">
        <v>3</v>
      </c>
      <c r="AJ39" s="4">
        <v>3</v>
      </c>
      <c r="AK39" s="4">
        <v>2</v>
      </c>
      <c r="AL39" s="29">
        <f t="shared" si="4"/>
        <v>72</v>
      </c>
      <c r="AM39" s="4">
        <v>3</v>
      </c>
      <c r="AN39" s="4">
        <v>2</v>
      </c>
      <c r="AO39" s="4">
        <v>3</v>
      </c>
      <c r="AP39" s="4">
        <v>1</v>
      </c>
      <c r="AQ39" s="29">
        <f t="shared" si="5"/>
        <v>54</v>
      </c>
    </row>
    <row r="40" spans="1:43">
      <c r="A40" s="4">
        <f>'INPUT DAFTAR PESERTA'!A38</f>
        <v>35</v>
      </c>
      <c r="B40" s="4">
        <f>'INPUT DAFTAR PESERTA'!B38</f>
        <v>2509076034</v>
      </c>
      <c r="C40" s="6" t="str">
        <f>'INPUT DAFTAR PESERTA'!C38</f>
        <v>Muhammad Azwa Brilianto</v>
      </c>
      <c r="D40" s="4">
        <v>3</v>
      </c>
      <c r="E40" s="4">
        <v>3</v>
      </c>
      <c r="F40" s="4">
        <v>3</v>
      </c>
      <c r="G40" s="4">
        <v>3</v>
      </c>
      <c r="H40" s="29">
        <f t="shared" si="0"/>
        <v>90</v>
      </c>
      <c r="I40" s="4">
        <v>3</v>
      </c>
      <c r="J40" s="4">
        <v>3</v>
      </c>
      <c r="K40" s="4">
        <v>3</v>
      </c>
      <c r="L40" s="4">
        <v>3</v>
      </c>
      <c r="M40" s="29">
        <f t="shared" si="6"/>
        <v>90</v>
      </c>
      <c r="N40" s="4">
        <v>3</v>
      </c>
      <c r="O40" s="4">
        <v>3</v>
      </c>
      <c r="P40" s="4">
        <v>3</v>
      </c>
      <c r="Q40" s="4">
        <v>3</v>
      </c>
      <c r="R40" s="29">
        <f t="shared" si="1"/>
        <v>90</v>
      </c>
      <c r="S40" s="29">
        <v>2</v>
      </c>
      <c r="T40" s="4">
        <v>3</v>
      </c>
      <c r="U40" s="4">
        <v>3</v>
      </c>
      <c r="V40" s="4">
        <v>3</v>
      </c>
      <c r="W40" s="29">
        <f t="shared" si="7"/>
        <v>87.000000000000014</v>
      </c>
      <c r="X40" s="4">
        <v>3</v>
      </c>
      <c r="Y40" s="4">
        <v>2</v>
      </c>
      <c r="Z40" s="4">
        <v>2</v>
      </c>
      <c r="AA40" s="4">
        <v>3</v>
      </c>
      <c r="AB40" s="29">
        <f t="shared" si="2"/>
        <v>78</v>
      </c>
      <c r="AC40" s="4">
        <v>2</v>
      </c>
      <c r="AD40" s="4">
        <v>2</v>
      </c>
      <c r="AE40" s="4">
        <v>2</v>
      </c>
      <c r="AF40" s="4">
        <v>1</v>
      </c>
      <c r="AG40" s="29">
        <f t="shared" si="3"/>
        <v>45</v>
      </c>
      <c r="AH40" s="4">
        <v>2</v>
      </c>
      <c r="AI40" s="4">
        <v>2</v>
      </c>
      <c r="AJ40" s="4">
        <v>2</v>
      </c>
      <c r="AK40" s="4">
        <v>2</v>
      </c>
      <c r="AL40" s="29">
        <f t="shared" si="4"/>
        <v>60.000000000000007</v>
      </c>
      <c r="AM40" s="4">
        <v>3</v>
      </c>
      <c r="AN40" s="4">
        <v>2</v>
      </c>
      <c r="AO40" s="4">
        <v>3</v>
      </c>
      <c r="AP40" s="4">
        <v>1</v>
      </c>
      <c r="AQ40" s="29">
        <f t="shared" si="5"/>
        <v>54</v>
      </c>
    </row>
    <row r="41" spans="1:43">
      <c r="A41" s="4">
        <f>'INPUT DAFTAR PESERTA'!A39</f>
        <v>36</v>
      </c>
      <c r="B41" s="4">
        <f>'INPUT DAFTAR PESERTA'!B39</f>
        <v>2509076035</v>
      </c>
      <c r="C41" s="6" t="str">
        <f>'INPUT DAFTAR PESERTA'!C39</f>
        <v>Mario Renhard Simanullang</v>
      </c>
      <c r="D41" s="4">
        <v>3</v>
      </c>
      <c r="E41" s="4">
        <v>3</v>
      </c>
      <c r="F41" s="4">
        <v>3</v>
      </c>
      <c r="G41" s="4">
        <v>3</v>
      </c>
      <c r="H41" s="29">
        <f t="shared" si="0"/>
        <v>90</v>
      </c>
      <c r="I41" s="4">
        <v>3</v>
      </c>
      <c r="J41" s="4">
        <v>3</v>
      </c>
      <c r="K41" s="4">
        <v>3</v>
      </c>
      <c r="L41" s="4">
        <v>1</v>
      </c>
      <c r="M41" s="29">
        <f t="shared" si="6"/>
        <v>60.000000000000007</v>
      </c>
      <c r="N41" s="4">
        <v>3</v>
      </c>
      <c r="O41" s="4">
        <v>3</v>
      </c>
      <c r="P41" s="4">
        <v>3</v>
      </c>
      <c r="Q41" s="4">
        <v>3</v>
      </c>
      <c r="R41" s="29">
        <f t="shared" si="1"/>
        <v>90</v>
      </c>
      <c r="S41" s="29">
        <v>2</v>
      </c>
      <c r="T41" s="4">
        <v>3</v>
      </c>
      <c r="U41" s="4">
        <v>3</v>
      </c>
      <c r="V41" s="4">
        <v>3</v>
      </c>
      <c r="W41" s="29">
        <f t="shared" si="7"/>
        <v>87.000000000000014</v>
      </c>
      <c r="X41" s="4">
        <v>2</v>
      </c>
      <c r="Y41" s="4">
        <v>2</v>
      </c>
      <c r="Z41" s="4">
        <v>2</v>
      </c>
      <c r="AA41" s="4">
        <v>3</v>
      </c>
      <c r="AB41" s="29">
        <f t="shared" si="2"/>
        <v>75</v>
      </c>
      <c r="AC41" s="4">
        <v>2</v>
      </c>
      <c r="AD41" s="4">
        <v>2</v>
      </c>
      <c r="AE41" s="4">
        <v>2</v>
      </c>
      <c r="AF41" s="4">
        <v>1.5</v>
      </c>
      <c r="AG41" s="29">
        <f t="shared" si="3"/>
        <v>52.5</v>
      </c>
      <c r="AH41" s="4">
        <v>3</v>
      </c>
      <c r="AI41" s="4">
        <v>2</v>
      </c>
      <c r="AJ41" s="4">
        <v>2</v>
      </c>
      <c r="AK41" s="4">
        <v>1</v>
      </c>
      <c r="AL41" s="29">
        <f t="shared" si="4"/>
        <v>48</v>
      </c>
      <c r="AM41" s="4">
        <v>3</v>
      </c>
      <c r="AN41" s="4">
        <v>2</v>
      </c>
      <c r="AO41" s="4">
        <v>3</v>
      </c>
      <c r="AP41" s="4">
        <v>1</v>
      </c>
      <c r="AQ41" s="29">
        <f t="shared" si="5"/>
        <v>54</v>
      </c>
    </row>
    <row r="42" spans="1:43">
      <c r="A42" s="4">
        <f>'INPUT DAFTAR PESERTA'!A40</f>
        <v>37</v>
      </c>
      <c r="B42" s="4">
        <f>'INPUT DAFTAR PESERTA'!B40</f>
        <v>2509076036</v>
      </c>
      <c r="C42" s="6" t="str">
        <f>'INPUT DAFTAR PESERTA'!C40</f>
        <v>Andhika Ananda Gusthy</v>
      </c>
      <c r="D42" s="4">
        <v>3</v>
      </c>
      <c r="E42" s="4">
        <v>3</v>
      </c>
      <c r="F42" s="4">
        <v>3</v>
      </c>
      <c r="G42" s="4">
        <v>3</v>
      </c>
      <c r="H42" s="29">
        <f t="shared" si="0"/>
        <v>90</v>
      </c>
      <c r="I42" s="4">
        <v>3</v>
      </c>
      <c r="J42" s="4">
        <v>3</v>
      </c>
      <c r="K42" s="4">
        <v>3</v>
      </c>
      <c r="L42" s="4">
        <v>3</v>
      </c>
      <c r="M42" s="29">
        <f t="shared" si="6"/>
        <v>90</v>
      </c>
      <c r="N42" s="4">
        <v>3</v>
      </c>
      <c r="O42" s="4">
        <v>3</v>
      </c>
      <c r="P42" s="4">
        <v>3</v>
      </c>
      <c r="Q42" s="4">
        <v>3</v>
      </c>
      <c r="R42" s="29">
        <f t="shared" si="1"/>
        <v>90</v>
      </c>
      <c r="S42" s="29">
        <v>2</v>
      </c>
      <c r="T42" s="4">
        <v>3</v>
      </c>
      <c r="U42" s="4">
        <v>3</v>
      </c>
      <c r="V42" s="4">
        <v>3</v>
      </c>
      <c r="W42" s="29">
        <f t="shared" si="7"/>
        <v>87.000000000000014</v>
      </c>
      <c r="X42" s="4">
        <v>2</v>
      </c>
      <c r="Y42" s="4">
        <v>2</v>
      </c>
      <c r="Z42" s="4">
        <v>2</v>
      </c>
      <c r="AA42" s="4">
        <v>3</v>
      </c>
      <c r="AB42" s="29">
        <f t="shared" si="2"/>
        <v>75</v>
      </c>
      <c r="AC42" s="4">
        <v>2</v>
      </c>
      <c r="AD42" s="4">
        <v>2</v>
      </c>
      <c r="AE42" s="4">
        <v>2</v>
      </c>
      <c r="AF42" s="4">
        <v>1.5</v>
      </c>
      <c r="AG42" s="29">
        <f t="shared" si="3"/>
        <v>52.5</v>
      </c>
      <c r="AH42" s="4">
        <v>1</v>
      </c>
      <c r="AI42" s="4">
        <v>2</v>
      </c>
      <c r="AJ42" s="4">
        <v>2</v>
      </c>
      <c r="AK42" s="4">
        <v>3</v>
      </c>
      <c r="AL42" s="29">
        <f t="shared" si="4"/>
        <v>72</v>
      </c>
      <c r="AM42" s="4">
        <v>3</v>
      </c>
      <c r="AN42" s="4">
        <v>2</v>
      </c>
      <c r="AO42" s="4">
        <v>3</v>
      </c>
      <c r="AP42" s="4">
        <v>1</v>
      </c>
      <c r="AQ42" s="29">
        <f t="shared" si="5"/>
        <v>54</v>
      </c>
    </row>
    <row r="43" spans="1:43">
      <c r="A43" s="4">
        <f>'INPUT DAFTAR PESERTA'!A41</f>
        <v>38</v>
      </c>
      <c r="B43" s="4">
        <f>'INPUT DAFTAR PESERTA'!B41</f>
        <v>2509076037</v>
      </c>
      <c r="C43" s="6" t="str">
        <f>'INPUT DAFTAR PESERTA'!C41</f>
        <v>Zherfaqih Al Barki</v>
      </c>
      <c r="D43" s="4">
        <v>3</v>
      </c>
      <c r="E43" s="4">
        <v>3</v>
      </c>
      <c r="F43" s="4">
        <v>3</v>
      </c>
      <c r="G43" s="4">
        <v>2</v>
      </c>
      <c r="H43" s="29">
        <f t="shared" si="0"/>
        <v>75.000000000000014</v>
      </c>
      <c r="I43" s="4">
        <v>3</v>
      </c>
      <c r="J43" s="4">
        <v>3</v>
      </c>
      <c r="K43" s="4">
        <v>3</v>
      </c>
      <c r="L43" s="4">
        <v>2</v>
      </c>
      <c r="M43" s="29">
        <f t="shared" si="6"/>
        <v>75.000000000000014</v>
      </c>
      <c r="N43" s="4">
        <v>3</v>
      </c>
      <c r="O43" s="4">
        <v>3</v>
      </c>
      <c r="P43" s="4">
        <v>3</v>
      </c>
      <c r="Q43" s="4">
        <v>1</v>
      </c>
      <c r="R43" s="29">
        <f t="shared" si="1"/>
        <v>60.000000000000007</v>
      </c>
      <c r="S43" s="29">
        <v>2</v>
      </c>
      <c r="T43" s="4">
        <v>3</v>
      </c>
      <c r="U43" s="4">
        <v>3</v>
      </c>
      <c r="V43" s="4">
        <v>3</v>
      </c>
      <c r="W43" s="29">
        <f t="shared" si="7"/>
        <v>87.000000000000014</v>
      </c>
      <c r="X43" s="4">
        <v>2</v>
      </c>
      <c r="Y43" s="4">
        <v>2</v>
      </c>
      <c r="Z43" s="4">
        <v>2</v>
      </c>
      <c r="AA43" s="4">
        <v>3</v>
      </c>
      <c r="AB43" s="29">
        <f t="shared" si="2"/>
        <v>75</v>
      </c>
      <c r="AC43" s="4">
        <v>2</v>
      </c>
      <c r="AD43" s="4">
        <v>2</v>
      </c>
      <c r="AE43" s="4">
        <v>2</v>
      </c>
      <c r="AF43" s="4">
        <v>1</v>
      </c>
      <c r="AG43" s="29">
        <f t="shared" si="3"/>
        <v>45</v>
      </c>
      <c r="AH43" s="4"/>
      <c r="AI43" s="4"/>
      <c r="AJ43" s="4"/>
      <c r="AK43" s="4"/>
      <c r="AL43" s="29">
        <f t="shared" si="4"/>
        <v>0</v>
      </c>
      <c r="AM43" s="4">
        <v>3</v>
      </c>
      <c r="AN43" s="4">
        <v>2</v>
      </c>
      <c r="AO43" s="4">
        <v>3</v>
      </c>
      <c r="AP43" s="4">
        <v>1</v>
      </c>
      <c r="AQ43" s="29">
        <f t="shared" si="5"/>
        <v>54</v>
      </c>
    </row>
    <row r="44" spans="1:43">
      <c r="A44" s="4">
        <f>'INPUT DAFTAR PESERTA'!A42</f>
        <v>39</v>
      </c>
      <c r="B44" s="4">
        <f>'INPUT DAFTAR PESERTA'!B42</f>
        <v>2509076038</v>
      </c>
      <c r="C44" s="6" t="str">
        <f>'INPUT DAFTAR PESERTA'!C42</f>
        <v>Reihan Aidil Adha</v>
      </c>
      <c r="D44" s="4">
        <v>3</v>
      </c>
      <c r="E44" s="4">
        <v>3</v>
      </c>
      <c r="F44" s="4">
        <v>3</v>
      </c>
      <c r="G44" s="4">
        <v>2</v>
      </c>
      <c r="H44" s="29">
        <f t="shared" si="0"/>
        <v>75.000000000000014</v>
      </c>
      <c r="I44" s="4">
        <v>3</v>
      </c>
      <c r="J44" s="4">
        <v>2</v>
      </c>
      <c r="K44" s="4">
        <v>3</v>
      </c>
      <c r="L44" s="4">
        <v>2</v>
      </c>
      <c r="M44" s="29">
        <f t="shared" si="6"/>
        <v>69</v>
      </c>
      <c r="N44" s="4">
        <v>3</v>
      </c>
      <c r="O44" s="4">
        <v>3</v>
      </c>
      <c r="P44" s="4">
        <v>3</v>
      </c>
      <c r="Q44" s="4">
        <v>3</v>
      </c>
      <c r="R44" s="29">
        <f t="shared" si="1"/>
        <v>90</v>
      </c>
      <c r="S44" s="29">
        <v>3</v>
      </c>
      <c r="T44" s="4">
        <v>3</v>
      </c>
      <c r="U44" s="4">
        <v>3</v>
      </c>
      <c r="V44" s="4">
        <v>1</v>
      </c>
      <c r="W44" s="29">
        <f t="shared" si="7"/>
        <v>60.000000000000007</v>
      </c>
      <c r="X44" s="4">
        <v>2</v>
      </c>
      <c r="Y44" s="4">
        <v>2</v>
      </c>
      <c r="Z44" s="4">
        <v>2</v>
      </c>
      <c r="AA44" s="4">
        <v>1</v>
      </c>
      <c r="AB44" s="29">
        <f t="shared" si="2"/>
        <v>45</v>
      </c>
      <c r="AC44" s="4">
        <v>2</v>
      </c>
      <c r="AD44" s="4">
        <v>2</v>
      </c>
      <c r="AE44" s="4">
        <v>2</v>
      </c>
      <c r="AF44" s="4">
        <v>1</v>
      </c>
      <c r="AG44" s="29">
        <f t="shared" si="3"/>
        <v>45</v>
      </c>
      <c r="AH44" s="4">
        <v>2</v>
      </c>
      <c r="AI44" s="4">
        <v>2</v>
      </c>
      <c r="AJ44" s="4">
        <v>3</v>
      </c>
      <c r="AK44" s="4">
        <v>1</v>
      </c>
      <c r="AL44" s="29">
        <f t="shared" si="4"/>
        <v>51</v>
      </c>
      <c r="AM44" s="4">
        <v>2</v>
      </c>
      <c r="AN44" s="4">
        <v>2</v>
      </c>
      <c r="AO44" s="4">
        <v>2</v>
      </c>
      <c r="AP44" s="4">
        <v>1</v>
      </c>
      <c r="AQ44" s="29">
        <f t="shared" si="5"/>
        <v>45</v>
      </c>
    </row>
    <row r="45" spans="1:43">
      <c r="A45" s="4">
        <f>'INPUT DAFTAR PESERTA'!A43</f>
        <v>40</v>
      </c>
      <c r="B45" s="4">
        <f>'INPUT DAFTAR PESERTA'!B43</f>
        <v>2509076039</v>
      </c>
      <c r="C45" s="6" t="str">
        <f>'INPUT DAFTAR PESERTA'!C43</f>
        <v>Baso Syamsurya</v>
      </c>
      <c r="D45" s="4">
        <v>3</v>
      </c>
      <c r="E45" s="4">
        <v>3</v>
      </c>
      <c r="F45" s="4">
        <v>3</v>
      </c>
      <c r="G45" s="4">
        <v>2</v>
      </c>
      <c r="H45" s="29">
        <f t="shared" si="0"/>
        <v>75.000000000000014</v>
      </c>
      <c r="I45" s="4">
        <v>3</v>
      </c>
      <c r="J45" s="4">
        <v>2</v>
      </c>
      <c r="K45" s="4">
        <v>3</v>
      </c>
      <c r="L45" s="4">
        <v>3</v>
      </c>
      <c r="M45" s="29">
        <f t="shared" si="6"/>
        <v>84</v>
      </c>
      <c r="N45" s="4">
        <v>3</v>
      </c>
      <c r="O45" s="4">
        <v>3</v>
      </c>
      <c r="P45" s="4">
        <v>3</v>
      </c>
      <c r="Q45" s="4">
        <v>2</v>
      </c>
      <c r="R45" s="29">
        <f t="shared" si="1"/>
        <v>75.000000000000014</v>
      </c>
      <c r="S45" s="29">
        <v>3</v>
      </c>
      <c r="T45" s="4">
        <v>3</v>
      </c>
      <c r="U45" s="4">
        <v>3</v>
      </c>
      <c r="V45" s="4">
        <v>1</v>
      </c>
      <c r="W45" s="29">
        <f t="shared" si="7"/>
        <v>60.000000000000007</v>
      </c>
      <c r="X45" s="4">
        <v>3</v>
      </c>
      <c r="Y45" s="4">
        <v>2</v>
      </c>
      <c r="Z45" s="4">
        <v>2</v>
      </c>
      <c r="AA45" s="4">
        <v>3</v>
      </c>
      <c r="AB45" s="29">
        <f t="shared" si="2"/>
        <v>78</v>
      </c>
      <c r="AC45" s="4">
        <v>2</v>
      </c>
      <c r="AD45" s="4">
        <v>2</v>
      </c>
      <c r="AE45" s="4">
        <v>2</v>
      </c>
      <c r="AF45" s="4">
        <v>1</v>
      </c>
      <c r="AG45" s="29">
        <f t="shared" si="3"/>
        <v>45</v>
      </c>
      <c r="AH45" s="4">
        <v>2</v>
      </c>
      <c r="AI45" s="4">
        <v>2</v>
      </c>
      <c r="AJ45" s="4">
        <v>3</v>
      </c>
      <c r="AK45" s="4">
        <v>3</v>
      </c>
      <c r="AL45" s="29">
        <f t="shared" si="4"/>
        <v>81</v>
      </c>
      <c r="AM45" s="4">
        <v>2</v>
      </c>
      <c r="AN45" s="4">
        <v>2</v>
      </c>
      <c r="AO45" s="4">
        <v>2</v>
      </c>
      <c r="AP45" s="4">
        <v>1</v>
      </c>
      <c r="AQ45" s="29">
        <f t="shared" si="5"/>
        <v>45</v>
      </c>
    </row>
    <row r="46" spans="1:43">
      <c r="A46" s="4">
        <f>'INPUT DAFTAR PESERTA'!A44</f>
        <v>41</v>
      </c>
      <c r="B46" s="4">
        <f>'INPUT DAFTAR PESERTA'!B44</f>
        <v>2509076040</v>
      </c>
      <c r="C46" s="6" t="str">
        <f>'INPUT DAFTAR PESERTA'!C44</f>
        <v>Andriadi Supardi</v>
      </c>
      <c r="D46" s="4">
        <v>3</v>
      </c>
      <c r="E46" s="4">
        <v>3</v>
      </c>
      <c r="F46" s="4">
        <v>3</v>
      </c>
      <c r="G46" s="4">
        <v>3</v>
      </c>
      <c r="H46" s="29">
        <f t="shared" si="0"/>
        <v>90</v>
      </c>
      <c r="I46" s="4">
        <v>3</v>
      </c>
      <c r="J46" s="4">
        <v>2</v>
      </c>
      <c r="K46" s="4">
        <v>3</v>
      </c>
      <c r="L46" s="4">
        <v>3</v>
      </c>
      <c r="M46" s="29">
        <f t="shared" si="6"/>
        <v>84</v>
      </c>
      <c r="N46" s="4">
        <v>3</v>
      </c>
      <c r="O46" s="4">
        <v>3</v>
      </c>
      <c r="P46" s="4">
        <v>3</v>
      </c>
      <c r="Q46" s="4">
        <v>3</v>
      </c>
      <c r="R46" s="29">
        <f t="shared" si="1"/>
        <v>90</v>
      </c>
      <c r="S46" s="29">
        <v>3</v>
      </c>
      <c r="T46" s="4">
        <v>3</v>
      </c>
      <c r="U46" s="4">
        <v>3</v>
      </c>
      <c r="V46" s="4">
        <v>3</v>
      </c>
      <c r="W46" s="29">
        <f t="shared" si="7"/>
        <v>90</v>
      </c>
      <c r="X46" s="4">
        <v>3</v>
      </c>
      <c r="Y46" s="4">
        <v>2</v>
      </c>
      <c r="Z46" s="4">
        <v>2</v>
      </c>
      <c r="AA46" s="4">
        <v>3</v>
      </c>
      <c r="AB46" s="29">
        <f t="shared" si="2"/>
        <v>78</v>
      </c>
      <c r="AC46" s="4">
        <v>2</v>
      </c>
      <c r="AD46" s="4">
        <v>2</v>
      </c>
      <c r="AE46" s="4">
        <v>2</v>
      </c>
      <c r="AF46" s="4">
        <v>1</v>
      </c>
      <c r="AG46" s="29">
        <f t="shared" si="3"/>
        <v>45</v>
      </c>
      <c r="AH46" s="4">
        <v>2</v>
      </c>
      <c r="AI46" s="4">
        <v>2</v>
      </c>
      <c r="AJ46" s="4">
        <v>3</v>
      </c>
      <c r="AK46" s="4">
        <v>3</v>
      </c>
      <c r="AL46" s="29">
        <f t="shared" si="4"/>
        <v>81</v>
      </c>
      <c r="AM46" s="4">
        <v>2</v>
      </c>
      <c r="AN46" s="4">
        <v>2</v>
      </c>
      <c r="AO46" s="4">
        <v>2</v>
      </c>
      <c r="AP46" s="4">
        <v>2</v>
      </c>
      <c r="AQ46" s="29">
        <f t="shared" si="5"/>
        <v>60.000000000000007</v>
      </c>
    </row>
    <row r="47" spans="1:43">
      <c r="A47" s="4">
        <f>'INPUT DAFTAR PESERTA'!A45</f>
        <v>42</v>
      </c>
      <c r="B47" s="4">
        <f>'INPUT DAFTAR PESERTA'!B45</f>
        <v>2509076041</v>
      </c>
      <c r="C47" s="6" t="str">
        <f>'INPUT DAFTAR PESERTA'!C45</f>
        <v>Achmad Fahri Kurniawan</v>
      </c>
      <c r="D47" s="4">
        <v>1</v>
      </c>
      <c r="E47" s="4">
        <v>3</v>
      </c>
      <c r="F47" s="4">
        <v>3</v>
      </c>
      <c r="G47" s="4">
        <v>1</v>
      </c>
      <c r="H47" s="29">
        <f t="shared" si="0"/>
        <v>54.000000000000007</v>
      </c>
      <c r="I47" s="4">
        <v>2</v>
      </c>
      <c r="J47" s="4">
        <v>3</v>
      </c>
      <c r="K47" s="4">
        <v>3</v>
      </c>
      <c r="L47" s="4">
        <v>1</v>
      </c>
      <c r="M47" s="29">
        <f t="shared" si="6"/>
        <v>57.000000000000007</v>
      </c>
      <c r="N47" s="4">
        <v>2</v>
      </c>
      <c r="O47" s="4">
        <v>3</v>
      </c>
      <c r="P47" s="4">
        <v>3</v>
      </c>
      <c r="Q47" s="4">
        <v>2</v>
      </c>
      <c r="R47" s="29">
        <f t="shared" si="1"/>
        <v>72</v>
      </c>
      <c r="S47" s="29">
        <v>3</v>
      </c>
      <c r="T47" s="4">
        <v>3</v>
      </c>
      <c r="U47" s="4">
        <v>3</v>
      </c>
      <c r="V47" s="4">
        <v>3</v>
      </c>
      <c r="W47" s="29">
        <f t="shared" si="7"/>
        <v>90</v>
      </c>
      <c r="X47" s="4">
        <v>3</v>
      </c>
      <c r="Y47" s="4">
        <v>2</v>
      </c>
      <c r="Z47" s="4">
        <v>2</v>
      </c>
      <c r="AA47" s="4">
        <v>3</v>
      </c>
      <c r="AB47" s="29">
        <f t="shared" si="2"/>
        <v>78</v>
      </c>
      <c r="AC47" s="4">
        <v>2</v>
      </c>
      <c r="AD47" s="4">
        <v>2</v>
      </c>
      <c r="AE47" s="4">
        <v>2</v>
      </c>
      <c r="AF47" s="4">
        <v>1</v>
      </c>
      <c r="AG47" s="29">
        <f t="shared" si="3"/>
        <v>45</v>
      </c>
      <c r="AH47" s="4">
        <v>2</v>
      </c>
      <c r="AI47" s="4">
        <v>2</v>
      </c>
      <c r="AJ47" s="4">
        <v>2</v>
      </c>
      <c r="AK47" s="4">
        <v>3</v>
      </c>
      <c r="AL47" s="29">
        <f t="shared" si="4"/>
        <v>75</v>
      </c>
      <c r="AM47" s="4">
        <v>2</v>
      </c>
      <c r="AN47" s="4">
        <v>2</v>
      </c>
      <c r="AO47" s="4">
        <v>2</v>
      </c>
      <c r="AP47" s="4">
        <v>2</v>
      </c>
      <c r="AQ47" s="29">
        <f t="shared" si="5"/>
        <v>60.000000000000007</v>
      </c>
    </row>
    <row r="48" spans="1:43">
      <c r="A48" s="4">
        <f>'INPUT DAFTAR PESERTA'!A46</f>
        <v>43</v>
      </c>
      <c r="B48" s="4">
        <f>'INPUT DAFTAR PESERTA'!B46</f>
        <v>2509076042</v>
      </c>
      <c r="C48" s="6" t="str">
        <f>'INPUT DAFTAR PESERTA'!C46</f>
        <v>Saktianata Eja Assami</v>
      </c>
      <c r="D48" s="4">
        <v>1</v>
      </c>
      <c r="E48" s="4">
        <v>3</v>
      </c>
      <c r="F48" s="4">
        <v>3</v>
      </c>
      <c r="G48" s="4">
        <v>2</v>
      </c>
      <c r="H48" s="29">
        <f t="shared" si="0"/>
        <v>69</v>
      </c>
      <c r="I48" s="4">
        <v>2</v>
      </c>
      <c r="J48" s="4">
        <v>3</v>
      </c>
      <c r="K48" s="4">
        <v>3</v>
      </c>
      <c r="L48" s="4">
        <v>2</v>
      </c>
      <c r="M48" s="29">
        <f t="shared" si="6"/>
        <v>72</v>
      </c>
      <c r="N48" s="4">
        <v>2</v>
      </c>
      <c r="O48" s="4">
        <v>3</v>
      </c>
      <c r="P48" s="4">
        <v>3</v>
      </c>
      <c r="Q48" s="4">
        <v>2</v>
      </c>
      <c r="R48" s="29">
        <f t="shared" si="1"/>
        <v>72</v>
      </c>
      <c r="S48" s="4">
        <v>3</v>
      </c>
      <c r="T48" s="4">
        <v>3</v>
      </c>
      <c r="U48" s="4">
        <v>3</v>
      </c>
      <c r="V48" s="4">
        <v>3</v>
      </c>
      <c r="W48" s="29">
        <f t="shared" si="7"/>
        <v>90</v>
      </c>
      <c r="X48" s="4">
        <v>3</v>
      </c>
      <c r="Y48" s="4">
        <v>2</v>
      </c>
      <c r="Z48" s="4">
        <v>2</v>
      </c>
      <c r="AA48" s="4">
        <v>3</v>
      </c>
      <c r="AB48" s="29">
        <f t="shared" si="2"/>
        <v>78</v>
      </c>
      <c r="AC48" s="4">
        <v>2</v>
      </c>
      <c r="AD48" s="4">
        <v>2</v>
      </c>
      <c r="AE48" s="4">
        <v>2</v>
      </c>
      <c r="AF48" s="4">
        <v>1.5</v>
      </c>
      <c r="AG48" s="29">
        <f t="shared" si="3"/>
        <v>52.5</v>
      </c>
      <c r="AH48" s="4">
        <v>2</v>
      </c>
      <c r="AI48" s="4">
        <v>2</v>
      </c>
      <c r="AJ48" s="4">
        <v>2</v>
      </c>
      <c r="AK48" s="4">
        <v>2</v>
      </c>
      <c r="AL48" s="29">
        <f t="shared" si="4"/>
        <v>60.000000000000007</v>
      </c>
      <c r="AM48" s="4">
        <v>2</v>
      </c>
      <c r="AN48" s="4">
        <v>2</v>
      </c>
      <c r="AO48" s="4">
        <v>2</v>
      </c>
      <c r="AP48" s="4">
        <v>2</v>
      </c>
      <c r="AQ48" s="29">
        <f t="shared" si="5"/>
        <v>60.000000000000007</v>
      </c>
    </row>
    <row r="49" spans="1:43">
      <c r="A49" s="4">
        <f>'INPUT DAFTAR PESERTA'!A47</f>
        <v>44</v>
      </c>
      <c r="B49" s="4">
        <f>'INPUT DAFTAR PESERTA'!B47</f>
        <v>2509076043</v>
      </c>
      <c r="C49" s="6" t="str">
        <f>'INPUT DAFTAR PESERTA'!C47</f>
        <v>Zhafanya Maydeline Robert</v>
      </c>
      <c r="D49" s="4">
        <v>2</v>
      </c>
      <c r="E49" s="4">
        <v>3</v>
      </c>
      <c r="F49" s="4">
        <v>3</v>
      </c>
      <c r="G49" s="4">
        <v>1</v>
      </c>
      <c r="H49" s="29">
        <f t="shared" si="0"/>
        <v>57.000000000000007</v>
      </c>
      <c r="I49" s="4">
        <v>2</v>
      </c>
      <c r="J49" s="4">
        <v>3</v>
      </c>
      <c r="K49" s="4">
        <v>3</v>
      </c>
      <c r="L49" s="4">
        <v>1</v>
      </c>
      <c r="M49" s="29">
        <f t="shared" si="6"/>
        <v>57.000000000000007</v>
      </c>
      <c r="N49" s="4">
        <v>3</v>
      </c>
      <c r="O49" s="4">
        <v>3</v>
      </c>
      <c r="P49" s="4">
        <v>3</v>
      </c>
      <c r="Q49" s="4">
        <v>2</v>
      </c>
      <c r="R49" s="29">
        <f t="shared" si="1"/>
        <v>75.000000000000014</v>
      </c>
      <c r="S49" s="4">
        <v>3</v>
      </c>
      <c r="T49" s="4">
        <v>3</v>
      </c>
      <c r="U49" s="4">
        <v>3</v>
      </c>
      <c r="V49" s="4">
        <v>3</v>
      </c>
      <c r="W49" s="29">
        <f t="shared" si="7"/>
        <v>90</v>
      </c>
      <c r="X49" s="4">
        <v>3</v>
      </c>
      <c r="Y49" s="4">
        <v>2</v>
      </c>
      <c r="Z49" s="4">
        <v>2</v>
      </c>
      <c r="AA49" s="4">
        <v>2</v>
      </c>
      <c r="AB49" s="29">
        <f t="shared" si="2"/>
        <v>62.999999999999993</v>
      </c>
      <c r="AC49" s="4">
        <v>2</v>
      </c>
      <c r="AD49" s="4">
        <v>2</v>
      </c>
      <c r="AE49" s="4">
        <v>2</v>
      </c>
      <c r="AF49" s="4">
        <v>1</v>
      </c>
      <c r="AG49" s="29">
        <f t="shared" si="3"/>
        <v>45</v>
      </c>
      <c r="AH49" s="4">
        <v>3</v>
      </c>
      <c r="AI49" s="4">
        <v>3</v>
      </c>
      <c r="AJ49" s="4">
        <v>3</v>
      </c>
      <c r="AK49" s="4">
        <v>2</v>
      </c>
      <c r="AL49" s="29">
        <f t="shared" si="4"/>
        <v>75.000000000000014</v>
      </c>
      <c r="AM49" s="4">
        <v>2</v>
      </c>
      <c r="AN49" s="4">
        <v>3</v>
      </c>
      <c r="AO49" s="4">
        <v>2</v>
      </c>
      <c r="AP49" s="4">
        <v>1</v>
      </c>
      <c r="AQ49" s="29">
        <f t="shared" si="5"/>
        <v>51</v>
      </c>
    </row>
    <row r="50" spans="1:43">
      <c r="A50" s="4">
        <f>'INPUT DAFTAR PESERTA'!A48</f>
        <v>45</v>
      </c>
      <c r="B50" s="4">
        <f>'INPUT DAFTAR PESERTA'!B48</f>
        <v>2509076044</v>
      </c>
      <c r="C50" s="6" t="str">
        <f>'INPUT DAFTAR PESERTA'!C48</f>
        <v>Dhifan Rangga Purwanto</v>
      </c>
      <c r="D50" s="4">
        <v>2</v>
      </c>
      <c r="E50" s="4">
        <v>3</v>
      </c>
      <c r="F50" s="4">
        <v>3</v>
      </c>
      <c r="G50" s="4">
        <v>1</v>
      </c>
      <c r="H50" s="29">
        <f t="shared" si="0"/>
        <v>57.000000000000007</v>
      </c>
      <c r="I50" s="4">
        <v>2</v>
      </c>
      <c r="J50" s="4">
        <v>3</v>
      </c>
      <c r="K50" s="4">
        <v>3</v>
      </c>
      <c r="L50" s="4">
        <v>1</v>
      </c>
      <c r="M50" s="29">
        <f t="shared" si="6"/>
        <v>57.000000000000007</v>
      </c>
      <c r="N50" s="4">
        <v>3</v>
      </c>
      <c r="O50" s="4">
        <v>3</v>
      </c>
      <c r="P50" s="4">
        <v>3</v>
      </c>
      <c r="Q50" s="4">
        <v>2</v>
      </c>
      <c r="R50" s="29">
        <f t="shared" si="1"/>
        <v>75.000000000000014</v>
      </c>
      <c r="S50" s="4">
        <v>3</v>
      </c>
      <c r="T50" s="4">
        <v>3</v>
      </c>
      <c r="U50" s="4">
        <v>3</v>
      </c>
      <c r="V50" s="4">
        <v>3</v>
      </c>
      <c r="W50" s="29">
        <f t="shared" si="7"/>
        <v>90</v>
      </c>
      <c r="X50" s="4">
        <v>2</v>
      </c>
      <c r="Y50" s="4">
        <v>2</v>
      </c>
      <c r="Z50" s="4">
        <v>2</v>
      </c>
      <c r="AA50" s="4">
        <v>3</v>
      </c>
      <c r="AB50" s="29">
        <f t="shared" si="2"/>
        <v>75</v>
      </c>
      <c r="AC50" s="4">
        <v>2</v>
      </c>
      <c r="AD50" s="4">
        <v>2</v>
      </c>
      <c r="AE50" s="4">
        <v>2</v>
      </c>
      <c r="AF50" s="4">
        <v>1</v>
      </c>
      <c r="AG50" s="29">
        <f t="shared" si="3"/>
        <v>45</v>
      </c>
      <c r="AH50" s="4">
        <v>2</v>
      </c>
      <c r="AI50" s="4">
        <v>2</v>
      </c>
      <c r="AJ50" s="4">
        <v>2</v>
      </c>
      <c r="AK50" s="4">
        <v>2</v>
      </c>
      <c r="AL50" s="29">
        <f t="shared" si="4"/>
        <v>60.000000000000007</v>
      </c>
      <c r="AM50" s="4">
        <v>2</v>
      </c>
      <c r="AN50" s="4">
        <v>3</v>
      </c>
      <c r="AO50" s="4">
        <v>3</v>
      </c>
      <c r="AP50" s="4">
        <v>2</v>
      </c>
      <c r="AQ50" s="29">
        <f t="shared" si="5"/>
        <v>72</v>
      </c>
    </row>
    <row r="51" spans="1:43">
      <c r="A51" s="4">
        <f>'INPUT DAFTAR PESERTA'!A49</f>
        <v>46</v>
      </c>
      <c r="B51" s="4">
        <f>'INPUT DAFTAR PESERTA'!B49</f>
        <v>2509076046</v>
      </c>
      <c r="C51" s="6" t="str">
        <f>'INPUT DAFTAR PESERTA'!C49</f>
        <v>Mohamad Hafid</v>
      </c>
      <c r="D51" s="4">
        <v>1</v>
      </c>
      <c r="E51" s="4">
        <v>3</v>
      </c>
      <c r="F51" s="4">
        <v>3</v>
      </c>
      <c r="G51" s="4">
        <v>1</v>
      </c>
      <c r="H51" s="29">
        <f t="shared" si="0"/>
        <v>54.000000000000007</v>
      </c>
      <c r="I51" s="4">
        <v>3</v>
      </c>
      <c r="J51" s="4">
        <v>3</v>
      </c>
      <c r="K51" s="4">
        <v>2</v>
      </c>
      <c r="L51" s="4">
        <v>3</v>
      </c>
      <c r="M51" s="29">
        <f t="shared" si="6"/>
        <v>84</v>
      </c>
      <c r="N51" s="4">
        <v>1</v>
      </c>
      <c r="O51" s="4">
        <v>2</v>
      </c>
      <c r="P51" s="4">
        <v>3</v>
      </c>
      <c r="Q51" s="4">
        <v>1</v>
      </c>
      <c r="R51" s="29">
        <f t="shared" si="1"/>
        <v>48</v>
      </c>
      <c r="S51" s="4">
        <v>2</v>
      </c>
      <c r="T51" s="4">
        <v>3</v>
      </c>
      <c r="U51" s="4">
        <v>3</v>
      </c>
      <c r="V51" s="4">
        <v>3</v>
      </c>
      <c r="W51" s="29">
        <f t="shared" si="7"/>
        <v>87.000000000000014</v>
      </c>
      <c r="X51" s="4">
        <v>2</v>
      </c>
      <c r="Y51" s="4">
        <v>2</v>
      </c>
      <c r="Z51" s="4">
        <v>2</v>
      </c>
      <c r="AA51" s="4">
        <v>3</v>
      </c>
      <c r="AB51" s="29">
        <f t="shared" si="2"/>
        <v>75</v>
      </c>
      <c r="AC51" s="4">
        <v>3</v>
      </c>
      <c r="AD51" s="4">
        <v>2</v>
      </c>
      <c r="AE51" s="4">
        <v>2</v>
      </c>
      <c r="AF51" s="4">
        <v>1.5</v>
      </c>
      <c r="AG51" s="29">
        <f t="shared" si="3"/>
        <v>55.5</v>
      </c>
      <c r="AH51" s="4">
        <v>2</v>
      </c>
      <c r="AI51" s="4">
        <v>3</v>
      </c>
      <c r="AJ51" s="4">
        <v>3</v>
      </c>
      <c r="AK51" s="4">
        <v>3</v>
      </c>
      <c r="AL51" s="29">
        <f t="shared" si="4"/>
        <v>87.000000000000014</v>
      </c>
      <c r="AM51" s="4">
        <v>2</v>
      </c>
      <c r="AN51" s="4">
        <v>2</v>
      </c>
      <c r="AO51" s="4">
        <v>2</v>
      </c>
      <c r="AP51" s="4">
        <v>1</v>
      </c>
      <c r="AQ51" s="29">
        <f t="shared" si="5"/>
        <v>45</v>
      </c>
    </row>
    <row r="52" spans="1:43">
      <c r="A52" s="4">
        <f>'INPUT DAFTAR PESERTA'!A50</f>
        <v>47</v>
      </c>
      <c r="B52" s="4">
        <f>'INPUT DAFTAR PESERTA'!B50</f>
        <v>2509076047</v>
      </c>
      <c r="C52" s="6" t="str">
        <f>'INPUT DAFTAR PESERTA'!C50</f>
        <v>Rifky Prasetya</v>
      </c>
      <c r="D52" s="4">
        <v>1</v>
      </c>
      <c r="E52" s="4">
        <v>3</v>
      </c>
      <c r="F52" s="4">
        <v>3</v>
      </c>
      <c r="G52" s="4">
        <v>2</v>
      </c>
      <c r="H52" s="29">
        <f t="shared" si="0"/>
        <v>69</v>
      </c>
      <c r="I52" s="4">
        <v>3</v>
      </c>
      <c r="J52" s="4">
        <v>2</v>
      </c>
      <c r="K52" s="4">
        <v>3</v>
      </c>
      <c r="L52" s="4">
        <v>3</v>
      </c>
      <c r="M52" s="29">
        <f t="shared" si="6"/>
        <v>84</v>
      </c>
      <c r="N52" s="4">
        <v>2</v>
      </c>
      <c r="O52" s="4">
        <v>3</v>
      </c>
      <c r="P52" s="4">
        <v>3</v>
      </c>
      <c r="Q52" s="4">
        <v>2</v>
      </c>
      <c r="R52" s="29">
        <f t="shared" si="1"/>
        <v>72</v>
      </c>
      <c r="S52" s="4">
        <v>2</v>
      </c>
      <c r="T52" s="4">
        <v>3</v>
      </c>
      <c r="U52" s="4">
        <v>3</v>
      </c>
      <c r="V52" s="4">
        <v>3</v>
      </c>
      <c r="W52" s="29">
        <f t="shared" si="7"/>
        <v>87.000000000000014</v>
      </c>
      <c r="X52" s="4">
        <v>3</v>
      </c>
      <c r="Y52" s="4">
        <v>3</v>
      </c>
      <c r="Z52" s="4">
        <v>3</v>
      </c>
      <c r="AA52" s="4">
        <v>3</v>
      </c>
      <c r="AB52" s="29">
        <f t="shared" si="2"/>
        <v>90</v>
      </c>
      <c r="AC52" s="4">
        <v>3</v>
      </c>
      <c r="AD52" s="4">
        <v>2</v>
      </c>
      <c r="AE52" s="4">
        <v>2</v>
      </c>
      <c r="AF52" s="4">
        <v>1.5</v>
      </c>
      <c r="AG52" s="29">
        <f t="shared" si="3"/>
        <v>55.5</v>
      </c>
      <c r="AH52" s="4">
        <v>2</v>
      </c>
      <c r="AI52" s="4">
        <v>3</v>
      </c>
      <c r="AJ52" s="4">
        <v>3</v>
      </c>
      <c r="AK52" s="4">
        <v>3</v>
      </c>
      <c r="AL52" s="29">
        <f t="shared" si="4"/>
        <v>87.000000000000014</v>
      </c>
      <c r="AM52" s="4">
        <v>1</v>
      </c>
      <c r="AN52" s="4">
        <v>2</v>
      </c>
      <c r="AO52" s="4">
        <v>2</v>
      </c>
      <c r="AP52" s="4">
        <v>1</v>
      </c>
      <c r="AQ52" s="29">
        <f t="shared" si="5"/>
        <v>42</v>
      </c>
    </row>
    <row r="53" spans="1:43">
      <c r="A53" s="4">
        <f>'INPUT DAFTAR PESERTA'!A51</f>
        <v>48</v>
      </c>
      <c r="B53" s="4">
        <f>'INPUT DAFTAR PESERTA'!B51</f>
        <v>2509076048</v>
      </c>
      <c r="C53" s="6" t="str">
        <f>'INPUT DAFTAR PESERTA'!C51</f>
        <v>Yusriel Ramadhan</v>
      </c>
      <c r="D53" s="4">
        <v>1</v>
      </c>
      <c r="E53" s="4">
        <v>2</v>
      </c>
      <c r="F53" s="4">
        <v>2</v>
      </c>
      <c r="G53" s="4">
        <v>2</v>
      </c>
      <c r="H53" s="29">
        <f t="shared" si="0"/>
        <v>57</v>
      </c>
      <c r="I53" s="4">
        <v>3</v>
      </c>
      <c r="J53" s="4">
        <v>2</v>
      </c>
      <c r="K53" s="4">
        <v>3</v>
      </c>
      <c r="L53" s="4">
        <v>1</v>
      </c>
      <c r="M53" s="29">
        <f t="shared" si="6"/>
        <v>54</v>
      </c>
      <c r="N53" s="4">
        <v>3</v>
      </c>
      <c r="O53" s="4">
        <v>3</v>
      </c>
      <c r="P53" s="4">
        <v>3</v>
      </c>
      <c r="Q53" s="4">
        <v>1</v>
      </c>
      <c r="R53" s="29">
        <f t="shared" si="1"/>
        <v>60.000000000000007</v>
      </c>
      <c r="S53" s="4">
        <v>2</v>
      </c>
      <c r="T53" s="4">
        <v>3</v>
      </c>
      <c r="U53" s="4">
        <v>3</v>
      </c>
      <c r="V53" s="4">
        <v>1</v>
      </c>
      <c r="W53" s="29">
        <f t="shared" si="7"/>
        <v>57.000000000000007</v>
      </c>
      <c r="X53" s="4">
        <v>2</v>
      </c>
      <c r="Y53" s="4">
        <v>2</v>
      </c>
      <c r="Z53" s="4">
        <v>2</v>
      </c>
      <c r="AA53" s="4">
        <v>0</v>
      </c>
      <c r="AB53" s="29">
        <f t="shared" si="2"/>
        <v>30.000000000000004</v>
      </c>
      <c r="AC53" s="4">
        <v>2</v>
      </c>
      <c r="AD53" s="4">
        <v>2</v>
      </c>
      <c r="AE53" s="4">
        <v>2</v>
      </c>
      <c r="AF53" s="4">
        <v>1</v>
      </c>
      <c r="AG53" s="29">
        <f t="shared" si="3"/>
        <v>45</v>
      </c>
      <c r="AH53" s="4">
        <v>2</v>
      </c>
      <c r="AI53" s="4">
        <v>3</v>
      </c>
      <c r="AJ53" s="4">
        <v>3</v>
      </c>
      <c r="AK53" s="4">
        <v>2</v>
      </c>
      <c r="AL53" s="29">
        <f t="shared" si="4"/>
        <v>72</v>
      </c>
      <c r="AM53" s="4">
        <v>1</v>
      </c>
      <c r="AN53" s="4">
        <v>2</v>
      </c>
      <c r="AO53" s="4">
        <v>2</v>
      </c>
      <c r="AP53" s="4">
        <v>2</v>
      </c>
      <c r="AQ53" s="29">
        <f t="shared" si="5"/>
        <v>57</v>
      </c>
    </row>
    <row r="54" spans="1:43">
      <c r="A54" s="4">
        <f>'INPUT DAFTAR PESERTA'!A52</f>
        <v>49</v>
      </c>
      <c r="B54" s="4">
        <f>'INPUT DAFTAR PESERTA'!B52</f>
        <v>2509076049</v>
      </c>
      <c r="C54" s="6" t="str">
        <f>'INPUT DAFTAR PESERTA'!C52</f>
        <v>Jiyad Prasetyo Abimanyu</v>
      </c>
      <c r="D54" s="4">
        <v>3</v>
      </c>
      <c r="E54" s="4">
        <v>3</v>
      </c>
      <c r="F54" s="4">
        <v>3</v>
      </c>
      <c r="G54" s="4">
        <v>2</v>
      </c>
      <c r="H54" s="29">
        <f t="shared" si="0"/>
        <v>75.000000000000014</v>
      </c>
      <c r="I54" s="4">
        <v>3</v>
      </c>
      <c r="J54" s="4">
        <v>2</v>
      </c>
      <c r="K54" s="4">
        <v>3</v>
      </c>
      <c r="L54" s="4">
        <v>2</v>
      </c>
      <c r="M54" s="29">
        <f t="shared" si="6"/>
        <v>69</v>
      </c>
      <c r="N54" s="4">
        <v>3</v>
      </c>
      <c r="O54" s="4">
        <v>3</v>
      </c>
      <c r="P54" s="4">
        <v>3</v>
      </c>
      <c r="Q54" s="4">
        <v>3</v>
      </c>
      <c r="R54" s="29">
        <f t="shared" si="1"/>
        <v>90</v>
      </c>
      <c r="S54" s="4">
        <v>2</v>
      </c>
      <c r="T54" s="4">
        <v>2</v>
      </c>
      <c r="U54" s="4">
        <v>2</v>
      </c>
      <c r="V54" s="4">
        <v>1</v>
      </c>
      <c r="W54" s="29">
        <f t="shared" si="7"/>
        <v>45</v>
      </c>
      <c r="X54" s="4">
        <v>2</v>
      </c>
      <c r="Y54" s="4">
        <v>2</v>
      </c>
      <c r="Z54" s="4">
        <v>2</v>
      </c>
      <c r="AA54" s="4">
        <v>3</v>
      </c>
      <c r="AB54" s="29">
        <f t="shared" si="2"/>
        <v>75</v>
      </c>
      <c r="AC54" s="4">
        <v>2</v>
      </c>
      <c r="AD54" s="4">
        <v>2</v>
      </c>
      <c r="AE54" s="4">
        <v>2</v>
      </c>
      <c r="AF54" s="4">
        <v>1</v>
      </c>
      <c r="AG54" s="29">
        <f t="shared" si="3"/>
        <v>45</v>
      </c>
      <c r="AH54" s="4">
        <v>2</v>
      </c>
      <c r="AI54" s="4">
        <v>3</v>
      </c>
      <c r="AJ54" s="4">
        <v>3</v>
      </c>
      <c r="AK54" s="4">
        <v>1</v>
      </c>
      <c r="AL54" s="29">
        <f t="shared" si="4"/>
        <v>57.000000000000007</v>
      </c>
      <c r="AM54" s="4">
        <v>1</v>
      </c>
      <c r="AN54" s="4">
        <v>2</v>
      </c>
      <c r="AO54" s="4">
        <v>2</v>
      </c>
      <c r="AP54" s="4">
        <v>2</v>
      </c>
      <c r="AQ54" s="29">
        <f t="shared" si="5"/>
        <v>57</v>
      </c>
    </row>
    <row r="55" spans="1:43">
      <c r="A55" s="4">
        <v>50</v>
      </c>
      <c r="B55" s="4">
        <f>'INPUT DAFTAR PESERTA'!B53</f>
        <v>2509076050</v>
      </c>
      <c r="C55" s="6" t="str">
        <f>'INPUT DAFTAR PESERTA'!C53</f>
        <v>Muhammad Alfin Al Hakim</v>
      </c>
      <c r="D55" s="4">
        <v>3</v>
      </c>
      <c r="E55" s="4">
        <v>2</v>
      </c>
      <c r="F55" s="4">
        <v>3</v>
      </c>
      <c r="G55" s="4">
        <v>2</v>
      </c>
      <c r="H55" s="29">
        <f t="shared" si="0"/>
        <v>69</v>
      </c>
      <c r="I55" s="4">
        <v>3</v>
      </c>
      <c r="J55" s="4">
        <v>2</v>
      </c>
      <c r="K55" s="4">
        <v>3</v>
      </c>
      <c r="L55" s="4">
        <v>2</v>
      </c>
      <c r="M55" s="29">
        <f t="shared" si="6"/>
        <v>69</v>
      </c>
      <c r="N55" s="4">
        <v>3</v>
      </c>
      <c r="O55" s="4">
        <v>3</v>
      </c>
      <c r="P55" s="4">
        <v>3</v>
      </c>
      <c r="Q55" s="4">
        <v>3</v>
      </c>
      <c r="R55" s="29">
        <f t="shared" si="1"/>
        <v>90</v>
      </c>
      <c r="S55" s="4">
        <v>2</v>
      </c>
      <c r="T55" s="4">
        <v>3</v>
      </c>
      <c r="U55" s="4">
        <v>3</v>
      </c>
      <c r="V55" s="4">
        <v>2</v>
      </c>
      <c r="W55" s="29">
        <f t="shared" si="7"/>
        <v>72</v>
      </c>
      <c r="X55" s="4">
        <v>2</v>
      </c>
      <c r="Y55" s="4">
        <v>2</v>
      </c>
      <c r="Z55" s="4">
        <v>2</v>
      </c>
      <c r="AA55" s="4">
        <v>3</v>
      </c>
      <c r="AB55" s="29">
        <f t="shared" si="2"/>
        <v>75</v>
      </c>
      <c r="AC55" s="4">
        <v>2</v>
      </c>
      <c r="AD55" s="4">
        <v>2</v>
      </c>
      <c r="AE55" s="4">
        <v>2</v>
      </c>
      <c r="AF55" s="4">
        <v>1</v>
      </c>
      <c r="AG55" s="29">
        <f t="shared" si="3"/>
        <v>45</v>
      </c>
      <c r="AH55" s="4">
        <v>2</v>
      </c>
      <c r="AI55" s="4">
        <v>3</v>
      </c>
      <c r="AJ55" s="4">
        <v>3</v>
      </c>
      <c r="AK55" s="4">
        <v>2</v>
      </c>
      <c r="AL55" s="29">
        <f t="shared" si="4"/>
        <v>72</v>
      </c>
      <c r="AM55" s="4">
        <v>1</v>
      </c>
      <c r="AN55" s="4">
        <v>2</v>
      </c>
      <c r="AO55" s="4">
        <v>2</v>
      </c>
      <c r="AP55" s="4">
        <v>1</v>
      </c>
      <c r="AQ55" s="29">
        <f t="shared" si="5"/>
        <v>42</v>
      </c>
    </row>
    <row r="56" spans="1:43">
      <c r="A56" s="4">
        <f>'INPUT DAFTAR PESERTA'!A54</f>
        <v>51</v>
      </c>
      <c r="B56" s="4">
        <f>'INPUT DAFTAR PESERTA'!B54</f>
        <v>2509076051</v>
      </c>
      <c r="C56" s="6" t="str">
        <f>'INPUT DAFTAR PESERTA'!C54</f>
        <v>Naufal Kurniawan</v>
      </c>
      <c r="D56" s="4">
        <v>3</v>
      </c>
      <c r="E56" s="4">
        <v>2</v>
      </c>
      <c r="F56" s="4">
        <v>3</v>
      </c>
      <c r="G56" s="4">
        <v>2</v>
      </c>
      <c r="H56" s="29">
        <f t="shared" si="0"/>
        <v>69</v>
      </c>
      <c r="I56" s="4">
        <v>3</v>
      </c>
      <c r="J56" s="4">
        <v>3</v>
      </c>
      <c r="K56" s="4">
        <v>2</v>
      </c>
      <c r="L56" s="4">
        <v>2</v>
      </c>
      <c r="M56" s="29">
        <f t="shared" si="6"/>
        <v>69</v>
      </c>
      <c r="N56" s="4">
        <v>2</v>
      </c>
      <c r="O56" s="4">
        <v>3</v>
      </c>
      <c r="P56" s="4">
        <v>3</v>
      </c>
      <c r="Q56" s="4">
        <v>3</v>
      </c>
      <c r="R56" s="29">
        <f t="shared" si="1"/>
        <v>87.000000000000014</v>
      </c>
      <c r="S56" s="4">
        <v>2</v>
      </c>
      <c r="T56" s="4">
        <v>3</v>
      </c>
      <c r="U56" s="4">
        <v>3</v>
      </c>
      <c r="V56" s="4">
        <v>2</v>
      </c>
      <c r="W56" s="29">
        <f t="shared" si="7"/>
        <v>72</v>
      </c>
      <c r="X56" s="4">
        <v>2</v>
      </c>
      <c r="Y56" s="4">
        <v>2</v>
      </c>
      <c r="Z56" s="4">
        <v>2</v>
      </c>
      <c r="AA56" s="4">
        <v>1</v>
      </c>
      <c r="AB56" s="29">
        <f t="shared" si="2"/>
        <v>45</v>
      </c>
      <c r="AC56" s="4">
        <v>2</v>
      </c>
      <c r="AD56" s="4">
        <v>2</v>
      </c>
      <c r="AE56" s="4">
        <v>2</v>
      </c>
      <c r="AF56" s="4">
        <v>1</v>
      </c>
      <c r="AG56" s="29">
        <f t="shared" si="3"/>
        <v>45</v>
      </c>
      <c r="AH56" s="4">
        <v>2</v>
      </c>
      <c r="AI56" s="4">
        <v>3</v>
      </c>
      <c r="AJ56" s="4">
        <v>3</v>
      </c>
      <c r="AK56" s="4">
        <v>2</v>
      </c>
      <c r="AL56" s="29">
        <f t="shared" si="4"/>
        <v>72</v>
      </c>
      <c r="AM56" s="4">
        <v>1</v>
      </c>
      <c r="AN56" s="4">
        <v>2</v>
      </c>
      <c r="AO56" s="4">
        <v>2</v>
      </c>
      <c r="AP56" s="4">
        <v>1</v>
      </c>
      <c r="AQ56" s="29">
        <f t="shared" si="5"/>
        <v>42</v>
      </c>
    </row>
    <row r="57" spans="1:43">
      <c r="A57" s="4">
        <f>'INPUT DAFTAR PESERTA'!A55</f>
        <v>52</v>
      </c>
      <c r="B57" s="4">
        <f>'INPUT DAFTAR PESERTA'!B55</f>
        <v>2509076052</v>
      </c>
      <c r="C57" s="6" t="str">
        <f>'INPUT DAFTAR PESERTA'!C55</f>
        <v>Rifky Maulana Ilham</v>
      </c>
      <c r="D57" s="4">
        <v>3</v>
      </c>
      <c r="E57" s="4">
        <v>3</v>
      </c>
      <c r="F57" s="4">
        <v>3</v>
      </c>
      <c r="G57" s="4">
        <v>3</v>
      </c>
      <c r="H57" s="29">
        <f t="shared" si="0"/>
        <v>90</v>
      </c>
      <c r="I57" s="4">
        <v>3</v>
      </c>
      <c r="J57" s="4">
        <v>2</v>
      </c>
      <c r="K57" s="4">
        <v>3</v>
      </c>
      <c r="L57" s="4">
        <v>3</v>
      </c>
      <c r="M57" s="29">
        <f t="shared" si="6"/>
        <v>84</v>
      </c>
      <c r="N57" s="4">
        <v>2</v>
      </c>
      <c r="O57" s="4">
        <v>3</v>
      </c>
      <c r="P57" s="4">
        <v>3</v>
      </c>
      <c r="Q57" s="4">
        <v>3</v>
      </c>
      <c r="R57" s="29">
        <f t="shared" si="1"/>
        <v>87.000000000000014</v>
      </c>
      <c r="S57" s="4">
        <v>2</v>
      </c>
      <c r="T57" s="4">
        <v>3</v>
      </c>
      <c r="U57" s="4">
        <v>3</v>
      </c>
      <c r="V57" s="4">
        <v>3</v>
      </c>
      <c r="W57" s="29">
        <f t="shared" si="7"/>
        <v>87.000000000000014</v>
      </c>
      <c r="X57" s="4">
        <v>2</v>
      </c>
      <c r="Y57" s="4">
        <v>2</v>
      </c>
      <c r="Z57" s="4">
        <v>2</v>
      </c>
      <c r="AA57" s="4">
        <v>3</v>
      </c>
      <c r="AB57" s="29">
        <f t="shared" si="2"/>
        <v>75</v>
      </c>
      <c r="AC57" s="4">
        <v>2</v>
      </c>
      <c r="AD57" s="4">
        <v>2</v>
      </c>
      <c r="AE57" s="4">
        <v>2</v>
      </c>
      <c r="AF57" s="4">
        <v>2</v>
      </c>
      <c r="AG57" s="29">
        <f t="shared" si="3"/>
        <v>60.000000000000007</v>
      </c>
      <c r="AH57" s="4"/>
      <c r="AI57" s="4"/>
      <c r="AJ57" s="4"/>
      <c r="AK57" s="4"/>
      <c r="AL57" s="29">
        <f t="shared" si="4"/>
        <v>0</v>
      </c>
      <c r="AM57" s="4">
        <v>1</v>
      </c>
      <c r="AN57" s="4">
        <v>2</v>
      </c>
      <c r="AO57" s="4">
        <v>2</v>
      </c>
      <c r="AP57" s="4">
        <v>2</v>
      </c>
      <c r="AQ57" s="29">
        <f t="shared" si="5"/>
        <v>57</v>
      </c>
    </row>
    <row r="58" spans="1:43">
      <c r="A58" s="4">
        <f>'INPUT DAFTAR PESERTA'!A56</f>
        <v>53</v>
      </c>
      <c r="B58" s="4">
        <f>'INPUT DAFTAR PESERTA'!B56</f>
        <v>2509076053</v>
      </c>
      <c r="C58" s="6" t="str">
        <f>'INPUT DAFTAR PESERTA'!C56</f>
        <v>Aditia Prayoga</v>
      </c>
      <c r="D58" s="4">
        <v>2</v>
      </c>
      <c r="E58" s="4">
        <v>2</v>
      </c>
      <c r="F58" s="4">
        <v>2</v>
      </c>
      <c r="G58" s="4">
        <v>1</v>
      </c>
      <c r="H58" s="29">
        <f t="shared" si="0"/>
        <v>45</v>
      </c>
      <c r="I58" s="4">
        <v>2</v>
      </c>
      <c r="J58" s="4">
        <v>2</v>
      </c>
      <c r="K58" s="4">
        <v>2</v>
      </c>
      <c r="L58" s="4">
        <v>2</v>
      </c>
      <c r="M58" s="29">
        <f t="shared" si="6"/>
        <v>60.000000000000007</v>
      </c>
      <c r="N58" s="4">
        <v>2</v>
      </c>
      <c r="O58" s="4">
        <v>3</v>
      </c>
      <c r="P58" s="4">
        <v>3</v>
      </c>
      <c r="Q58" s="4">
        <v>2</v>
      </c>
      <c r="R58" s="29">
        <f t="shared" si="1"/>
        <v>72</v>
      </c>
      <c r="S58" s="4">
        <v>2</v>
      </c>
      <c r="T58" s="4">
        <v>3</v>
      </c>
      <c r="U58" s="4">
        <v>3</v>
      </c>
      <c r="V58" s="4">
        <v>2</v>
      </c>
      <c r="W58" s="29">
        <f t="shared" si="7"/>
        <v>72</v>
      </c>
      <c r="X58" s="4">
        <v>2</v>
      </c>
      <c r="Y58" s="4">
        <v>2</v>
      </c>
      <c r="Z58" s="4">
        <v>2</v>
      </c>
      <c r="AA58" s="4">
        <v>3</v>
      </c>
      <c r="AB58" s="29">
        <f t="shared" si="2"/>
        <v>75</v>
      </c>
      <c r="AC58" s="4">
        <v>0</v>
      </c>
      <c r="AD58" s="4">
        <v>0</v>
      </c>
      <c r="AE58" s="4">
        <v>0</v>
      </c>
      <c r="AF58" s="4">
        <v>1</v>
      </c>
      <c r="AG58" s="29">
        <f t="shared" si="3"/>
        <v>15</v>
      </c>
      <c r="AH58" s="4">
        <v>2</v>
      </c>
      <c r="AI58" s="4">
        <v>3</v>
      </c>
      <c r="AJ58" s="4">
        <v>3</v>
      </c>
      <c r="AK58" s="4">
        <v>1</v>
      </c>
      <c r="AL58" s="29">
        <f t="shared" si="4"/>
        <v>57.000000000000007</v>
      </c>
      <c r="AM58" s="4">
        <v>2</v>
      </c>
      <c r="AN58" s="4">
        <v>3</v>
      </c>
      <c r="AO58" s="4">
        <v>3</v>
      </c>
      <c r="AP58" s="4">
        <v>2</v>
      </c>
      <c r="AQ58" s="29">
        <f t="shared" si="5"/>
        <v>72</v>
      </c>
    </row>
    <row r="59" spans="1:43">
      <c r="A59" s="4">
        <v>2</v>
      </c>
      <c r="B59" s="4">
        <f>'INPUT DAFTAR PESERTA'!B57</f>
        <v>2509076054</v>
      </c>
      <c r="C59" s="6" t="str">
        <f>'INPUT DAFTAR PESERTA'!C57</f>
        <v>Muhammad Andi Faris De'mozart</v>
      </c>
      <c r="D59" s="4">
        <v>2</v>
      </c>
      <c r="E59" s="4">
        <v>3</v>
      </c>
      <c r="F59" s="4">
        <v>3</v>
      </c>
      <c r="G59" s="4">
        <v>1</v>
      </c>
      <c r="H59" s="29">
        <f t="shared" si="0"/>
        <v>57.000000000000007</v>
      </c>
      <c r="I59" s="4">
        <v>2</v>
      </c>
      <c r="J59" s="4">
        <v>2</v>
      </c>
      <c r="K59" s="4">
        <v>2</v>
      </c>
      <c r="L59" s="4">
        <v>2</v>
      </c>
      <c r="M59" s="29">
        <f t="shared" si="6"/>
        <v>60.000000000000007</v>
      </c>
      <c r="N59" s="4">
        <v>2</v>
      </c>
      <c r="O59" s="4">
        <v>3</v>
      </c>
      <c r="P59" s="4">
        <v>3</v>
      </c>
      <c r="Q59" s="4">
        <v>3</v>
      </c>
      <c r="R59" s="29">
        <f t="shared" si="1"/>
        <v>87.000000000000014</v>
      </c>
      <c r="S59" s="4">
        <v>2</v>
      </c>
      <c r="T59" s="4">
        <v>3</v>
      </c>
      <c r="U59" s="4">
        <v>3</v>
      </c>
      <c r="V59" s="4">
        <v>3</v>
      </c>
      <c r="W59" s="29">
        <f t="shared" si="7"/>
        <v>87.000000000000014</v>
      </c>
      <c r="X59" s="4">
        <v>2</v>
      </c>
      <c r="Y59" s="4">
        <v>2</v>
      </c>
      <c r="Z59" s="4">
        <v>2</v>
      </c>
      <c r="AA59" s="4">
        <v>3</v>
      </c>
      <c r="AB59" s="29">
        <f t="shared" si="2"/>
        <v>75</v>
      </c>
      <c r="AC59" s="4">
        <v>2</v>
      </c>
      <c r="AD59" s="4">
        <v>2</v>
      </c>
      <c r="AE59" s="4">
        <v>2</v>
      </c>
      <c r="AF59" s="4">
        <v>1</v>
      </c>
      <c r="AG59" s="29">
        <f t="shared" si="3"/>
        <v>45</v>
      </c>
      <c r="AH59" s="4"/>
      <c r="AI59" s="4"/>
      <c r="AJ59" s="4"/>
      <c r="AK59" s="4"/>
      <c r="AL59" s="29">
        <f t="shared" si="4"/>
        <v>0</v>
      </c>
      <c r="AM59" s="4">
        <v>2</v>
      </c>
      <c r="AN59" s="4">
        <v>3</v>
      </c>
      <c r="AO59" s="4">
        <v>3</v>
      </c>
      <c r="AP59" s="4">
        <v>2</v>
      </c>
      <c r="AQ59" s="29">
        <f t="shared" si="5"/>
        <v>72</v>
      </c>
    </row>
    <row r="60" spans="1:43">
      <c r="A60" s="4">
        <f>'INPUT DAFTAR PESERTA'!A58</f>
        <v>55</v>
      </c>
      <c r="B60" s="4">
        <f>'INPUT DAFTAR PESERTA'!B58</f>
        <v>2509076055</v>
      </c>
      <c r="C60" s="6" t="str">
        <f>'INPUT DAFTAR PESERTA'!C58</f>
        <v>Faiq Ramadhan Firdaus</v>
      </c>
      <c r="D60" s="4">
        <v>2</v>
      </c>
      <c r="E60" s="4">
        <v>2</v>
      </c>
      <c r="F60" s="4">
        <v>1</v>
      </c>
      <c r="G60" s="4">
        <v>2</v>
      </c>
      <c r="H60" s="29">
        <f t="shared" si="0"/>
        <v>54</v>
      </c>
      <c r="I60" s="4">
        <v>2</v>
      </c>
      <c r="J60" s="4">
        <v>2</v>
      </c>
      <c r="K60" s="4">
        <v>2</v>
      </c>
      <c r="L60" s="4">
        <v>1</v>
      </c>
      <c r="M60" s="29">
        <f t="shared" si="6"/>
        <v>45</v>
      </c>
      <c r="N60" s="4">
        <v>2</v>
      </c>
      <c r="O60" s="4">
        <v>3</v>
      </c>
      <c r="P60" s="4">
        <v>3</v>
      </c>
      <c r="Q60" s="4">
        <v>1</v>
      </c>
      <c r="R60" s="29">
        <f t="shared" si="1"/>
        <v>57.000000000000007</v>
      </c>
      <c r="S60" s="4">
        <v>0</v>
      </c>
      <c r="T60" s="4">
        <v>0</v>
      </c>
      <c r="U60" s="4">
        <v>0</v>
      </c>
      <c r="V60" s="4">
        <v>0</v>
      </c>
      <c r="W60" s="29">
        <f t="shared" si="7"/>
        <v>0</v>
      </c>
      <c r="X60" s="4">
        <v>2</v>
      </c>
      <c r="Y60" s="4">
        <v>2</v>
      </c>
      <c r="Z60" s="4">
        <v>2</v>
      </c>
      <c r="AA60" s="4">
        <v>3</v>
      </c>
      <c r="AB60" s="29">
        <f t="shared" si="2"/>
        <v>75</v>
      </c>
      <c r="AC60" s="4">
        <v>2</v>
      </c>
      <c r="AD60" s="4">
        <v>3</v>
      </c>
      <c r="AE60" s="4">
        <v>3</v>
      </c>
      <c r="AF60" s="4">
        <v>1</v>
      </c>
      <c r="AG60" s="29">
        <f t="shared" si="3"/>
        <v>57.000000000000007</v>
      </c>
      <c r="AH60" s="4">
        <v>2</v>
      </c>
      <c r="AI60" s="4">
        <v>3</v>
      </c>
      <c r="AJ60" s="4">
        <v>3</v>
      </c>
      <c r="AK60" s="4">
        <v>1</v>
      </c>
      <c r="AL60" s="29">
        <f t="shared" si="4"/>
        <v>57.000000000000007</v>
      </c>
      <c r="AM60" s="4">
        <v>2</v>
      </c>
      <c r="AN60" s="4">
        <v>3</v>
      </c>
      <c r="AO60" s="4">
        <v>3</v>
      </c>
      <c r="AP60" s="4">
        <v>2</v>
      </c>
      <c r="AQ60" s="29">
        <f t="shared" si="5"/>
        <v>72</v>
      </c>
    </row>
    <row r="61" spans="1:43">
      <c r="A61" s="4">
        <f>'INPUT DAFTAR PESERTA'!A59</f>
        <v>56</v>
      </c>
      <c r="B61" s="4">
        <f>'INPUT DAFTAR PESERTA'!B59</f>
        <v>2509076056</v>
      </c>
      <c r="C61" s="6" t="str">
        <f>'INPUT DAFTAR PESERTA'!C59</f>
        <v>Fachry Nazrul Ramadhan</v>
      </c>
      <c r="D61" s="4">
        <v>3</v>
      </c>
      <c r="E61" s="4">
        <v>3</v>
      </c>
      <c r="F61" s="4">
        <v>3</v>
      </c>
      <c r="G61" s="4">
        <v>3</v>
      </c>
      <c r="H61" s="29">
        <f t="shared" si="0"/>
        <v>90</v>
      </c>
      <c r="I61" s="4">
        <v>2</v>
      </c>
      <c r="J61" s="4">
        <v>2</v>
      </c>
      <c r="K61" s="4">
        <v>2</v>
      </c>
      <c r="L61" s="4">
        <v>3</v>
      </c>
      <c r="M61" s="29">
        <f t="shared" si="6"/>
        <v>75</v>
      </c>
      <c r="N61" s="4">
        <v>3</v>
      </c>
      <c r="O61" s="4">
        <v>3</v>
      </c>
      <c r="P61" s="4">
        <v>3</v>
      </c>
      <c r="Q61" s="4">
        <v>3</v>
      </c>
      <c r="R61" s="29">
        <f t="shared" si="1"/>
        <v>90</v>
      </c>
      <c r="S61" s="4">
        <v>2</v>
      </c>
      <c r="T61" s="4">
        <v>3</v>
      </c>
      <c r="U61" s="4">
        <v>3</v>
      </c>
      <c r="V61" s="4">
        <v>3</v>
      </c>
      <c r="W61" s="29">
        <f t="shared" si="7"/>
        <v>87.000000000000014</v>
      </c>
      <c r="X61" s="4">
        <v>2</v>
      </c>
      <c r="Y61" s="4">
        <v>2</v>
      </c>
      <c r="Z61" s="4">
        <v>2</v>
      </c>
      <c r="AA61" s="4">
        <v>3</v>
      </c>
      <c r="AB61" s="29">
        <f t="shared" si="2"/>
        <v>75</v>
      </c>
      <c r="AC61" s="4">
        <v>2</v>
      </c>
      <c r="AD61" s="4">
        <v>3</v>
      </c>
      <c r="AE61" s="4">
        <v>3</v>
      </c>
      <c r="AF61" s="4">
        <v>1.5</v>
      </c>
      <c r="AG61" s="29">
        <f t="shared" si="3"/>
        <v>64.500000000000014</v>
      </c>
      <c r="AH61" s="4">
        <v>2</v>
      </c>
      <c r="AI61" s="4">
        <v>3</v>
      </c>
      <c r="AJ61" s="4">
        <v>3</v>
      </c>
      <c r="AK61" s="4">
        <v>1</v>
      </c>
      <c r="AL61" s="29">
        <f t="shared" si="4"/>
        <v>57.000000000000007</v>
      </c>
      <c r="AM61" s="4">
        <v>2</v>
      </c>
      <c r="AN61" s="4">
        <v>3</v>
      </c>
      <c r="AO61" s="4">
        <v>3</v>
      </c>
      <c r="AP61" s="4">
        <v>2</v>
      </c>
      <c r="AQ61" s="29">
        <f t="shared" si="5"/>
        <v>72</v>
      </c>
    </row>
    <row r="62" spans="1:43">
      <c r="A62" s="4">
        <f>'INPUT DAFTAR PESERTA'!A60</f>
        <v>57</v>
      </c>
      <c r="B62" s="4">
        <f>'INPUT DAFTAR PESERTA'!B60</f>
        <v>2509076057</v>
      </c>
      <c r="C62" s="6" t="str">
        <f>'INPUT DAFTAR PESERTA'!C60</f>
        <v>Bagas Sudidi</v>
      </c>
      <c r="D62" s="4">
        <v>3</v>
      </c>
      <c r="E62" s="4">
        <v>3</v>
      </c>
      <c r="F62" s="4">
        <v>3</v>
      </c>
      <c r="G62" s="4">
        <v>1</v>
      </c>
      <c r="H62" s="29">
        <f t="shared" si="0"/>
        <v>60.000000000000007</v>
      </c>
      <c r="I62" s="4">
        <v>3</v>
      </c>
      <c r="J62" s="4">
        <v>3</v>
      </c>
      <c r="K62" s="4">
        <v>3</v>
      </c>
      <c r="L62" s="4">
        <v>2</v>
      </c>
      <c r="M62" s="29">
        <f t="shared" si="6"/>
        <v>75.000000000000014</v>
      </c>
      <c r="N62" s="4">
        <v>3</v>
      </c>
      <c r="O62" s="4">
        <v>3</v>
      </c>
      <c r="P62" s="4">
        <v>3</v>
      </c>
      <c r="Q62" s="4">
        <v>2</v>
      </c>
      <c r="R62" s="29">
        <f t="shared" si="1"/>
        <v>75.000000000000014</v>
      </c>
      <c r="S62" s="4">
        <v>3</v>
      </c>
      <c r="T62" s="4">
        <v>3</v>
      </c>
      <c r="U62" s="4">
        <v>3</v>
      </c>
      <c r="V62" s="4">
        <v>1</v>
      </c>
      <c r="W62" s="29">
        <f t="shared" si="7"/>
        <v>60.000000000000007</v>
      </c>
      <c r="X62" s="4">
        <v>2</v>
      </c>
      <c r="Y62" s="4">
        <v>2</v>
      </c>
      <c r="Z62" s="4">
        <v>2</v>
      </c>
      <c r="AA62" s="4">
        <v>3</v>
      </c>
      <c r="AB62" s="29">
        <f t="shared" si="2"/>
        <v>75</v>
      </c>
      <c r="AC62" s="4">
        <v>2</v>
      </c>
      <c r="AD62" s="4">
        <v>2</v>
      </c>
      <c r="AE62" s="4">
        <v>2</v>
      </c>
      <c r="AF62" s="4">
        <v>1</v>
      </c>
      <c r="AG62" s="29">
        <f t="shared" si="3"/>
        <v>45</v>
      </c>
      <c r="AH62" s="4">
        <v>2</v>
      </c>
      <c r="AI62" s="4">
        <v>3</v>
      </c>
      <c r="AJ62" s="4">
        <v>3</v>
      </c>
      <c r="AK62" s="4">
        <v>2</v>
      </c>
      <c r="AL62" s="29">
        <f t="shared" si="4"/>
        <v>72</v>
      </c>
      <c r="AM62" s="4">
        <v>2</v>
      </c>
      <c r="AN62" s="4">
        <v>3</v>
      </c>
      <c r="AO62" s="4">
        <v>3</v>
      </c>
      <c r="AP62" s="4">
        <v>2</v>
      </c>
      <c r="AQ62" s="29">
        <f t="shared" si="5"/>
        <v>72</v>
      </c>
    </row>
    <row r="63" spans="1:43">
      <c r="A63" s="4">
        <f>'INPUT DAFTAR PESERTA'!A61</f>
        <v>58</v>
      </c>
      <c r="B63" s="4">
        <f>'INPUT DAFTAR PESERTA'!B61</f>
        <v>2509106133</v>
      </c>
      <c r="C63" s="6" t="str">
        <f>'INPUT DAFTAR PESERTA'!C61</f>
        <v>Ridho Putra Darma</v>
      </c>
      <c r="D63" s="4">
        <v>3</v>
      </c>
      <c r="E63" s="4">
        <v>3</v>
      </c>
      <c r="F63" s="4">
        <v>3</v>
      </c>
      <c r="G63" s="4">
        <v>1</v>
      </c>
      <c r="H63" s="29">
        <f t="shared" si="0"/>
        <v>60.000000000000007</v>
      </c>
      <c r="I63" s="4"/>
      <c r="J63" s="4"/>
      <c r="K63" s="4"/>
      <c r="L63" s="4"/>
      <c r="M63" s="29">
        <f t="shared" si="6"/>
        <v>0</v>
      </c>
      <c r="N63" s="4"/>
      <c r="O63" s="4"/>
      <c r="P63" s="4"/>
      <c r="Q63" s="4"/>
      <c r="R63" s="29">
        <f t="shared" si="1"/>
        <v>0</v>
      </c>
      <c r="S63" s="4">
        <v>3</v>
      </c>
      <c r="T63" s="4">
        <v>3</v>
      </c>
      <c r="U63" s="4">
        <v>3</v>
      </c>
      <c r="V63" s="4">
        <v>1</v>
      </c>
      <c r="W63" s="29">
        <f t="shared" si="7"/>
        <v>60.000000000000007</v>
      </c>
      <c r="X63" s="4">
        <v>2</v>
      </c>
      <c r="Y63" s="4">
        <v>2</v>
      </c>
      <c r="Z63" s="4">
        <v>2</v>
      </c>
      <c r="AA63" s="4">
        <v>1</v>
      </c>
      <c r="AB63" s="29">
        <f t="shared" si="2"/>
        <v>45</v>
      </c>
      <c r="AC63" s="4">
        <v>2</v>
      </c>
      <c r="AD63" s="4">
        <v>2</v>
      </c>
      <c r="AE63" s="4">
        <v>2</v>
      </c>
      <c r="AF63" s="4">
        <v>1</v>
      </c>
      <c r="AG63" s="29">
        <f t="shared" si="3"/>
        <v>45</v>
      </c>
      <c r="AH63" s="4"/>
      <c r="AI63" s="4"/>
      <c r="AJ63" s="4"/>
      <c r="AK63" s="4"/>
      <c r="AL63" s="29">
        <f t="shared" si="4"/>
        <v>0</v>
      </c>
      <c r="AM63" s="4">
        <v>2</v>
      </c>
      <c r="AN63" s="4">
        <v>3</v>
      </c>
      <c r="AO63" s="4">
        <v>3</v>
      </c>
      <c r="AP63" s="4">
        <v>2</v>
      </c>
      <c r="AQ63" s="29">
        <f t="shared" si="5"/>
        <v>72</v>
      </c>
    </row>
    <row r="64" spans="1:43">
      <c r="A64" s="4">
        <f>'INPUT DAFTAR PESERTA'!A62</f>
        <v>59</v>
      </c>
      <c r="B64" s="4">
        <f>'INPUT DAFTAR PESERTA'!B62</f>
        <v>2509106134</v>
      </c>
      <c r="C64" s="6" t="str">
        <f>'INPUT DAFTAR PESERTA'!C62</f>
        <v>Syarif Hidayat</v>
      </c>
      <c r="D64" s="4">
        <v>3</v>
      </c>
      <c r="E64" s="4">
        <v>3</v>
      </c>
      <c r="F64" s="4">
        <v>3</v>
      </c>
      <c r="G64" s="4">
        <v>1</v>
      </c>
      <c r="H64" s="29">
        <f t="shared" si="0"/>
        <v>60.000000000000007</v>
      </c>
      <c r="I64" s="4"/>
      <c r="J64" s="4"/>
      <c r="K64" s="4"/>
      <c r="L64" s="4"/>
      <c r="M64" s="29">
        <f t="shared" si="6"/>
        <v>0</v>
      </c>
      <c r="N64" s="4"/>
      <c r="O64" s="4"/>
      <c r="P64" s="4"/>
      <c r="Q64" s="4"/>
      <c r="R64" s="29">
        <f t="shared" si="1"/>
        <v>0</v>
      </c>
      <c r="S64" s="4">
        <v>2</v>
      </c>
      <c r="T64" s="4">
        <v>2</v>
      </c>
      <c r="U64" s="4">
        <v>2</v>
      </c>
      <c r="V64" s="4">
        <v>0</v>
      </c>
      <c r="W64" s="29">
        <f t="shared" si="7"/>
        <v>30.000000000000004</v>
      </c>
      <c r="X64" s="4">
        <v>2</v>
      </c>
      <c r="Y64" s="4">
        <v>2</v>
      </c>
      <c r="Z64" s="4">
        <v>2</v>
      </c>
      <c r="AA64" s="4">
        <v>1</v>
      </c>
      <c r="AB64" s="29">
        <f t="shared" si="2"/>
        <v>45</v>
      </c>
      <c r="AC64" s="4">
        <v>2</v>
      </c>
      <c r="AD64" s="4">
        <v>2</v>
      </c>
      <c r="AE64" s="4">
        <v>2</v>
      </c>
      <c r="AF64" s="4">
        <v>1</v>
      </c>
      <c r="AG64" s="29">
        <f t="shared" si="3"/>
        <v>45</v>
      </c>
      <c r="AH64" s="4"/>
      <c r="AI64" s="4"/>
      <c r="AJ64" s="4"/>
      <c r="AK64" s="4"/>
      <c r="AL64" s="29">
        <f t="shared" si="4"/>
        <v>0</v>
      </c>
      <c r="AM64" s="4">
        <v>2</v>
      </c>
      <c r="AN64" s="4">
        <v>3</v>
      </c>
      <c r="AO64" s="4">
        <v>3</v>
      </c>
      <c r="AP64" s="4">
        <v>2</v>
      </c>
      <c r="AQ64" s="29">
        <f t="shared" si="5"/>
        <v>72</v>
      </c>
    </row>
    <row r="65" spans="1:43">
      <c r="A65" s="4">
        <f>'INPUT DAFTAR PESERTA'!A63</f>
        <v>60</v>
      </c>
      <c r="B65" s="4">
        <f>'INPUT DAFTAR PESERTA'!B63</f>
        <v>2509106135</v>
      </c>
      <c r="C65" s="6" t="str">
        <f>'INPUT DAFTAR PESERTA'!C63</f>
        <v>Muhammad Dzaky Syachraini</v>
      </c>
      <c r="D65" s="4">
        <v>3</v>
      </c>
      <c r="E65" s="4">
        <v>3</v>
      </c>
      <c r="F65" s="4">
        <v>3</v>
      </c>
      <c r="G65" s="4">
        <v>1</v>
      </c>
      <c r="H65" s="29">
        <f t="shared" si="0"/>
        <v>60.000000000000007</v>
      </c>
      <c r="I65" s="4"/>
      <c r="J65" s="4"/>
      <c r="K65" s="4"/>
      <c r="L65" s="4"/>
      <c r="M65" s="29">
        <f t="shared" si="6"/>
        <v>0</v>
      </c>
      <c r="N65" s="4"/>
      <c r="O65" s="4"/>
      <c r="P65" s="4"/>
      <c r="Q65" s="4"/>
      <c r="R65" s="29">
        <f t="shared" si="1"/>
        <v>0</v>
      </c>
      <c r="S65" s="4">
        <v>2</v>
      </c>
      <c r="T65" s="4">
        <v>2</v>
      </c>
      <c r="U65" s="4">
        <v>2</v>
      </c>
      <c r="V65" s="4">
        <v>0</v>
      </c>
      <c r="W65" s="29">
        <f t="shared" si="7"/>
        <v>30.000000000000004</v>
      </c>
      <c r="X65" s="4">
        <v>2</v>
      </c>
      <c r="Y65" s="4">
        <v>2</v>
      </c>
      <c r="Z65" s="4">
        <v>2</v>
      </c>
      <c r="AA65" s="4">
        <v>3</v>
      </c>
      <c r="AB65" s="29">
        <f t="shared" si="2"/>
        <v>75</v>
      </c>
      <c r="AC65" s="4">
        <v>2</v>
      </c>
      <c r="AD65" s="4">
        <v>2</v>
      </c>
      <c r="AE65" s="4">
        <v>2</v>
      </c>
      <c r="AF65" s="4">
        <v>1</v>
      </c>
      <c r="AG65" s="29">
        <f t="shared" si="3"/>
        <v>45</v>
      </c>
      <c r="AH65" s="4"/>
      <c r="AI65" s="4"/>
      <c r="AJ65" s="4"/>
      <c r="AK65" s="4"/>
      <c r="AL65" s="29">
        <f t="shared" si="4"/>
        <v>0</v>
      </c>
      <c r="AM65" s="4">
        <v>2</v>
      </c>
      <c r="AN65" s="4">
        <v>3</v>
      </c>
      <c r="AO65" s="4">
        <v>3</v>
      </c>
      <c r="AP65" s="4">
        <v>2</v>
      </c>
      <c r="AQ65" s="29">
        <f t="shared" si="5"/>
        <v>72</v>
      </c>
    </row>
    <row r="66" spans="1:4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</row>
    <row r="67" spans="1:4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</row>
    <row r="68" spans="1:4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</row>
    <row r="69" spans="1:4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</row>
    <row r="70" spans="1:4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</row>
    <row r="71" spans="1:4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</row>
    <row r="72" spans="1:4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</row>
    <row r="73" spans="1:4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</row>
    <row r="74" spans="1:4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</row>
    <row r="75" spans="1:4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</row>
    <row r="76" spans="1:4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</row>
    <row r="77" spans="1:4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</row>
    <row r="78" spans="1:4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</row>
    <row r="79" spans="1:4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</row>
    <row r="80" spans="1:4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</row>
    <row r="81" spans="1:4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</row>
    <row r="82" spans="1:43">
      <c r="A82" s="11"/>
      <c r="B82" s="11"/>
      <c r="C82" s="8"/>
      <c r="D82" s="3"/>
      <c r="E82" s="3"/>
      <c r="F82" s="3"/>
      <c r="G82" s="3"/>
      <c r="H82" s="11"/>
      <c r="I82" s="3"/>
      <c r="J82" s="3"/>
      <c r="K82" s="3"/>
      <c r="L82" s="3"/>
      <c r="M82" s="11"/>
      <c r="N82" s="3"/>
      <c r="O82" s="3"/>
      <c r="P82" s="3"/>
      <c r="Q82" s="3"/>
      <c r="R82" s="11"/>
      <c r="S82" s="3"/>
      <c r="T82" s="3"/>
      <c r="U82" s="3"/>
      <c r="V82" s="3"/>
      <c r="W82" s="11"/>
      <c r="X82" s="3"/>
      <c r="Y82" s="3"/>
      <c r="Z82" s="3"/>
      <c r="AA82" s="3"/>
      <c r="AB82" s="11"/>
      <c r="AC82" s="3"/>
      <c r="AD82" s="3"/>
      <c r="AE82" s="3"/>
      <c r="AF82" s="3"/>
      <c r="AG82" s="11"/>
      <c r="AH82" s="3"/>
      <c r="AI82" s="3"/>
      <c r="AJ82" s="3"/>
      <c r="AK82" s="3"/>
      <c r="AL82" s="11"/>
      <c r="AM82" s="3"/>
      <c r="AN82" s="3"/>
      <c r="AO82" s="3"/>
      <c r="AP82" s="3"/>
      <c r="AQ82" s="11"/>
    </row>
    <row r="83" spans="1:43">
      <c r="A83" s="11"/>
      <c r="B83" s="11"/>
      <c r="C83" s="8"/>
      <c r="D83" s="3"/>
      <c r="E83" s="3"/>
      <c r="F83" s="3"/>
      <c r="G83" s="3"/>
      <c r="H83" s="11"/>
      <c r="I83" s="3"/>
      <c r="J83" s="3"/>
      <c r="K83" s="3"/>
      <c r="L83" s="3"/>
      <c r="M83" s="11"/>
      <c r="N83" s="3"/>
      <c r="O83" s="3"/>
      <c r="P83" s="3"/>
      <c r="Q83" s="3"/>
      <c r="R83" s="11"/>
      <c r="S83" s="3"/>
      <c r="T83" s="3"/>
      <c r="U83" s="3"/>
      <c r="V83" s="3"/>
      <c r="W83" s="11"/>
      <c r="X83" s="3"/>
      <c r="Y83" s="3"/>
      <c r="Z83" s="3"/>
      <c r="AA83" s="3"/>
      <c r="AB83" s="11"/>
      <c r="AC83" s="3"/>
      <c r="AD83" s="3"/>
      <c r="AE83" s="3"/>
      <c r="AF83" s="3"/>
      <c r="AG83" s="11"/>
      <c r="AH83" s="3"/>
      <c r="AI83" s="3"/>
      <c r="AJ83" s="3"/>
      <c r="AK83" s="3"/>
      <c r="AL83" s="11"/>
      <c r="AM83" s="3"/>
      <c r="AN83" s="3"/>
      <c r="AO83" s="3"/>
      <c r="AP83" s="3"/>
      <c r="AQ83" s="11"/>
    </row>
    <row r="84" spans="1:43">
      <c r="A84" s="11"/>
      <c r="B84" s="11"/>
      <c r="C84" s="8"/>
      <c r="D84" s="3"/>
      <c r="E84" s="3"/>
      <c r="F84" s="3"/>
      <c r="G84" s="3"/>
      <c r="H84" s="11"/>
      <c r="I84" s="3"/>
      <c r="J84" s="3"/>
      <c r="K84" s="3"/>
      <c r="L84" s="3"/>
      <c r="M84" s="11"/>
      <c r="N84" s="3"/>
      <c r="O84" s="3"/>
      <c r="P84" s="3"/>
      <c r="Q84" s="3"/>
      <c r="R84" s="11"/>
      <c r="S84" s="3"/>
      <c r="T84" s="3"/>
      <c r="U84" s="3"/>
      <c r="V84" s="3"/>
      <c r="W84" s="11"/>
      <c r="X84" s="3"/>
      <c r="Y84" s="3"/>
      <c r="Z84" s="3"/>
      <c r="AA84" s="3"/>
      <c r="AB84" s="11"/>
      <c r="AC84" s="3"/>
      <c r="AD84" s="3"/>
      <c r="AE84" s="3"/>
      <c r="AF84" s="3"/>
      <c r="AG84" s="11"/>
      <c r="AH84" s="3"/>
      <c r="AI84" s="3"/>
      <c r="AJ84" s="3"/>
      <c r="AK84" s="3"/>
      <c r="AL84" s="11"/>
      <c r="AM84" s="3"/>
      <c r="AN84" s="3"/>
      <c r="AO84" s="3"/>
      <c r="AP84" s="3"/>
      <c r="AQ84" s="11"/>
    </row>
    <row r="85" spans="1:43">
      <c r="A85" s="11"/>
      <c r="B85" s="11"/>
      <c r="C85" s="8"/>
      <c r="D85" s="3"/>
      <c r="E85" s="3"/>
      <c r="F85" s="3"/>
      <c r="G85" s="3"/>
      <c r="H85" s="11"/>
      <c r="I85" s="3"/>
      <c r="J85" s="3"/>
      <c r="K85" s="3"/>
      <c r="L85" s="3"/>
      <c r="M85" s="11"/>
      <c r="N85" s="3"/>
      <c r="O85" s="3"/>
      <c r="P85" s="3"/>
      <c r="Q85" s="3"/>
      <c r="R85" s="11"/>
      <c r="S85" s="3"/>
      <c r="T85" s="3"/>
      <c r="U85" s="3"/>
      <c r="V85" s="3"/>
      <c r="W85" s="11"/>
      <c r="X85" s="3"/>
      <c r="Y85" s="3"/>
      <c r="Z85" s="3"/>
      <c r="AA85" s="3"/>
      <c r="AB85" s="11"/>
      <c r="AC85" s="3"/>
      <c r="AD85" s="3"/>
      <c r="AE85" s="3"/>
      <c r="AF85" s="3"/>
      <c r="AG85" s="11"/>
      <c r="AH85" s="3"/>
      <c r="AI85" s="3"/>
      <c r="AJ85" s="3"/>
      <c r="AK85" s="3"/>
      <c r="AL85" s="11"/>
      <c r="AM85" s="3"/>
      <c r="AN85" s="3"/>
      <c r="AO85" s="3"/>
      <c r="AP85" s="3"/>
      <c r="AQ85" s="11"/>
    </row>
    <row r="86" spans="1:43">
      <c r="A86" s="11"/>
      <c r="B86" s="11"/>
      <c r="C86" s="8"/>
      <c r="D86" s="3"/>
      <c r="E86" s="3"/>
      <c r="F86" s="3"/>
      <c r="G86" s="3"/>
      <c r="H86" s="11"/>
      <c r="I86" s="3"/>
      <c r="J86" s="3"/>
      <c r="K86" s="3"/>
      <c r="L86" s="3"/>
      <c r="M86" s="11"/>
      <c r="N86" s="3"/>
      <c r="O86" s="3"/>
      <c r="P86" s="3"/>
      <c r="Q86" s="3"/>
      <c r="R86" s="11"/>
      <c r="S86" s="3"/>
      <c r="T86" s="3"/>
      <c r="U86" s="3"/>
      <c r="V86" s="3"/>
      <c r="W86" s="11"/>
      <c r="X86" s="3"/>
      <c r="Y86" s="3"/>
      <c r="Z86" s="3"/>
      <c r="AA86" s="3"/>
      <c r="AB86" s="11"/>
      <c r="AC86" s="3"/>
      <c r="AD86" s="3"/>
      <c r="AE86" s="3"/>
      <c r="AF86" s="3"/>
      <c r="AG86" s="11"/>
      <c r="AH86" s="3"/>
      <c r="AI86" s="3"/>
      <c r="AJ86" s="3"/>
      <c r="AK86" s="3"/>
      <c r="AL86" s="11"/>
      <c r="AM86" s="3"/>
      <c r="AN86" s="3"/>
      <c r="AO86" s="3"/>
      <c r="AP86" s="3"/>
      <c r="AQ86" s="11"/>
    </row>
    <row r="87" spans="1:43">
      <c r="A87" s="11"/>
      <c r="B87" s="11"/>
      <c r="C87" s="8"/>
      <c r="D87" s="3"/>
      <c r="E87" s="3"/>
      <c r="F87" s="3"/>
      <c r="G87" s="3"/>
      <c r="H87" s="11"/>
      <c r="I87" s="3"/>
      <c r="J87" s="3"/>
      <c r="K87" s="3"/>
      <c r="L87" s="3"/>
      <c r="M87" s="11"/>
      <c r="N87" s="3"/>
      <c r="O87" s="3"/>
      <c r="P87" s="3"/>
      <c r="Q87" s="3"/>
      <c r="R87" s="11"/>
      <c r="S87" s="3"/>
      <c r="T87" s="3"/>
      <c r="U87" s="3"/>
      <c r="V87" s="3"/>
      <c r="W87" s="11"/>
      <c r="X87" s="3"/>
      <c r="Y87" s="3"/>
      <c r="Z87" s="3"/>
      <c r="AA87" s="3"/>
      <c r="AB87" s="11"/>
      <c r="AC87" s="3"/>
      <c r="AD87" s="3"/>
      <c r="AE87" s="3"/>
      <c r="AF87" s="3"/>
      <c r="AG87" s="11"/>
      <c r="AH87" s="3"/>
      <c r="AI87" s="3"/>
      <c r="AJ87" s="3"/>
      <c r="AK87" s="3"/>
      <c r="AL87" s="11"/>
      <c r="AM87" s="3"/>
      <c r="AN87" s="3"/>
      <c r="AO87" s="3"/>
      <c r="AP87" s="3"/>
      <c r="AQ87" s="11"/>
    </row>
    <row r="88" spans="1:43">
      <c r="A88" s="11"/>
      <c r="B88" s="11"/>
      <c r="C88" s="8"/>
      <c r="D88" s="3"/>
      <c r="E88" s="3"/>
      <c r="F88" s="3"/>
      <c r="G88" s="3"/>
      <c r="H88" s="11"/>
      <c r="I88" s="3"/>
      <c r="J88" s="3"/>
      <c r="K88" s="3"/>
      <c r="L88" s="3"/>
      <c r="M88" s="11"/>
      <c r="N88" s="3"/>
      <c r="O88" s="3"/>
      <c r="P88" s="3"/>
      <c r="Q88" s="3"/>
      <c r="R88" s="11"/>
      <c r="S88" s="3"/>
      <c r="T88" s="3"/>
      <c r="U88" s="3"/>
      <c r="V88" s="3"/>
      <c r="W88" s="11"/>
      <c r="X88" s="3"/>
      <c r="Y88" s="3"/>
      <c r="Z88" s="3"/>
      <c r="AA88" s="3"/>
      <c r="AB88" s="11"/>
      <c r="AC88" s="3"/>
      <c r="AD88" s="3"/>
      <c r="AE88" s="3"/>
      <c r="AF88" s="3"/>
      <c r="AG88" s="11"/>
      <c r="AH88" s="3"/>
      <c r="AI88" s="3"/>
      <c r="AJ88" s="3"/>
      <c r="AK88" s="3"/>
      <c r="AL88" s="11"/>
      <c r="AM88" s="3"/>
      <c r="AN88" s="3"/>
      <c r="AO88" s="3"/>
      <c r="AP88" s="3"/>
      <c r="AQ88" s="11"/>
    </row>
    <row r="89" spans="1:43">
      <c r="A89" s="11"/>
      <c r="B89" s="11"/>
      <c r="C89" s="8"/>
      <c r="D89" s="3"/>
      <c r="E89" s="3"/>
      <c r="F89" s="3"/>
      <c r="G89" s="3"/>
      <c r="H89" s="11"/>
      <c r="I89" s="3"/>
      <c r="J89" s="3"/>
      <c r="K89" s="3"/>
      <c r="L89" s="3"/>
      <c r="M89" s="11"/>
      <c r="N89" s="3"/>
      <c r="O89" s="3"/>
      <c r="P89" s="3"/>
      <c r="Q89" s="3"/>
      <c r="R89" s="11"/>
      <c r="S89" s="3"/>
      <c r="T89" s="3"/>
      <c r="U89" s="3"/>
      <c r="V89" s="3"/>
      <c r="W89" s="11"/>
      <c r="X89" s="3"/>
      <c r="Y89" s="3"/>
      <c r="Z89" s="3"/>
      <c r="AA89" s="3"/>
      <c r="AB89" s="11"/>
      <c r="AC89" s="3"/>
      <c r="AD89" s="3"/>
      <c r="AE89" s="3"/>
      <c r="AF89" s="3"/>
      <c r="AG89" s="11"/>
      <c r="AH89" s="3"/>
      <c r="AI89" s="3"/>
      <c r="AJ89" s="3"/>
      <c r="AK89" s="3"/>
      <c r="AL89" s="11"/>
      <c r="AM89" s="3"/>
      <c r="AN89" s="3"/>
      <c r="AO89" s="3"/>
      <c r="AP89" s="3"/>
      <c r="AQ89" s="11"/>
    </row>
    <row r="90" spans="1:43">
      <c r="A90" s="11"/>
      <c r="B90" s="11"/>
      <c r="C90" s="8"/>
      <c r="D90" s="3"/>
      <c r="E90" s="3"/>
      <c r="F90" s="3"/>
      <c r="G90" s="3"/>
      <c r="H90" s="11"/>
      <c r="I90" s="3"/>
      <c r="J90" s="3"/>
      <c r="K90" s="3"/>
      <c r="L90" s="3"/>
      <c r="M90" s="11"/>
      <c r="N90" s="3"/>
      <c r="O90" s="3"/>
      <c r="P90" s="3"/>
      <c r="Q90" s="3"/>
      <c r="R90" s="11"/>
      <c r="S90" s="3"/>
      <c r="T90" s="3"/>
      <c r="U90" s="3"/>
      <c r="V90" s="3"/>
      <c r="W90" s="11"/>
      <c r="X90" s="3"/>
      <c r="Y90" s="3"/>
      <c r="Z90" s="3"/>
      <c r="AA90" s="3"/>
      <c r="AB90" s="11"/>
      <c r="AC90" s="3"/>
      <c r="AD90" s="3"/>
      <c r="AE90" s="3"/>
      <c r="AF90" s="3"/>
      <c r="AG90" s="11"/>
      <c r="AH90" s="3"/>
      <c r="AI90" s="3"/>
      <c r="AJ90" s="3"/>
      <c r="AK90" s="3"/>
      <c r="AL90" s="11"/>
      <c r="AM90" s="3"/>
      <c r="AN90" s="3"/>
      <c r="AO90" s="3"/>
      <c r="AP90" s="3"/>
      <c r="AQ90" s="11"/>
    </row>
    <row r="91" spans="1:43">
      <c r="A91" s="11"/>
      <c r="B91" s="11"/>
      <c r="C91" s="8"/>
      <c r="D91" s="3"/>
      <c r="E91" s="3"/>
      <c r="F91" s="3"/>
      <c r="G91" s="3"/>
      <c r="H91" s="11"/>
      <c r="I91" s="3"/>
      <c r="J91" s="3"/>
      <c r="K91" s="3"/>
      <c r="L91" s="3"/>
      <c r="M91" s="11"/>
      <c r="N91" s="3"/>
      <c r="O91" s="3"/>
      <c r="P91" s="3"/>
      <c r="Q91" s="3"/>
      <c r="R91" s="11"/>
      <c r="S91" s="3"/>
      <c r="T91" s="3"/>
      <c r="U91" s="3"/>
      <c r="V91" s="3"/>
      <c r="W91" s="11"/>
      <c r="X91" s="3"/>
      <c r="Y91" s="3"/>
      <c r="Z91" s="3"/>
      <c r="AA91" s="3"/>
      <c r="AB91" s="11"/>
      <c r="AC91" s="3"/>
      <c r="AD91" s="3"/>
      <c r="AE91" s="3"/>
      <c r="AF91" s="3"/>
      <c r="AG91" s="11"/>
      <c r="AH91" s="3"/>
      <c r="AI91" s="3"/>
      <c r="AJ91" s="3"/>
      <c r="AK91" s="3"/>
      <c r="AL91" s="11"/>
      <c r="AM91" s="3"/>
      <c r="AN91" s="3"/>
      <c r="AO91" s="3"/>
      <c r="AP91" s="3"/>
      <c r="AQ91" s="11"/>
    </row>
    <row r="92" spans="1:43">
      <c r="A92" s="11"/>
      <c r="B92" s="11"/>
      <c r="C92" s="8"/>
      <c r="D92" s="3"/>
      <c r="E92" s="3"/>
      <c r="F92" s="3"/>
      <c r="G92" s="3"/>
      <c r="H92" s="11"/>
      <c r="I92" s="3"/>
      <c r="J92" s="3"/>
      <c r="K92" s="3"/>
      <c r="L92" s="3"/>
      <c r="M92" s="11"/>
      <c r="N92" s="3"/>
      <c r="O92" s="3"/>
      <c r="P92" s="3"/>
      <c r="Q92" s="3"/>
      <c r="R92" s="11"/>
      <c r="S92" s="3"/>
      <c r="T92" s="3"/>
      <c r="U92" s="3"/>
      <c r="V92" s="3"/>
      <c r="W92" s="11"/>
      <c r="X92" s="3"/>
      <c r="Y92" s="3"/>
      <c r="Z92" s="3"/>
      <c r="AA92" s="3"/>
      <c r="AB92" s="11"/>
      <c r="AC92" s="3"/>
      <c r="AD92" s="3"/>
      <c r="AE92" s="3"/>
      <c r="AF92" s="3"/>
      <c r="AG92" s="11"/>
      <c r="AH92" s="3"/>
      <c r="AI92" s="3"/>
      <c r="AJ92" s="3"/>
      <c r="AK92" s="3"/>
      <c r="AL92" s="11"/>
      <c r="AM92" s="3"/>
      <c r="AN92" s="3"/>
      <c r="AO92" s="3"/>
      <c r="AP92" s="3"/>
      <c r="AQ92" s="11"/>
    </row>
    <row r="93" spans="1:43">
      <c r="A93" s="11"/>
      <c r="B93" s="11"/>
      <c r="C93" s="8"/>
      <c r="D93" s="3"/>
      <c r="E93" s="3"/>
      <c r="F93" s="3"/>
      <c r="G93" s="3"/>
      <c r="H93" s="11"/>
      <c r="I93" s="3"/>
      <c r="J93" s="3"/>
      <c r="K93" s="3"/>
      <c r="L93" s="3"/>
      <c r="M93" s="11"/>
      <c r="N93" s="3"/>
      <c r="O93" s="3"/>
      <c r="P93" s="3"/>
      <c r="Q93" s="3"/>
      <c r="R93" s="11"/>
      <c r="S93" s="3"/>
      <c r="T93" s="3"/>
      <c r="U93" s="3"/>
      <c r="V93" s="3"/>
      <c r="W93" s="11"/>
      <c r="X93" s="3"/>
      <c r="Y93" s="3"/>
      <c r="Z93" s="3"/>
      <c r="AA93" s="3"/>
      <c r="AB93" s="11"/>
      <c r="AC93" s="3"/>
      <c r="AD93" s="3"/>
      <c r="AE93" s="3"/>
      <c r="AF93" s="3"/>
      <c r="AG93" s="11"/>
      <c r="AH93" s="3"/>
      <c r="AI93" s="3"/>
      <c r="AJ93" s="3"/>
      <c r="AK93" s="3"/>
      <c r="AL93" s="11"/>
      <c r="AM93" s="3"/>
      <c r="AN93" s="3"/>
      <c r="AO93" s="3"/>
      <c r="AP93" s="3"/>
      <c r="AQ93" s="11"/>
    </row>
    <row r="94" spans="1:43">
      <c r="A94" s="11"/>
      <c r="B94" s="11"/>
      <c r="C94" s="8"/>
      <c r="D94" s="3"/>
      <c r="E94" s="3"/>
      <c r="F94" s="3"/>
      <c r="G94" s="3"/>
      <c r="H94" s="11"/>
      <c r="I94" s="3"/>
      <c r="J94" s="3"/>
      <c r="K94" s="3"/>
      <c r="L94" s="3"/>
      <c r="M94" s="11"/>
      <c r="N94" s="3"/>
      <c r="O94" s="3"/>
      <c r="P94" s="3"/>
      <c r="Q94" s="3"/>
      <c r="R94" s="11"/>
      <c r="S94" s="3"/>
      <c r="T94" s="3"/>
      <c r="U94" s="3"/>
      <c r="V94" s="3"/>
      <c r="W94" s="11"/>
      <c r="X94" s="3"/>
      <c r="Y94" s="3"/>
      <c r="Z94" s="3"/>
      <c r="AA94" s="3"/>
      <c r="AB94" s="11"/>
      <c r="AC94" s="3"/>
      <c r="AD94" s="3"/>
      <c r="AE94" s="3"/>
      <c r="AF94" s="3"/>
      <c r="AG94" s="11"/>
      <c r="AH94" s="3"/>
      <c r="AI94" s="3"/>
      <c r="AJ94" s="3"/>
      <c r="AK94" s="3"/>
      <c r="AL94" s="11"/>
      <c r="AM94" s="3"/>
      <c r="AN94" s="3"/>
      <c r="AO94" s="3"/>
      <c r="AP94" s="3"/>
      <c r="AQ94" s="11"/>
    </row>
    <row r="95" spans="1:43">
      <c r="A95" s="11"/>
      <c r="B95" s="11"/>
      <c r="C95" s="8"/>
      <c r="D95" s="3"/>
      <c r="E95" s="3"/>
      <c r="F95" s="3"/>
      <c r="G95" s="3"/>
      <c r="H95" s="11"/>
      <c r="I95" s="3"/>
      <c r="J95" s="3"/>
      <c r="K95" s="3"/>
      <c r="L95" s="3"/>
      <c r="M95" s="11"/>
      <c r="N95" s="3"/>
      <c r="O95" s="3"/>
      <c r="P95" s="3"/>
      <c r="Q95" s="3"/>
      <c r="R95" s="11"/>
      <c r="S95" s="3"/>
      <c r="T95" s="3"/>
      <c r="U95" s="3"/>
      <c r="V95" s="3"/>
      <c r="W95" s="11"/>
      <c r="X95" s="3"/>
      <c r="Y95" s="3"/>
      <c r="Z95" s="3"/>
      <c r="AA95" s="3"/>
      <c r="AB95" s="11"/>
      <c r="AC95" s="3"/>
      <c r="AD95" s="3"/>
      <c r="AE95" s="3"/>
      <c r="AF95" s="3"/>
      <c r="AG95" s="11"/>
      <c r="AH95" s="3"/>
      <c r="AI95" s="3"/>
      <c r="AJ95" s="3"/>
      <c r="AK95" s="3"/>
      <c r="AL95" s="11"/>
      <c r="AM95" s="3"/>
      <c r="AN95" s="3"/>
      <c r="AO95" s="3"/>
      <c r="AP95" s="3"/>
      <c r="AQ95" s="11"/>
    </row>
    <row r="96" spans="1:43">
      <c r="A96" s="11"/>
      <c r="B96" s="11"/>
      <c r="C96" s="8"/>
      <c r="D96" s="3"/>
      <c r="E96" s="3"/>
      <c r="F96" s="3"/>
      <c r="G96" s="3"/>
      <c r="H96" s="11"/>
      <c r="I96" s="3"/>
      <c r="J96" s="3"/>
      <c r="K96" s="3"/>
      <c r="L96" s="3"/>
      <c r="M96" s="11"/>
      <c r="N96" s="3"/>
      <c r="O96" s="3"/>
      <c r="P96" s="3"/>
      <c r="Q96" s="3"/>
      <c r="R96" s="11"/>
      <c r="S96" s="3"/>
      <c r="T96" s="3"/>
      <c r="U96" s="3"/>
      <c r="V96" s="3"/>
      <c r="W96" s="11"/>
      <c r="X96" s="3"/>
      <c r="Y96" s="3"/>
      <c r="Z96" s="3"/>
      <c r="AA96" s="3"/>
      <c r="AB96" s="11"/>
      <c r="AC96" s="3"/>
      <c r="AD96" s="3"/>
      <c r="AE96" s="3"/>
      <c r="AF96" s="3"/>
      <c r="AG96" s="11"/>
      <c r="AH96" s="3"/>
      <c r="AI96" s="3"/>
      <c r="AJ96" s="3"/>
      <c r="AK96" s="3"/>
      <c r="AL96" s="11"/>
      <c r="AM96" s="3"/>
      <c r="AN96" s="3"/>
      <c r="AO96" s="3"/>
      <c r="AP96" s="3"/>
      <c r="AQ96" s="11"/>
    </row>
    <row r="97" spans="1:43">
      <c r="A97" s="11"/>
      <c r="B97" s="11"/>
      <c r="C97" s="8"/>
      <c r="D97" s="3"/>
      <c r="E97" s="3"/>
      <c r="F97" s="3"/>
      <c r="G97" s="3"/>
      <c r="H97" s="11"/>
      <c r="I97" s="3"/>
      <c r="J97" s="3"/>
      <c r="K97" s="3"/>
      <c r="L97" s="3"/>
      <c r="M97" s="11"/>
      <c r="N97" s="3"/>
      <c r="O97" s="3"/>
      <c r="P97" s="3"/>
      <c r="Q97" s="3"/>
      <c r="R97" s="11"/>
      <c r="S97" s="3"/>
      <c r="T97" s="3"/>
      <c r="U97" s="3"/>
      <c r="V97" s="3"/>
      <c r="W97" s="11"/>
      <c r="X97" s="3"/>
      <c r="Y97" s="3"/>
      <c r="Z97" s="3"/>
      <c r="AA97" s="3"/>
      <c r="AB97" s="11"/>
      <c r="AC97" s="3"/>
      <c r="AD97" s="3"/>
      <c r="AE97" s="3"/>
      <c r="AF97" s="3"/>
      <c r="AG97" s="11"/>
      <c r="AH97" s="3"/>
      <c r="AI97" s="3"/>
      <c r="AJ97" s="3"/>
      <c r="AK97" s="3"/>
      <c r="AL97" s="11"/>
      <c r="AM97" s="3"/>
      <c r="AN97" s="3"/>
      <c r="AO97" s="3"/>
      <c r="AP97" s="3"/>
      <c r="AQ97" s="11"/>
    </row>
    <row r="98" spans="1:43">
      <c r="A98" s="11"/>
      <c r="B98" s="11"/>
      <c r="C98" s="8"/>
      <c r="D98" s="3"/>
      <c r="E98" s="3"/>
      <c r="F98" s="3"/>
      <c r="G98" s="3"/>
      <c r="H98" s="11"/>
      <c r="I98" s="3"/>
      <c r="J98" s="3"/>
      <c r="K98" s="3"/>
      <c r="L98" s="3"/>
      <c r="M98" s="11"/>
      <c r="N98" s="3"/>
      <c r="O98" s="3"/>
      <c r="P98" s="3"/>
      <c r="Q98" s="3"/>
      <c r="R98" s="11"/>
      <c r="S98" s="3"/>
      <c r="T98" s="3"/>
      <c r="U98" s="3"/>
      <c r="V98" s="3"/>
      <c r="W98" s="11"/>
      <c r="X98" s="3"/>
      <c r="Y98" s="3"/>
      <c r="Z98" s="3"/>
      <c r="AA98" s="3"/>
      <c r="AB98" s="11"/>
      <c r="AC98" s="3"/>
      <c r="AD98" s="3"/>
      <c r="AE98" s="3"/>
      <c r="AF98" s="3"/>
      <c r="AG98" s="11"/>
      <c r="AH98" s="3"/>
      <c r="AI98" s="3"/>
      <c r="AJ98" s="3"/>
      <c r="AK98" s="3"/>
      <c r="AL98" s="11"/>
      <c r="AM98" s="3"/>
      <c r="AN98" s="3"/>
      <c r="AO98" s="3"/>
      <c r="AP98" s="3"/>
      <c r="AQ98" s="11"/>
    </row>
    <row r="99" spans="1:43">
      <c r="A99" s="11"/>
      <c r="B99" s="11"/>
      <c r="C99" s="8"/>
      <c r="D99" s="3"/>
      <c r="E99" s="3"/>
      <c r="F99" s="3"/>
      <c r="G99" s="3"/>
      <c r="H99" s="11"/>
      <c r="I99" s="3"/>
      <c r="J99" s="3"/>
      <c r="K99" s="3"/>
      <c r="L99" s="3"/>
      <c r="M99" s="11"/>
      <c r="N99" s="3"/>
      <c r="O99" s="3"/>
      <c r="P99" s="3"/>
      <c r="Q99" s="3"/>
      <c r="R99" s="11"/>
      <c r="S99" s="3"/>
      <c r="T99" s="3"/>
      <c r="U99" s="3"/>
      <c r="V99" s="3"/>
      <c r="W99" s="11"/>
      <c r="X99" s="3"/>
      <c r="Y99" s="3"/>
      <c r="Z99" s="3"/>
      <c r="AA99" s="3"/>
      <c r="AB99" s="11"/>
      <c r="AC99" s="3"/>
      <c r="AD99" s="3"/>
      <c r="AE99" s="3"/>
      <c r="AF99" s="3"/>
      <c r="AG99" s="11"/>
      <c r="AH99" s="3"/>
      <c r="AI99" s="3"/>
      <c r="AJ99" s="3"/>
      <c r="AK99" s="3"/>
      <c r="AL99" s="11"/>
      <c r="AM99" s="3"/>
      <c r="AN99" s="3"/>
      <c r="AO99" s="3"/>
      <c r="AP99" s="3"/>
      <c r="AQ99" s="11"/>
    </row>
    <row r="100" spans="1:4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</row>
    <row r="101" spans="1:4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</row>
    <row r="102" spans="1:4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</row>
    <row r="103" spans="1:4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</row>
    <row r="104" spans="1:4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</row>
    <row r="105" spans="1:4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</row>
    <row r="106" spans="1:4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</row>
    <row r="107" spans="1:4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</row>
    <row r="108" spans="1:4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</row>
    <row r="109" spans="1:4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</row>
    <row r="110" spans="1:4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</row>
    <row r="111" spans="1:4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</row>
    <row r="112" spans="1:4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</row>
    <row r="113" spans="1:4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</row>
    <row r="114" spans="1:4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</row>
    <row r="115" spans="1:4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</row>
    <row r="116" spans="1:4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</row>
    <row r="117" spans="1:4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</row>
    <row r="118" spans="1:4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</row>
    <row r="119" spans="1:4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</row>
    <row r="120" spans="1:4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</row>
    <row r="121" spans="1:4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</row>
    <row r="122" spans="1:4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</row>
    <row r="123" spans="1:4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</row>
    <row r="124" spans="1:4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</row>
    <row r="125" spans="1:4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</row>
    <row r="126" spans="1:4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</row>
    <row r="127" spans="1:4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</row>
    <row r="128" spans="1:4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</row>
    <row r="129" spans="1:4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</row>
    <row r="130" spans="1:4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</row>
    <row r="131" spans="1:4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</row>
    <row r="132" spans="1:4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</row>
    <row r="133" spans="1:4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</row>
    <row r="134" spans="1:4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</row>
    <row r="135" spans="1:4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</row>
    <row r="136" spans="1:4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</row>
    <row r="137" spans="1:4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</row>
    <row r="138" spans="1:4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</row>
    <row r="139" spans="1:4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</row>
    <row r="140" spans="1:4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</row>
    <row r="141" spans="1:4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</row>
    <row r="142" spans="1:4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</row>
    <row r="143" spans="1: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</row>
    <row r="144" spans="1:4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</row>
    <row r="145" spans="1:4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</row>
    <row r="146" spans="1:4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</row>
    <row r="147" spans="1:4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</row>
    <row r="148" spans="1:4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</row>
    <row r="149" spans="1:4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</row>
    <row r="150" spans="1:4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</row>
    <row r="151" spans="1:4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</row>
    <row r="152" spans="1:4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</row>
    <row r="153" spans="1:4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</row>
    <row r="154" spans="1:4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</row>
    <row r="155" spans="1:4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</row>
    <row r="156" spans="1:4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</row>
    <row r="157" spans="1:4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</row>
    <row r="158" spans="1:4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</row>
    <row r="159" spans="1:4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</row>
    <row r="160" spans="1:4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</row>
    <row r="161" spans="1:4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</row>
    <row r="162" spans="1:4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</row>
    <row r="163" spans="1:4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</row>
    <row r="164" spans="1:4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</row>
    <row r="165" spans="1:4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</row>
    <row r="166" spans="1:4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</row>
    <row r="167" spans="1:4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</row>
    <row r="168" spans="1:4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</row>
    <row r="169" spans="1:4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</row>
    <row r="170" spans="1:4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</row>
    <row r="171" spans="1:4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</row>
    <row r="172" spans="1:4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</row>
    <row r="173" spans="1:4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</row>
    <row r="174" spans="1:4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</row>
    <row r="175" spans="1:4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</row>
    <row r="176" spans="1:4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</row>
    <row r="177" spans="1:4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</row>
    <row r="178" spans="1:4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</row>
    <row r="179" spans="1:4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</row>
    <row r="180" spans="1:4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</row>
    <row r="181" spans="1:4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</row>
    <row r="182" spans="1:4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</row>
    <row r="183" spans="1:4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</row>
    <row r="184" spans="1:4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</row>
    <row r="185" spans="1:4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</row>
    <row r="186" spans="1:4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</row>
    <row r="187" spans="1:4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</row>
    <row r="188" spans="1:4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</row>
    <row r="189" spans="1:4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</row>
    <row r="190" spans="1:4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</row>
    <row r="191" spans="1:4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</row>
    <row r="192" spans="1:4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</row>
    <row r="193" spans="1:4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</row>
    <row r="194" spans="1:4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</row>
    <row r="195" spans="1:4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</row>
    <row r="196" spans="1:4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</row>
    <row r="197" spans="1:4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</row>
    <row r="198" spans="1:4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</row>
    <row r="199" spans="1:4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</row>
    <row r="200" spans="1:4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</row>
    <row r="201" spans="1:4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</row>
    <row r="202" spans="1:4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</row>
    <row r="203" spans="1:4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</row>
    <row r="204" spans="1:4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</row>
    <row r="205" spans="1:4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</row>
    <row r="206" spans="1:4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</row>
    <row r="207" spans="1:4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</row>
    <row r="208" spans="1:4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</row>
    <row r="209" spans="1:4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</row>
    <row r="210" spans="1:4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</row>
    <row r="211" spans="1:4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</row>
    <row r="212" spans="1:4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</row>
    <row r="213" spans="1:4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</row>
    <row r="214" spans="1:4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</row>
    <row r="215" spans="1:4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</row>
    <row r="216" spans="1:4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</row>
    <row r="217" spans="1:4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</row>
    <row r="218" spans="1:4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</row>
    <row r="219" spans="1:4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</row>
    <row r="220" spans="1:4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</row>
    <row r="221" spans="1:4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</row>
    <row r="222" spans="1:4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</row>
    <row r="223" spans="1:4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</row>
    <row r="224" spans="1:4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</row>
    <row r="225" spans="1:4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</row>
    <row r="226" spans="1:4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</row>
    <row r="227" spans="1:4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</row>
    <row r="228" spans="1:4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</row>
    <row r="229" spans="1:4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</row>
    <row r="230" spans="1:4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</row>
    <row r="231" spans="1:4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</row>
    <row r="232" spans="1:4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</row>
    <row r="233" spans="1:4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</row>
    <row r="234" spans="1:4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</row>
    <row r="235" spans="1:4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</row>
    <row r="236" spans="1:4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</row>
    <row r="237" spans="1:4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</row>
    <row r="238" spans="1:4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</row>
    <row r="239" spans="1:4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</row>
    <row r="240" spans="1:4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</row>
    <row r="241" spans="1:4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</row>
    <row r="242" spans="1:4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</row>
    <row r="243" spans="1: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</row>
    <row r="244" spans="1:4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</row>
    <row r="245" spans="1:4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</row>
    <row r="246" spans="1:4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</row>
    <row r="247" spans="1:4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</row>
    <row r="248" spans="1:4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</row>
    <row r="249" spans="1:4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</row>
    <row r="250" spans="1:4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</row>
    <row r="251" spans="1:4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</row>
    <row r="252" spans="1:4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</row>
    <row r="253" spans="1:4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</row>
    <row r="254" spans="1:4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</row>
    <row r="255" spans="1:4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</row>
    <row r="256" spans="1:4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</row>
    <row r="257" spans="1:4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</row>
    <row r="258" spans="1:4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</row>
    <row r="259" spans="1:4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</row>
    <row r="260" spans="1:4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</row>
    <row r="261" spans="1:4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</row>
    <row r="262" spans="1:4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</row>
    <row r="263" spans="1:4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</row>
    <row r="264" spans="1:4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</row>
    <row r="265" spans="1:4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</row>
    <row r="266" spans="1:4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</row>
    <row r="267" spans="1:4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</row>
    <row r="268" spans="1:4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</row>
    <row r="269" spans="1:4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</row>
    <row r="270" spans="1:4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</row>
    <row r="271" spans="1:4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</row>
    <row r="272" spans="1:4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</row>
    <row r="273" spans="1:4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</row>
    <row r="274" spans="1:4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</row>
    <row r="275" spans="1:4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</row>
    <row r="276" spans="1:4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</row>
    <row r="277" spans="1:4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</row>
    <row r="278" spans="1:4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</row>
    <row r="279" spans="1:4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</row>
    <row r="280" spans="1:4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</row>
    <row r="281" spans="1:4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</row>
    <row r="282" spans="1:4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</row>
    <row r="283" spans="1:4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</row>
    <row r="284" spans="1:4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</row>
    <row r="285" spans="1:4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</row>
    <row r="286" spans="1:4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</row>
    <row r="287" spans="1:4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</row>
    <row r="288" spans="1:4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</row>
    <row r="289" spans="1:4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</row>
    <row r="290" spans="1:4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</row>
    <row r="291" spans="1:4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</row>
    <row r="292" spans="1:4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</row>
    <row r="293" spans="1:4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</row>
    <row r="294" spans="1:4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</row>
    <row r="295" spans="1:4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</row>
    <row r="296" spans="1:4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</row>
    <row r="297" spans="1:4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</row>
    <row r="298" spans="1:4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</row>
    <row r="299" spans="1:4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</row>
    <row r="300" spans="1:4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</row>
    <row r="301" spans="1:4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</row>
    <row r="302" spans="1:4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</row>
    <row r="303" spans="1:4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</row>
    <row r="304" spans="1:4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</row>
    <row r="305" spans="1:4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</row>
    <row r="306" spans="1:4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</row>
    <row r="307" spans="1:4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</row>
    <row r="308" spans="1:4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</row>
    <row r="309" spans="1:4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</row>
    <row r="310" spans="1:4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</row>
    <row r="311" spans="1:4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</row>
    <row r="312" spans="1:4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</row>
    <row r="313" spans="1:4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</row>
    <row r="314" spans="1:4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</row>
    <row r="315" spans="1:4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</row>
    <row r="316" spans="1:4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</row>
    <row r="317" spans="1:4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</row>
    <row r="318" spans="1:4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</row>
    <row r="319" spans="1:4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</row>
    <row r="320" spans="1:4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</row>
    <row r="321" spans="1:4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</row>
    <row r="322" spans="1:4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</row>
    <row r="323" spans="1:4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</row>
    <row r="324" spans="1:4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</row>
    <row r="325" spans="1:4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</row>
    <row r="326" spans="1:4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</row>
    <row r="327" spans="1:4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</row>
    <row r="328" spans="1:4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</row>
    <row r="329" spans="1:4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</row>
    <row r="330" spans="1:4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</row>
    <row r="331" spans="1:4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</row>
    <row r="332" spans="1:4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</row>
    <row r="333" spans="1:4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</row>
    <row r="334" spans="1:4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</row>
    <row r="335" spans="1:4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</row>
    <row r="336" spans="1:4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</row>
    <row r="337" spans="1:4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</row>
    <row r="338" spans="1:4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</row>
    <row r="339" spans="1:4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</row>
    <row r="340" spans="1:4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</row>
    <row r="341" spans="1:4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</row>
    <row r="342" spans="1:4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</row>
    <row r="343" spans="1: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</row>
    <row r="344" spans="1:4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</row>
    <row r="345" spans="1:4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</row>
    <row r="346" spans="1:4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</row>
    <row r="347" spans="1:4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</row>
    <row r="348" spans="1:4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</row>
    <row r="349" spans="1:4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</row>
    <row r="350" spans="1:4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</row>
    <row r="351" spans="1:4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</row>
    <row r="352" spans="1:4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</row>
    <row r="353" spans="1:4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</row>
    <row r="354" spans="1:4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</row>
    <row r="355" spans="1:4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</row>
    <row r="356" spans="1:4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</row>
    <row r="357" spans="1:4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</row>
    <row r="358" spans="1:4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</row>
    <row r="359" spans="1:4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</row>
    <row r="360" spans="1:4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</row>
    <row r="361" spans="1:4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</row>
    <row r="362" spans="1:4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</row>
    <row r="363" spans="1:4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</row>
    <row r="364" spans="1:4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</row>
    <row r="365" spans="1:4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</row>
    <row r="366" spans="1:4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</row>
    <row r="367" spans="1:4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</row>
    <row r="368" spans="1:4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</row>
    <row r="369" spans="1:4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</row>
    <row r="370" spans="1:4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</row>
    <row r="371" spans="1:4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</row>
    <row r="372" spans="1:4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</row>
    <row r="373" spans="1:4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</row>
    <row r="374" spans="1:4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</row>
    <row r="375" spans="1:4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</row>
    <row r="376" spans="1:4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</row>
    <row r="377" spans="1:4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</row>
    <row r="378" spans="1:4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</row>
    <row r="379" spans="1:4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</row>
    <row r="380" spans="1:4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</row>
    <row r="381" spans="1:4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</row>
    <row r="382" spans="1:4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</row>
    <row r="383" spans="1:4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</row>
    <row r="384" spans="1:4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</row>
    <row r="385" spans="1:4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</row>
    <row r="386" spans="1:4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</row>
    <row r="387" spans="1:4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</row>
    <row r="388" spans="1:4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</row>
    <row r="389" spans="1:4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</row>
    <row r="390" spans="1:4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</row>
    <row r="391" spans="1:4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</row>
    <row r="392" spans="1:4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</row>
    <row r="393" spans="1:4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</row>
    <row r="394" spans="1:4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</row>
    <row r="395" spans="1:4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</row>
    <row r="396" spans="1:4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</row>
    <row r="397" spans="1:4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</row>
    <row r="398" spans="1:4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</row>
    <row r="399" spans="1:4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</row>
    <row r="400" spans="1:4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</row>
    <row r="401" spans="1:4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</row>
    <row r="402" spans="1:4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</row>
    <row r="403" spans="1:4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</row>
    <row r="404" spans="1:4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</row>
    <row r="405" spans="1:4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</row>
    <row r="406" spans="1:4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</row>
    <row r="407" spans="1:4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</row>
    <row r="408" spans="1:4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</row>
    <row r="409" spans="1:4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</row>
    <row r="410" spans="1:4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</row>
    <row r="411" spans="1:4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</row>
    <row r="412" spans="1:4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</row>
    <row r="413" spans="1:4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</row>
    <row r="414" spans="1:4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</row>
    <row r="415" spans="1:4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</row>
    <row r="416" spans="1:4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</row>
    <row r="417" spans="1:4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</row>
    <row r="418" spans="1:4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</row>
    <row r="419" spans="1:4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</row>
    <row r="420" spans="1:4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</row>
    <row r="421" spans="1:4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</row>
    <row r="422" spans="1:4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</row>
    <row r="423" spans="1:4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</row>
    <row r="424" spans="1:4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</row>
    <row r="425" spans="1:4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</row>
    <row r="426" spans="1:4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</row>
    <row r="427" spans="1:4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</row>
    <row r="428" spans="1:4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</row>
    <row r="429" spans="1:4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</row>
    <row r="430" spans="1:4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</row>
    <row r="431" spans="1:4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</row>
    <row r="432" spans="1:4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</row>
    <row r="433" spans="1:4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</row>
    <row r="434" spans="1:4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</row>
    <row r="435" spans="1:4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</row>
    <row r="436" spans="1:4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</row>
    <row r="437" spans="1:4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</row>
    <row r="438" spans="1:4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</row>
    <row r="439" spans="1:4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</row>
    <row r="440" spans="1:4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</row>
    <row r="441" spans="1:4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</row>
    <row r="442" spans="1:4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</row>
    <row r="443" spans="1: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</row>
    <row r="444" spans="1:4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</row>
    <row r="445" spans="1:4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</row>
    <row r="446" spans="1:4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</row>
    <row r="447" spans="1:4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</row>
    <row r="448" spans="1:4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</row>
    <row r="449" spans="1:4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</row>
    <row r="450" spans="1:4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</row>
    <row r="451" spans="1:4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</row>
    <row r="452" spans="1:4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</row>
    <row r="453" spans="1:4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</row>
    <row r="454" spans="1:4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</row>
    <row r="455" spans="1:4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</row>
    <row r="456" spans="1:4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</row>
    <row r="457" spans="1:4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</row>
    <row r="458" spans="1:4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</row>
    <row r="459" spans="1:4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</row>
    <row r="460" spans="1:4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</row>
    <row r="461" spans="1:4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</row>
    <row r="462" spans="1:4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</row>
    <row r="463" spans="1:4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</row>
    <row r="464" spans="1:4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</row>
    <row r="465" spans="1:4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</row>
    <row r="466" spans="1:4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</row>
    <row r="467" spans="1:4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</row>
    <row r="468" spans="1:4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</row>
    <row r="469" spans="1:4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</row>
    <row r="470" spans="1:4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</row>
    <row r="471" spans="1:4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</row>
    <row r="472" spans="1:4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</row>
    <row r="473" spans="1:4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</row>
    <row r="474" spans="1:4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</row>
    <row r="475" spans="1:4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</row>
    <row r="476" spans="1:4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</row>
    <row r="477" spans="1:4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</row>
    <row r="478" spans="1:4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</row>
    <row r="479" spans="1:4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</row>
    <row r="480" spans="1:4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</row>
    <row r="481" spans="1:4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</row>
    <row r="482" spans="1:4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</row>
    <row r="483" spans="1:4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</row>
    <row r="484" spans="1:4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</row>
    <row r="485" spans="1:4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</row>
    <row r="486" spans="1:4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</row>
    <row r="487" spans="1:4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</row>
    <row r="488" spans="1:4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</row>
    <row r="489" spans="1:4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</row>
    <row r="490" spans="1:4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</row>
    <row r="491" spans="1:4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</row>
    <row r="492" spans="1:4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</row>
    <row r="493" spans="1:4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</row>
    <row r="494" spans="1:4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</row>
    <row r="495" spans="1:4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</row>
    <row r="496" spans="1:4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</row>
    <row r="497" spans="1:4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</row>
    <row r="498" spans="1:4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</row>
    <row r="499" spans="1:4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</row>
    <row r="500" spans="1:4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</row>
    <row r="501" spans="1:4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</row>
    <row r="502" spans="1:4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</row>
    <row r="503" spans="1:4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</row>
    <row r="504" spans="1:4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</row>
    <row r="505" spans="1:4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</row>
    <row r="506" spans="1:4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</row>
    <row r="507" spans="1:4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</row>
    <row r="508" spans="1:4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</row>
    <row r="509" spans="1:4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</row>
    <row r="510" spans="1:4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</row>
    <row r="511" spans="1:4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</row>
    <row r="512" spans="1:4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</row>
    <row r="513" spans="1:4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</row>
    <row r="514" spans="1:4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</row>
    <row r="515" spans="1:4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</row>
    <row r="516" spans="1:4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</row>
    <row r="517" spans="1:4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</row>
    <row r="518" spans="1:4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</row>
    <row r="519" spans="1:4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</row>
    <row r="520" spans="1:4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</row>
    <row r="521" spans="1:4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</row>
    <row r="522" spans="1:4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</row>
    <row r="523" spans="1:4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</row>
    <row r="524" spans="1:4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</row>
    <row r="525" spans="1:4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</row>
    <row r="526" spans="1:4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</row>
    <row r="527" spans="1:4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</row>
    <row r="528" spans="1:4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</row>
    <row r="529" spans="1:4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</row>
    <row r="530" spans="1:4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</row>
    <row r="531" spans="1:4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</row>
    <row r="532" spans="1:4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</row>
    <row r="533" spans="1:4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</row>
    <row r="534" spans="1:4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</row>
    <row r="535" spans="1:4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</row>
    <row r="536" spans="1:4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</row>
    <row r="537" spans="1:4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</row>
    <row r="538" spans="1:4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</row>
    <row r="539" spans="1:4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</row>
    <row r="540" spans="1:4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</row>
    <row r="541" spans="1:4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</row>
    <row r="542" spans="1:4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</row>
    <row r="543" spans="1: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</row>
    <row r="544" spans="1:4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</row>
    <row r="545" spans="1:4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</row>
    <row r="546" spans="1:4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</row>
    <row r="547" spans="1:4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</row>
    <row r="548" spans="1:4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</row>
    <row r="549" spans="1:4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</row>
    <row r="550" spans="1:4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</row>
    <row r="551" spans="1:4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</row>
    <row r="552" spans="1:4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</row>
    <row r="553" spans="1:4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</row>
    <row r="554" spans="1:4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</row>
    <row r="555" spans="1:4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</row>
    <row r="556" spans="1:4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</row>
    <row r="557" spans="1:4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</row>
    <row r="558" spans="1:4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</row>
    <row r="559" spans="1:4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</row>
    <row r="560" spans="1:4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</row>
    <row r="561" spans="1:4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</row>
    <row r="562" spans="1:4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</row>
    <row r="563" spans="1:4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</row>
    <row r="564" spans="1:4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</row>
    <row r="565" spans="1:4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</row>
    <row r="566" spans="1:4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</row>
    <row r="567" spans="1:4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</row>
    <row r="568" spans="1:4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</row>
    <row r="569" spans="1:4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</row>
    <row r="570" spans="1:4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</row>
    <row r="571" spans="1:4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</row>
    <row r="572" spans="1:4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</row>
    <row r="573" spans="1:4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</row>
    <row r="574" spans="1:4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</row>
    <row r="575" spans="1:4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</row>
    <row r="576" spans="1:4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</row>
    <row r="577" spans="1:4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</row>
    <row r="578" spans="1:4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</row>
    <row r="579" spans="1:4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</row>
    <row r="580" spans="1:4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</row>
    <row r="581" spans="1:4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</row>
    <row r="582" spans="1:4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</row>
    <row r="583" spans="1:4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</row>
    <row r="584" spans="1:4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</row>
    <row r="585" spans="1:4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</row>
    <row r="586" spans="1:4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</row>
    <row r="587" spans="1:4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</row>
    <row r="588" spans="1:4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</row>
    <row r="589" spans="1:4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</row>
    <row r="590" spans="1:4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</row>
    <row r="591" spans="1:4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</row>
    <row r="592" spans="1:4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</row>
    <row r="593" spans="1:4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</row>
    <row r="594" spans="1:4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</row>
    <row r="595" spans="1:4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</row>
    <row r="596" spans="1:4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</row>
    <row r="597" spans="1:4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</row>
    <row r="598" spans="1:4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</row>
    <row r="599" spans="1:4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</row>
    <row r="600" spans="1:4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</row>
    <row r="601" spans="1:4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</row>
    <row r="602" spans="1:4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</row>
    <row r="603" spans="1:4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</row>
    <row r="604" spans="1:4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</row>
    <row r="605" spans="1:4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</row>
    <row r="606" spans="1:4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</row>
    <row r="607" spans="1:4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</row>
    <row r="608" spans="1:4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</row>
    <row r="609" spans="1:4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</row>
    <row r="610" spans="1:4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</row>
    <row r="611" spans="1:4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</row>
    <row r="612" spans="1:4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</row>
    <row r="613" spans="1:4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</row>
    <row r="614" spans="1:4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</row>
    <row r="615" spans="1:4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</row>
    <row r="616" spans="1:4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</row>
    <row r="617" spans="1:4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</row>
    <row r="618" spans="1:4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</row>
    <row r="619" spans="1:4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</row>
    <row r="620" spans="1:4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</row>
    <row r="621" spans="1:4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</row>
    <row r="622" spans="1:4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</row>
    <row r="623" spans="1:4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</row>
    <row r="624" spans="1:4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</row>
    <row r="625" spans="1:4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</row>
    <row r="626" spans="1:4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</row>
    <row r="627" spans="1:4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</row>
    <row r="628" spans="1:4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</row>
    <row r="629" spans="1:4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</row>
    <row r="630" spans="1:4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</row>
    <row r="631" spans="1:4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</row>
    <row r="632" spans="1:4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</row>
    <row r="633" spans="1:4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</row>
    <row r="634" spans="1:4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</row>
    <row r="635" spans="1:4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</row>
    <row r="636" spans="1:4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</row>
    <row r="637" spans="1:4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</row>
    <row r="638" spans="1:4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</row>
    <row r="639" spans="1:4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</row>
    <row r="640" spans="1:4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</row>
    <row r="641" spans="1:4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</row>
    <row r="642" spans="1:4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</row>
    <row r="643" spans="1: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</row>
    <row r="644" spans="1:4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</row>
    <row r="645" spans="1:4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</row>
    <row r="646" spans="1:4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</row>
    <row r="647" spans="1:4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</row>
    <row r="648" spans="1:4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</row>
    <row r="649" spans="1:4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</row>
    <row r="650" spans="1:4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</row>
    <row r="651" spans="1:4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</row>
    <row r="652" spans="1:4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</row>
    <row r="653" spans="1:4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</row>
    <row r="654" spans="1:4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</row>
    <row r="655" spans="1:4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</row>
    <row r="656" spans="1:4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</row>
    <row r="657" spans="1:4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</row>
    <row r="658" spans="1:4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</row>
    <row r="659" spans="1:4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</row>
    <row r="660" spans="1:4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</row>
    <row r="661" spans="1:4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</row>
    <row r="662" spans="1:4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</row>
    <row r="663" spans="1:4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</row>
    <row r="664" spans="1:4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</row>
    <row r="665" spans="1:4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</row>
    <row r="666" spans="1:4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</row>
    <row r="667" spans="1:4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</row>
    <row r="668" spans="1:4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</row>
    <row r="669" spans="1:4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</row>
    <row r="670" spans="1:4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</row>
    <row r="671" spans="1:4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</row>
    <row r="672" spans="1:4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</row>
    <row r="673" spans="1:4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</row>
    <row r="674" spans="1:4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</row>
    <row r="675" spans="1:4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</row>
    <row r="676" spans="1:4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</row>
    <row r="677" spans="1:4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</row>
    <row r="678" spans="1:4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</row>
    <row r="679" spans="1:4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</row>
    <row r="680" spans="1:4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</row>
    <row r="681" spans="1:4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</row>
    <row r="682" spans="1:4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</row>
    <row r="683" spans="1:4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</row>
    <row r="684" spans="1:4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</row>
    <row r="685" spans="1:4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</row>
    <row r="686" spans="1:4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</row>
    <row r="687" spans="1:4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</row>
    <row r="688" spans="1:4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</row>
    <row r="689" spans="1:4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</row>
    <row r="690" spans="1:4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</row>
    <row r="691" spans="1:4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</row>
    <row r="692" spans="1:4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</row>
    <row r="693" spans="1:4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</row>
    <row r="694" spans="1:4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</row>
    <row r="695" spans="1:4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</row>
    <row r="696" spans="1:4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</row>
    <row r="697" spans="1:4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</row>
    <row r="698" spans="1:4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</row>
    <row r="699" spans="1:4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</row>
    <row r="700" spans="1:4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</row>
    <row r="701" spans="1:4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</row>
    <row r="702" spans="1:4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</row>
    <row r="703" spans="1:4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</row>
    <row r="704" spans="1:4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</row>
    <row r="705" spans="1:4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</row>
    <row r="706" spans="1:4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</row>
    <row r="707" spans="1:4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</row>
    <row r="708" spans="1:4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</row>
    <row r="709" spans="1:4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</row>
    <row r="710" spans="1:4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</row>
    <row r="711" spans="1:4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</row>
    <row r="712" spans="1:4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</row>
    <row r="713" spans="1:4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</row>
    <row r="714" spans="1:4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</row>
    <row r="715" spans="1:4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</row>
    <row r="716" spans="1:4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</row>
    <row r="717" spans="1:4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</row>
    <row r="718" spans="1:4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</row>
    <row r="719" spans="1:4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</row>
    <row r="720" spans="1:4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</row>
    <row r="721" spans="1:4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</row>
    <row r="722" spans="1:4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</row>
    <row r="723" spans="1:4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</row>
    <row r="724" spans="1:4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</row>
    <row r="725" spans="1:4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</row>
    <row r="726" spans="1:4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</row>
    <row r="727" spans="1:4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</row>
    <row r="728" spans="1:4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</row>
    <row r="729" spans="1:4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</row>
    <row r="730" spans="1:4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</row>
    <row r="731" spans="1:4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</row>
    <row r="732" spans="1:4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</row>
    <row r="733" spans="1:4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</row>
    <row r="734" spans="1:4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</row>
    <row r="735" spans="1:4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</row>
    <row r="736" spans="1:4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</row>
    <row r="737" spans="1:4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</row>
    <row r="738" spans="1:4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</row>
    <row r="739" spans="1:4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</row>
    <row r="740" spans="1:4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</row>
    <row r="741" spans="1:4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</row>
    <row r="742" spans="1:4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</row>
    <row r="743" spans="1: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</row>
    <row r="744" spans="1:4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</row>
    <row r="745" spans="1:4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</row>
    <row r="746" spans="1:4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</row>
    <row r="747" spans="1:4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</row>
    <row r="748" spans="1:4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</row>
    <row r="749" spans="1:4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</row>
    <row r="750" spans="1:4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</row>
    <row r="751" spans="1:4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</row>
    <row r="752" spans="1:4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</row>
    <row r="753" spans="1:4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</row>
    <row r="754" spans="1:4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</row>
    <row r="755" spans="1:4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</row>
    <row r="756" spans="1:4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</row>
    <row r="757" spans="1:4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</row>
    <row r="758" spans="1:4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</row>
    <row r="759" spans="1:4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</row>
    <row r="760" spans="1:4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</row>
    <row r="761" spans="1:4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</row>
    <row r="762" spans="1:4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</row>
    <row r="763" spans="1:4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</row>
    <row r="764" spans="1:4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</row>
    <row r="765" spans="1:4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</row>
    <row r="766" spans="1:4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</row>
    <row r="767" spans="1:4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</row>
    <row r="768" spans="1:4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</row>
    <row r="769" spans="1:4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</row>
    <row r="770" spans="1:4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</row>
    <row r="771" spans="1:4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</row>
    <row r="772" spans="1:4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</row>
    <row r="773" spans="1:4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</row>
    <row r="774" spans="1:4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</row>
    <row r="775" spans="1:4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</row>
    <row r="776" spans="1:4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</row>
    <row r="777" spans="1:4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</row>
    <row r="778" spans="1:4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</row>
    <row r="779" spans="1:4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</row>
    <row r="780" spans="1:4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</row>
    <row r="781" spans="1:4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</row>
    <row r="782" spans="1:4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</row>
    <row r="783" spans="1:4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</row>
    <row r="784" spans="1:4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</row>
    <row r="785" spans="1:4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</row>
    <row r="786" spans="1:4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</row>
    <row r="787" spans="1:4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</row>
    <row r="788" spans="1:4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</row>
    <row r="789" spans="1:4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</row>
    <row r="790" spans="1:4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</row>
    <row r="791" spans="1:4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</row>
    <row r="792" spans="1:4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</row>
    <row r="793" spans="1:4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</row>
    <row r="794" spans="1:4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</row>
    <row r="795" spans="1:4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</row>
    <row r="796" spans="1:4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</row>
    <row r="797" spans="1:4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</row>
    <row r="798" spans="1:4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</row>
    <row r="799" spans="1:4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</row>
    <row r="800" spans="1:4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</row>
    <row r="801" spans="1:4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</row>
    <row r="802" spans="1:4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</row>
    <row r="803" spans="1:4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</row>
    <row r="804" spans="1:4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</row>
    <row r="805" spans="1:4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</row>
    <row r="806" spans="1:4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</row>
    <row r="807" spans="1:4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</row>
    <row r="808" spans="1:4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</row>
    <row r="809" spans="1:4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</row>
    <row r="810" spans="1:4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</row>
    <row r="811" spans="1:4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</row>
    <row r="812" spans="1:4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</row>
    <row r="813" spans="1:4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</row>
    <row r="814" spans="1:4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</row>
    <row r="815" spans="1:4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</row>
    <row r="816" spans="1:4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</row>
    <row r="817" spans="1:4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</row>
    <row r="818" spans="1:4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</row>
    <row r="819" spans="1:4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</row>
    <row r="820" spans="1:4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</row>
    <row r="821" spans="1:4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</row>
    <row r="822" spans="1:4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</row>
    <row r="823" spans="1:4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</row>
    <row r="824" spans="1:4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</row>
    <row r="825" spans="1:4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</row>
    <row r="826" spans="1:4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</row>
    <row r="827" spans="1:4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</row>
    <row r="828" spans="1:4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</row>
    <row r="829" spans="1:4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</row>
    <row r="830" spans="1:4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</row>
    <row r="831" spans="1:4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</row>
    <row r="832" spans="1:4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</row>
    <row r="833" spans="1:4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</row>
    <row r="834" spans="1:4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</row>
    <row r="835" spans="1:4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</row>
    <row r="836" spans="1:4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</row>
    <row r="837" spans="1:4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</row>
    <row r="838" spans="1:4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</row>
    <row r="839" spans="1:4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</row>
    <row r="840" spans="1:4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</row>
    <row r="841" spans="1:4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</row>
    <row r="842" spans="1:4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</row>
    <row r="843" spans="1: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</row>
    <row r="844" spans="1:4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</row>
    <row r="845" spans="1:4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</row>
    <row r="846" spans="1:4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</row>
    <row r="847" spans="1:4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</row>
    <row r="848" spans="1:4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</row>
    <row r="849" spans="1:4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</row>
    <row r="850" spans="1:4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</row>
    <row r="851" spans="1:4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</row>
    <row r="852" spans="1:4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</row>
    <row r="853" spans="1:4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</row>
    <row r="854" spans="1:4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</row>
    <row r="855" spans="1:4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</row>
    <row r="856" spans="1:4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</row>
    <row r="857" spans="1:4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</row>
    <row r="858" spans="1:4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</row>
    <row r="859" spans="1:4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</row>
    <row r="860" spans="1:4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</row>
    <row r="861" spans="1:4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</row>
    <row r="862" spans="1:4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</row>
    <row r="863" spans="1:4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</row>
    <row r="864" spans="1:4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</row>
    <row r="865" spans="1:4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</row>
    <row r="866" spans="1:4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</row>
    <row r="867" spans="1:4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</row>
    <row r="868" spans="1:4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</row>
    <row r="869" spans="1:4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</row>
    <row r="870" spans="1:4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</row>
    <row r="871" spans="1:4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</row>
    <row r="872" spans="1:4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</row>
    <row r="873" spans="1:4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</row>
    <row r="874" spans="1:4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</row>
    <row r="875" spans="1:4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</row>
    <row r="876" spans="1:4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</row>
    <row r="877" spans="1:4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</row>
    <row r="878" spans="1:4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</row>
    <row r="879" spans="1:4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</row>
    <row r="880" spans="1:4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</row>
    <row r="881" spans="1:4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</row>
    <row r="882" spans="1:4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</row>
    <row r="883" spans="1:4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</row>
    <row r="884" spans="1:4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</row>
    <row r="885" spans="1:4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</row>
    <row r="886" spans="1:4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</row>
    <row r="887" spans="1:4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</row>
    <row r="888" spans="1:4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</row>
    <row r="889" spans="1:4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</row>
    <row r="890" spans="1:4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</row>
    <row r="891" spans="1:4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</row>
    <row r="892" spans="1:4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</row>
    <row r="893" spans="1:4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</row>
    <row r="894" spans="1:4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</row>
    <row r="895" spans="1:4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</row>
    <row r="896" spans="1:4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</row>
    <row r="897" spans="1:4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</row>
    <row r="898" spans="1:4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</row>
    <row r="899" spans="1:4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</row>
    <row r="900" spans="1:4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</row>
    <row r="901" spans="1:4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</row>
    <row r="902" spans="1:4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</row>
    <row r="903" spans="1:4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</row>
    <row r="904" spans="1:4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</row>
    <row r="905" spans="1:4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</row>
    <row r="906" spans="1:4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</row>
    <row r="907" spans="1:4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</row>
    <row r="908" spans="1:4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</row>
    <row r="909" spans="1:4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</row>
    <row r="910" spans="1:4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</row>
    <row r="911" spans="1:4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</row>
    <row r="912" spans="1:4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</row>
    <row r="913" spans="1:4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</row>
    <row r="914" spans="1:4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</row>
    <row r="915" spans="1:4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</row>
    <row r="916" spans="1:4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</row>
    <row r="917" spans="1:4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</row>
    <row r="918" spans="1:4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</row>
    <row r="919" spans="1:4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</row>
    <row r="920" spans="1:4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</row>
    <row r="921" spans="1:4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</row>
    <row r="922" spans="1:4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</row>
    <row r="923" spans="1:4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</row>
    <row r="924" spans="1:4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</row>
    <row r="925" spans="1:4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</row>
    <row r="926" spans="1:4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</row>
    <row r="927" spans="1:4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</row>
    <row r="928" spans="1:4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</row>
    <row r="929" spans="1:4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</row>
    <row r="930" spans="1:4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</row>
    <row r="931" spans="1:4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</row>
    <row r="932" spans="1:4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</row>
    <row r="933" spans="1:4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</row>
    <row r="934" spans="1:4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</row>
    <row r="935" spans="1:4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</row>
    <row r="936" spans="1:4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</row>
    <row r="937" spans="1:4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</row>
    <row r="938" spans="1:4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</row>
    <row r="939" spans="1:4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</row>
    <row r="940" spans="1:4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</row>
    <row r="941" spans="1:4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</row>
    <row r="942" spans="1:4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</row>
    <row r="943" spans="1: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</row>
    <row r="944" spans="1:4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</row>
    <row r="945" spans="1:4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</row>
    <row r="946" spans="1:4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</row>
    <row r="947" spans="1:4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</row>
    <row r="948" spans="1:4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</row>
    <row r="949" spans="1:4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</row>
    <row r="950" spans="1:4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</row>
    <row r="951" spans="1:4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</row>
    <row r="952" spans="1:4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</row>
    <row r="953" spans="1:4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</row>
    <row r="954" spans="1:4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</row>
    <row r="955" spans="1:4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</row>
    <row r="956" spans="1:4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</row>
    <row r="957" spans="1:4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</row>
    <row r="958" spans="1:4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</row>
    <row r="959" spans="1:4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</row>
    <row r="960" spans="1:4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</row>
    <row r="961" spans="1:4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</row>
    <row r="962" spans="1:4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</row>
    <row r="963" spans="1:4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</row>
    <row r="964" spans="1:4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</row>
    <row r="965" spans="1:4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</row>
    <row r="966" spans="1:4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</row>
    <row r="967" spans="1:4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</row>
    <row r="968" spans="1:4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</row>
    <row r="969" spans="1:4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</row>
    <row r="970" spans="1:4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</row>
    <row r="971" spans="1:4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</row>
    <row r="972" spans="1:4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</row>
    <row r="973" spans="1:4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</row>
    <row r="974" spans="1:4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</row>
    <row r="975" spans="1:4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</row>
    <row r="976" spans="1:4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</row>
    <row r="977" spans="1:4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</row>
    <row r="978" spans="1:4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</row>
    <row r="979" spans="1:4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</row>
    <row r="980" spans="1:4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</row>
    <row r="981" spans="1:4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</row>
    <row r="982" spans="1:4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</row>
    <row r="983" spans="1:4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</row>
    <row r="984" spans="1:4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</row>
    <row r="985" spans="1:4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</row>
    <row r="986" spans="1:4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</row>
    <row r="987" spans="1:4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</row>
    <row r="988" spans="1:4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</row>
    <row r="989" spans="1:4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</row>
    <row r="990" spans="1:4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</row>
    <row r="991" spans="1:4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</row>
    <row r="992" spans="1:4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</row>
    <row r="993" spans="1:4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</row>
    <row r="994" spans="1:4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</row>
    <row r="995" spans="1:4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</row>
    <row r="996" spans="1:4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</row>
    <row r="997" spans="1:4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</row>
    <row r="998" spans="1:4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</row>
    <row r="999" spans="1:43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</row>
    <row r="1000" spans="1:43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</row>
  </sheetData>
  <mergeCells count="11">
    <mergeCell ref="X3:AB3"/>
    <mergeCell ref="AC3:AG3"/>
    <mergeCell ref="AH3:AL3"/>
    <mergeCell ref="AM3:AQ3"/>
    <mergeCell ref="A3:A5"/>
    <mergeCell ref="B3:B5"/>
    <mergeCell ref="C3:C5"/>
    <mergeCell ref="D3:H3"/>
    <mergeCell ref="I3:M3"/>
    <mergeCell ref="N3:R3"/>
    <mergeCell ref="S3:W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N1000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3" sqref="D3:AN6"/>
    </sheetView>
  </sheetViews>
  <sheetFormatPr defaultColWidth="12.6640625" defaultRowHeight="15.75" customHeight="1"/>
  <cols>
    <col min="1" max="1" width="5" customWidth="1"/>
    <col min="3" max="3" width="31.77734375" customWidth="1"/>
    <col min="4" max="40" width="7.6640625" customWidth="1"/>
  </cols>
  <sheetData>
    <row r="1" spans="1:40">
      <c r="AN1" s="30"/>
    </row>
    <row r="2" spans="1:40">
      <c r="AN2" s="30"/>
    </row>
    <row r="3" spans="1:40">
      <c r="A3" s="46" t="s">
        <v>1</v>
      </c>
      <c r="B3" s="46" t="s">
        <v>2</v>
      </c>
      <c r="C3" s="46" t="s">
        <v>3</v>
      </c>
      <c r="D3" s="48" t="s">
        <v>102</v>
      </c>
      <c r="E3" s="49"/>
      <c r="F3" s="49"/>
      <c r="G3" s="49"/>
      <c r="H3" s="49"/>
      <c r="I3" s="49"/>
      <c r="J3" s="49"/>
      <c r="K3" s="49"/>
      <c r="L3" s="49"/>
      <c r="M3" s="50"/>
      <c r="N3" s="48" t="s">
        <v>103</v>
      </c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50"/>
      <c r="AF3" s="48" t="s">
        <v>104</v>
      </c>
      <c r="AG3" s="49"/>
      <c r="AH3" s="49"/>
      <c r="AI3" s="49"/>
      <c r="AJ3" s="49"/>
      <c r="AK3" s="49"/>
      <c r="AL3" s="49"/>
      <c r="AM3" s="49"/>
      <c r="AN3" s="50"/>
    </row>
    <row r="4" spans="1:40">
      <c r="A4" s="52"/>
      <c r="B4" s="52"/>
      <c r="C4" s="52"/>
      <c r="D4" s="48" t="s">
        <v>105</v>
      </c>
      <c r="E4" s="49"/>
      <c r="F4" s="49"/>
      <c r="G4" s="49"/>
      <c r="H4" s="49"/>
      <c r="I4" s="49"/>
      <c r="J4" s="49"/>
      <c r="K4" s="49"/>
      <c r="L4" s="50"/>
      <c r="M4" s="2" t="s">
        <v>106</v>
      </c>
      <c r="N4" s="48" t="s">
        <v>107</v>
      </c>
      <c r="O4" s="49"/>
      <c r="P4" s="49"/>
      <c r="Q4" s="49"/>
      <c r="R4" s="49"/>
      <c r="S4" s="49"/>
      <c r="T4" s="49"/>
      <c r="U4" s="49"/>
      <c r="V4" s="50"/>
      <c r="W4" s="48" t="s">
        <v>108</v>
      </c>
      <c r="X4" s="49"/>
      <c r="Y4" s="49"/>
      <c r="Z4" s="49"/>
      <c r="AA4" s="49"/>
      <c r="AB4" s="49"/>
      <c r="AC4" s="49"/>
      <c r="AD4" s="49"/>
      <c r="AE4" s="50"/>
      <c r="AF4" s="48" t="s">
        <v>109</v>
      </c>
      <c r="AG4" s="49"/>
      <c r="AH4" s="49"/>
      <c r="AI4" s="49"/>
      <c r="AJ4" s="49"/>
      <c r="AK4" s="49"/>
      <c r="AL4" s="49"/>
      <c r="AM4" s="49"/>
      <c r="AN4" s="50"/>
    </row>
    <row r="5" spans="1:40">
      <c r="A5" s="47"/>
      <c r="B5" s="47"/>
      <c r="C5" s="47"/>
      <c r="D5" s="31">
        <v>1</v>
      </c>
      <c r="E5" s="31">
        <v>2</v>
      </c>
      <c r="F5" s="31">
        <v>3</v>
      </c>
      <c r="G5" s="31">
        <v>4</v>
      </c>
      <c r="H5" s="31">
        <v>5</v>
      </c>
      <c r="I5" s="31">
        <v>6</v>
      </c>
      <c r="J5" s="31">
        <v>7</v>
      </c>
      <c r="K5" s="31">
        <v>8</v>
      </c>
      <c r="L5" s="31" t="s">
        <v>84</v>
      </c>
      <c r="M5" s="31" t="s">
        <v>84</v>
      </c>
      <c r="N5" s="31">
        <v>1</v>
      </c>
      <c r="O5" s="31">
        <v>2</v>
      </c>
      <c r="P5" s="31">
        <v>3</v>
      </c>
      <c r="Q5" s="31">
        <v>4</v>
      </c>
      <c r="R5" s="31">
        <v>5</v>
      </c>
      <c r="S5" s="31">
        <v>6</v>
      </c>
      <c r="T5" s="31">
        <v>7</v>
      </c>
      <c r="U5" s="31">
        <v>8</v>
      </c>
      <c r="V5" s="31" t="s">
        <v>84</v>
      </c>
      <c r="W5" s="31">
        <v>1</v>
      </c>
      <c r="X5" s="31">
        <v>2</v>
      </c>
      <c r="Y5" s="31">
        <v>3</v>
      </c>
      <c r="Z5" s="31">
        <v>4</v>
      </c>
      <c r="AA5" s="31">
        <v>5</v>
      </c>
      <c r="AB5" s="31">
        <v>6</v>
      </c>
      <c r="AC5" s="31">
        <v>7</v>
      </c>
      <c r="AD5" s="31">
        <v>8</v>
      </c>
      <c r="AE5" s="31" t="s">
        <v>84</v>
      </c>
      <c r="AF5" s="31">
        <v>1</v>
      </c>
      <c r="AG5" s="31">
        <v>2</v>
      </c>
      <c r="AH5" s="31">
        <v>3</v>
      </c>
      <c r="AI5" s="31">
        <v>4</v>
      </c>
      <c r="AJ5" s="31">
        <v>5</v>
      </c>
      <c r="AK5" s="31">
        <v>6</v>
      </c>
      <c r="AL5" s="31">
        <v>7</v>
      </c>
      <c r="AM5" s="31">
        <v>8</v>
      </c>
      <c r="AN5" s="32" t="s">
        <v>84</v>
      </c>
    </row>
    <row r="6" spans="1:40">
      <c r="A6" s="4">
        <f>'INPUT DAFTAR PESERTA'!A4</f>
        <v>1</v>
      </c>
      <c r="B6" s="4">
        <f>'INPUT DAFTAR PESERTA'!B4</f>
        <v>2209076028</v>
      </c>
      <c r="C6" s="6" t="str">
        <f>'INPUT DAFTAR PESERTA'!C4</f>
        <v>Mirza Syihabudin Almas</v>
      </c>
      <c r="D6" s="4">
        <v>100</v>
      </c>
      <c r="E6" s="4">
        <v>100</v>
      </c>
      <c r="F6" s="4">
        <v>100</v>
      </c>
      <c r="G6" s="4">
        <v>100</v>
      </c>
      <c r="H6" s="4">
        <v>100</v>
      </c>
      <c r="I6" s="4">
        <v>100</v>
      </c>
      <c r="J6" s="4">
        <v>100</v>
      </c>
      <c r="K6" s="4">
        <v>100</v>
      </c>
      <c r="L6" s="33">
        <f t="shared" ref="L6:L65" si="0">(D6+E6+F6+G6+H6+I6+J6+K6)/8</f>
        <v>100</v>
      </c>
      <c r="M6" s="14">
        <f>'PENULISAN LAPORAN'!N5</f>
        <v>48.4375</v>
      </c>
      <c r="N6" s="4">
        <v>70</v>
      </c>
      <c r="O6" s="4">
        <v>70</v>
      </c>
      <c r="P6" s="4">
        <v>70</v>
      </c>
      <c r="Q6" s="4">
        <v>70</v>
      </c>
      <c r="R6" s="4">
        <v>70</v>
      </c>
      <c r="S6" s="4">
        <v>70</v>
      </c>
      <c r="T6" s="4">
        <v>70</v>
      </c>
      <c r="U6" s="4">
        <v>70</v>
      </c>
      <c r="V6" s="14">
        <f t="shared" ref="V6:V65" si="1">(N6+O6+P6+Q6+R6+S6+T6+U6)/8</f>
        <v>70</v>
      </c>
      <c r="W6" s="4">
        <v>30</v>
      </c>
      <c r="X6" s="4">
        <v>30</v>
      </c>
      <c r="Y6" s="4">
        <v>30</v>
      </c>
      <c r="Z6" s="4">
        <v>30</v>
      </c>
      <c r="AA6" s="4">
        <v>60</v>
      </c>
      <c r="AB6" s="4">
        <v>30</v>
      </c>
      <c r="AC6" s="4">
        <v>30</v>
      </c>
      <c r="AD6" s="4">
        <v>30</v>
      </c>
      <c r="AE6" s="14">
        <f t="shared" ref="AE6:AE62" si="2">(W6+X6+Y6+Z6+AA6+AB6+AC6+AD6)/8</f>
        <v>33.75</v>
      </c>
      <c r="AF6" s="29">
        <f>'KEMAMPUAN PRAKTIKUM'!H6</f>
        <v>57.000000000000007</v>
      </c>
      <c r="AG6" s="29">
        <f>'KEMAMPUAN PRAKTIKUM'!M6</f>
        <v>75.000000000000014</v>
      </c>
      <c r="AH6" s="29">
        <f>'KEMAMPUAN PRAKTIKUM'!R6</f>
        <v>60.000000000000007</v>
      </c>
      <c r="AI6" s="29">
        <f>'KEMAMPUAN PRAKTIKUM'!W6</f>
        <v>75.000000000000014</v>
      </c>
      <c r="AJ6" s="29">
        <f>'KEMAMPUAN PRAKTIKUM'!AB6</f>
        <v>69</v>
      </c>
      <c r="AK6" s="29">
        <f>'KEMAMPUAN PRAKTIKUM'!AG6</f>
        <v>45</v>
      </c>
      <c r="AL6" s="29">
        <f>'KEMAMPUAN PRAKTIKUM'!AL6</f>
        <v>64.500000000000014</v>
      </c>
      <c r="AM6" s="29">
        <f>'KEMAMPUAN PRAKTIKUM'!AQ6</f>
        <v>57.000000000000007</v>
      </c>
      <c r="AN6" s="14">
        <f t="shared" ref="AN6:AN65" si="3">AVERAGE(AF6:AM6)</f>
        <v>62.812500000000007</v>
      </c>
    </row>
    <row r="7" spans="1:40">
      <c r="A7" s="4">
        <f>'INPUT DAFTAR PESERTA'!A5</f>
        <v>2</v>
      </c>
      <c r="B7" s="4">
        <f>'INPUT DAFTAR PESERTA'!B5</f>
        <v>2509076001</v>
      </c>
      <c r="C7" s="6" t="str">
        <f>'INPUT DAFTAR PESERTA'!C5</f>
        <v>Mohammad Ali Murtadlo</v>
      </c>
      <c r="D7" s="4">
        <v>100</v>
      </c>
      <c r="E7" s="4">
        <v>100</v>
      </c>
      <c r="F7" s="4">
        <v>100</v>
      </c>
      <c r="G7" s="4">
        <v>100</v>
      </c>
      <c r="H7" s="4">
        <v>100</v>
      </c>
      <c r="I7" s="4">
        <v>100</v>
      </c>
      <c r="J7" s="4">
        <v>100</v>
      </c>
      <c r="K7" s="4">
        <v>100</v>
      </c>
      <c r="L7" s="33">
        <f t="shared" si="0"/>
        <v>100</v>
      </c>
      <c r="M7" s="14">
        <f>'PENULISAN LAPORAN'!N6</f>
        <v>67.424999999999997</v>
      </c>
      <c r="N7" s="34">
        <v>80</v>
      </c>
      <c r="O7" s="34">
        <v>80</v>
      </c>
      <c r="P7" s="34">
        <v>80</v>
      </c>
      <c r="Q7" s="34">
        <v>80</v>
      </c>
      <c r="R7" s="34">
        <v>80</v>
      </c>
      <c r="S7" s="34">
        <v>80</v>
      </c>
      <c r="T7" s="34">
        <v>80</v>
      </c>
      <c r="U7" s="34">
        <v>80</v>
      </c>
      <c r="V7" s="14">
        <f t="shared" si="1"/>
        <v>80</v>
      </c>
      <c r="W7" s="4">
        <v>70</v>
      </c>
      <c r="X7" s="4">
        <v>70</v>
      </c>
      <c r="Y7" s="4">
        <v>70</v>
      </c>
      <c r="Z7" s="4">
        <v>70</v>
      </c>
      <c r="AA7" s="4">
        <v>70</v>
      </c>
      <c r="AB7" s="4">
        <v>30</v>
      </c>
      <c r="AC7" s="4">
        <v>30</v>
      </c>
      <c r="AD7" s="4">
        <v>30</v>
      </c>
      <c r="AE7" s="4">
        <f t="shared" si="2"/>
        <v>55</v>
      </c>
      <c r="AF7" s="29">
        <f>'KEMAMPUAN PRAKTIKUM'!H7</f>
        <v>75.000000000000014</v>
      </c>
      <c r="AG7" s="29">
        <f>'KEMAMPUAN PRAKTIKUM'!M7</f>
        <v>60.000000000000007</v>
      </c>
      <c r="AH7" s="29">
        <f>'KEMAMPUAN PRAKTIKUM'!R7</f>
        <v>57.000000000000007</v>
      </c>
      <c r="AI7" s="29">
        <f>'KEMAMPUAN PRAKTIKUM'!W7</f>
        <v>57.000000000000007</v>
      </c>
      <c r="AJ7" s="29">
        <f>'KEMAMPUAN PRAKTIKUM'!AB7</f>
        <v>75</v>
      </c>
      <c r="AK7" s="29">
        <f>'KEMAMPUAN PRAKTIKUM'!AG7</f>
        <v>45</v>
      </c>
      <c r="AL7" s="29">
        <f>'KEMAMPUAN PRAKTIKUM'!AL7</f>
        <v>87.000000000000014</v>
      </c>
      <c r="AM7" s="29">
        <f>'KEMAMPUAN PRAKTIKUM'!AQ7</f>
        <v>72</v>
      </c>
      <c r="AN7" s="14">
        <f t="shared" si="3"/>
        <v>66</v>
      </c>
    </row>
    <row r="8" spans="1:40">
      <c r="A8" s="4">
        <f>'INPUT DAFTAR PESERTA'!A6</f>
        <v>3</v>
      </c>
      <c r="B8" s="4">
        <f>'INPUT DAFTAR PESERTA'!B6</f>
        <v>2509076002</v>
      </c>
      <c r="C8" s="6" t="str">
        <f>'INPUT DAFTAR PESERTA'!C6</f>
        <v>Muhammad Zahid Sabil</v>
      </c>
      <c r="D8" s="4">
        <v>100</v>
      </c>
      <c r="E8" s="4">
        <v>100</v>
      </c>
      <c r="F8" s="4">
        <v>100</v>
      </c>
      <c r="G8" s="4">
        <v>100</v>
      </c>
      <c r="H8" s="4">
        <v>100</v>
      </c>
      <c r="I8" s="4">
        <v>100</v>
      </c>
      <c r="J8" s="4">
        <v>100</v>
      </c>
      <c r="K8" s="4">
        <v>100</v>
      </c>
      <c r="L8" s="33">
        <f t="shared" si="0"/>
        <v>100</v>
      </c>
      <c r="M8" s="14">
        <f>'PENULISAN LAPORAN'!N7</f>
        <v>76.71875</v>
      </c>
      <c r="N8" s="34">
        <v>86</v>
      </c>
      <c r="O8" s="34">
        <v>86</v>
      </c>
      <c r="P8" s="34">
        <v>86</v>
      </c>
      <c r="Q8" s="34">
        <v>86</v>
      </c>
      <c r="R8" s="34">
        <v>86</v>
      </c>
      <c r="S8" s="34">
        <v>86</v>
      </c>
      <c r="T8" s="34">
        <v>86</v>
      </c>
      <c r="U8" s="34">
        <v>86</v>
      </c>
      <c r="V8" s="14">
        <f t="shared" si="1"/>
        <v>86</v>
      </c>
      <c r="W8" s="4">
        <v>70</v>
      </c>
      <c r="X8" s="4">
        <v>70</v>
      </c>
      <c r="Y8" s="4">
        <v>70</v>
      </c>
      <c r="Z8" s="4">
        <v>70</v>
      </c>
      <c r="AA8" s="4">
        <v>70</v>
      </c>
      <c r="AB8" s="4">
        <v>70</v>
      </c>
      <c r="AC8" s="4">
        <v>60</v>
      </c>
      <c r="AD8" s="4">
        <v>60</v>
      </c>
      <c r="AE8" s="4">
        <f t="shared" si="2"/>
        <v>67.5</v>
      </c>
      <c r="AF8" s="29">
        <f>'KEMAMPUAN PRAKTIKUM'!H8</f>
        <v>75.000000000000014</v>
      </c>
      <c r="AG8" s="29">
        <f>'KEMAMPUAN PRAKTIKUM'!M8</f>
        <v>75.000000000000014</v>
      </c>
      <c r="AH8" s="29">
        <f>'KEMAMPUAN PRAKTIKUM'!R8</f>
        <v>57.000000000000007</v>
      </c>
      <c r="AI8" s="29">
        <f>'KEMAMPUAN PRAKTIKUM'!W8</f>
        <v>87.000000000000014</v>
      </c>
      <c r="AJ8" s="29">
        <f>'KEMAMPUAN PRAKTIKUM'!AB8</f>
        <v>75</v>
      </c>
      <c r="AK8" s="29">
        <f>'KEMAMPUAN PRAKTIKUM'!AG8</f>
        <v>45</v>
      </c>
      <c r="AL8" s="29">
        <f>'KEMAMPUAN PRAKTIKUM'!AL8</f>
        <v>87.000000000000014</v>
      </c>
      <c r="AM8" s="29">
        <f>'KEMAMPUAN PRAKTIKUM'!AQ8</f>
        <v>72</v>
      </c>
      <c r="AN8" s="14">
        <f t="shared" si="3"/>
        <v>71.625</v>
      </c>
    </row>
    <row r="9" spans="1:40">
      <c r="A9" s="4">
        <f>'INPUT DAFTAR PESERTA'!A7</f>
        <v>4</v>
      </c>
      <c r="B9" s="4">
        <f>'INPUT DAFTAR PESERTA'!B7</f>
        <v>2509076003</v>
      </c>
      <c r="C9" s="6" t="str">
        <f>'INPUT DAFTAR PESERTA'!C7</f>
        <v>Javier Abid Danapati</v>
      </c>
      <c r="D9" s="4">
        <v>100</v>
      </c>
      <c r="E9" s="4">
        <v>100</v>
      </c>
      <c r="F9" s="4">
        <v>100</v>
      </c>
      <c r="G9" s="4">
        <v>100</v>
      </c>
      <c r="H9" s="4">
        <v>100</v>
      </c>
      <c r="I9" s="4">
        <v>100</v>
      </c>
      <c r="J9" s="4">
        <v>100</v>
      </c>
      <c r="K9" s="4">
        <v>100</v>
      </c>
      <c r="L9" s="33">
        <f t="shared" si="0"/>
        <v>100</v>
      </c>
      <c r="M9" s="14">
        <f>'PENULISAN LAPORAN'!N8</f>
        <v>68.6875</v>
      </c>
      <c r="N9" s="35">
        <v>88</v>
      </c>
      <c r="O9" s="35">
        <v>88</v>
      </c>
      <c r="P9" s="35">
        <v>88</v>
      </c>
      <c r="Q9" s="35">
        <v>88</v>
      </c>
      <c r="R9" s="35">
        <v>88</v>
      </c>
      <c r="S9" s="35">
        <v>88</v>
      </c>
      <c r="T9" s="35">
        <v>88</v>
      </c>
      <c r="U9" s="35">
        <v>88</v>
      </c>
      <c r="V9" s="14">
        <f t="shared" si="1"/>
        <v>88</v>
      </c>
      <c r="W9" s="4">
        <v>70</v>
      </c>
      <c r="X9" s="4">
        <v>60</v>
      </c>
      <c r="Y9" s="4">
        <v>80</v>
      </c>
      <c r="Z9" s="4">
        <v>70</v>
      </c>
      <c r="AA9" s="4">
        <v>70</v>
      </c>
      <c r="AB9" s="4">
        <v>30</v>
      </c>
      <c r="AC9" s="4">
        <v>30</v>
      </c>
      <c r="AD9" s="4">
        <v>60</v>
      </c>
      <c r="AE9" s="4">
        <f t="shared" si="2"/>
        <v>58.75</v>
      </c>
      <c r="AF9" s="29">
        <f>'KEMAMPUAN PRAKTIKUM'!H9</f>
        <v>62.999999999999993</v>
      </c>
      <c r="AG9" s="29">
        <f>'KEMAMPUAN PRAKTIKUM'!M9</f>
        <v>60.000000000000007</v>
      </c>
      <c r="AH9" s="29">
        <f>'KEMAMPUAN PRAKTIKUM'!R9</f>
        <v>60.000000000000007</v>
      </c>
      <c r="AI9" s="29">
        <f>'KEMAMPUAN PRAKTIKUM'!W9</f>
        <v>72</v>
      </c>
      <c r="AJ9" s="29">
        <f>'KEMAMPUAN PRAKTIKUM'!AB9</f>
        <v>78</v>
      </c>
      <c r="AK9" s="29">
        <f>'KEMAMPUAN PRAKTIKUM'!AG9</f>
        <v>45</v>
      </c>
      <c r="AL9" s="29">
        <f>'KEMAMPUAN PRAKTIKUM'!AL9</f>
        <v>45</v>
      </c>
      <c r="AM9" s="29">
        <f>'KEMAMPUAN PRAKTIKUM'!AQ9</f>
        <v>67.500000000000014</v>
      </c>
      <c r="AN9" s="14">
        <f t="shared" si="3"/>
        <v>61.3125</v>
      </c>
    </row>
    <row r="10" spans="1:40">
      <c r="A10" s="4">
        <f>'INPUT DAFTAR PESERTA'!A8</f>
        <v>5</v>
      </c>
      <c r="B10" s="4">
        <f>'INPUT DAFTAR PESERTA'!B8</f>
        <v>2509076004</v>
      </c>
      <c r="C10" s="6" t="str">
        <f>'INPUT DAFTAR PESERTA'!C8</f>
        <v>Cristian Mouses</v>
      </c>
      <c r="D10" s="4">
        <v>100</v>
      </c>
      <c r="E10" s="4">
        <v>100</v>
      </c>
      <c r="F10" s="4">
        <v>100</v>
      </c>
      <c r="G10" s="4">
        <v>100</v>
      </c>
      <c r="H10" s="4">
        <v>100</v>
      </c>
      <c r="I10" s="4">
        <v>100</v>
      </c>
      <c r="J10" s="4">
        <v>100</v>
      </c>
      <c r="K10" s="4">
        <v>100</v>
      </c>
      <c r="L10" s="33">
        <f t="shared" si="0"/>
        <v>100</v>
      </c>
      <c r="M10" s="14">
        <f>'PENULISAN LAPORAN'!N9</f>
        <v>77.8125</v>
      </c>
      <c r="N10" s="35">
        <v>64</v>
      </c>
      <c r="O10" s="35">
        <v>64</v>
      </c>
      <c r="P10" s="35">
        <v>64</v>
      </c>
      <c r="Q10" s="35">
        <v>64</v>
      </c>
      <c r="R10" s="35">
        <v>64</v>
      </c>
      <c r="S10" s="35">
        <v>64</v>
      </c>
      <c r="T10" s="35">
        <v>64</v>
      </c>
      <c r="U10" s="35">
        <v>64</v>
      </c>
      <c r="V10" s="14">
        <f t="shared" si="1"/>
        <v>64</v>
      </c>
      <c r="W10" s="4">
        <v>70</v>
      </c>
      <c r="X10" s="4">
        <v>70</v>
      </c>
      <c r="Y10" s="4">
        <v>80</v>
      </c>
      <c r="Z10" s="4">
        <v>70</v>
      </c>
      <c r="AA10" s="4">
        <v>70</v>
      </c>
      <c r="AB10" s="4">
        <v>60</v>
      </c>
      <c r="AC10" s="4">
        <v>30</v>
      </c>
      <c r="AD10" s="4">
        <v>30</v>
      </c>
      <c r="AE10" s="4">
        <f t="shared" si="2"/>
        <v>60</v>
      </c>
      <c r="AF10" s="29">
        <f>'KEMAMPUAN PRAKTIKUM'!H10</f>
        <v>84</v>
      </c>
      <c r="AG10" s="29">
        <f>'KEMAMPUAN PRAKTIKUM'!M10</f>
        <v>75.000000000000014</v>
      </c>
      <c r="AH10" s="29">
        <f>'KEMAMPUAN PRAKTIKUM'!R10</f>
        <v>60.000000000000007</v>
      </c>
      <c r="AI10" s="29">
        <f>'KEMAMPUAN PRAKTIKUM'!W10</f>
        <v>87.000000000000014</v>
      </c>
      <c r="AJ10" s="29">
        <f>'KEMAMPUAN PRAKTIKUM'!AB10</f>
        <v>75</v>
      </c>
      <c r="AK10" s="29">
        <f>'KEMAMPUAN PRAKTIKUM'!AG10</f>
        <v>45</v>
      </c>
      <c r="AL10" s="29">
        <f>'KEMAMPUAN PRAKTIKUM'!AL10</f>
        <v>62.999999999999993</v>
      </c>
      <c r="AM10" s="29">
        <f>'KEMAMPUAN PRAKTIKUM'!AQ10</f>
        <v>67.500000000000014</v>
      </c>
      <c r="AN10" s="14">
        <f t="shared" si="3"/>
        <v>69.5625</v>
      </c>
    </row>
    <row r="11" spans="1:40">
      <c r="A11" s="4">
        <f>'INPUT DAFTAR PESERTA'!A9</f>
        <v>6</v>
      </c>
      <c r="B11" s="4">
        <f>'INPUT DAFTAR PESERTA'!B9</f>
        <v>2509076005</v>
      </c>
      <c r="C11" s="6" t="str">
        <f>'INPUT DAFTAR PESERTA'!C9</f>
        <v>Guarimus Rinaldi Ngera</v>
      </c>
      <c r="D11" s="4">
        <v>100</v>
      </c>
      <c r="E11" s="4">
        <v>100</v>
      </c>
      <c r="F11" s="4">
        <v>100</v>
      </c>
      <c r="G11" s="4">
        <v>80</v>
      </c>
      <c r="H11" s="4">
        <v>100</v>
      </c>
      <c r="I11" s="4">
        <v>100</v>
      </c>
      <c r="J11" s="4">
        <v>100</v>
      </c>
      <c r="K11" s="4">
        <v>100</v>
      </c>
      <c r="L11" s="33">
        <f t="shared" si="0"/>
        <v>97.5</v>
      </c>
      <c r="M11" s="14">
        <f>'PENULISAN LAPORAN'!N10</f>
        <v>79.78125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14">
        <f t="shared" si="1"/>
        <v>0</v>
      </c>
      <c r="W11" s="4">
        <v>70</v>
      </c>
      <c r="X11" s="4">
        <v>30</v>
      </c>
      <c r="Y11" s="4">
        <v>80</v>
      </c>
      <c r="Z11" s="4">
        <v>70</v>
      </c>
      <c r="AA11" s="4">
        <v>70</v>
      </c>
      <c r="AB11" s="4">
        <v>70</v>
      </c>
      <c r="AC11" s="4">
        <v>30</v>
      </c>
      <c r="AD11" s="4">
        <v>60</v>
      </c>
      <c r="AE11" s="4">
        <f t="shared" si="2"/>
        <v>60</v>
      </c>
      <c r="AF11" s="29">
        <f>'KEMAMPUAN PRAKTIKUM'!H11</f>
        <v>60.000000000000007</v>
      </c>
      <c r="AG11" s="29">
        <f>'KEMAMPUAN PRAKTIKUM'!M11</f>
        <v>60.000000000000007</v>
      </c>
      <c r="AH11" s="29">
        <f>'KEMAMPUAN PRAKTIKUM'!R11</f>
        <v>75.000000000000014</v>
      </c>
      <c r="AI11" s="29">
        <f>'KEMAMPUAN PRAKTIKUM'!W11</f>
        <v>72</v>
      </c>
      <c r="AJ11" s="29">
        <f>'KEMAMPUAN PRAKTIKUM'!AB11</f>
        <v>75</v>
      </c>
      <c r="AK11" s="29">
        <f>'KEMAMPUAN PRAKTIKUM'!AG11</f>
        <v>45</v>
      </c>
      <c r="AL11" s="29">
        <f>'KEMAMPUAN PRAKTIKUM'!AL11</f>
        <v>60.000000000000007</v>
      </c>
      <c r="AM11" s="29">
        <f>'KEMAMPUAN PRAKTIKUM'!AQ11</f>
        <v>67.500000000000014</v>
      </c>
      <c r="AN11" s="14">
        <f t="shared" si="3"/>
        <v>64.3125</v>
      </c>
    </row>
    <row r="12" spans="1:40">
      <c r="A12" s="4">
        <f>'INPUT DAFTAR PESERTA'!A10</f>
        <v>7</v>
      </c>
      <c r="B12" s="4">
        <f>'INPUT DAFTAR PESERTA'!B10</f>
        <v>2509076006</v>
      </c>
      <c r="C12" s="6" t="str">
        <f>'INPUT DAFTAR PESERTA'!C10</f>
        <v>Rafly Khoirul Rizky</v>
      </c>
      <c r="D12" s="4">
        <v>100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  <c r="K12" s="4">
        <v>100</v>
      </c>
      <c r="L12" s="33">
        <f t="shared" si="0"/>
        <v>100</v>
      </c>
      <c r="M12" s="14">
        <f>'PENULISAN LAPORAN'!N11</f>
        <v>60.768749999999997</v>
      </c>
      <c r="N12" s="35">
        <v>98</v>
      </c>
      <c r="O12" s="35">
        <v>98</v>
      </c>
      <c r="P12" s="35">
        <v>98</v>
      </c>
      <c r="Q12" s="35">
        <v>98</v>
      </c>
      <c r="R12" s="35">
        <v>98</v>
      </c>
      <c r="S12" s="35">
        <v>98</v>
      </c>
      <c r="T12" s="35">
        <v>98</v>
      </c>
      <c r="U12" s="35">
        <v>98</v>
      </c>
      <c r="V12" s="14">
        <f t="shared" si="1"/>
        <v>98</v>
      </c>
      <c r="W12" s="4">
        <v>70</v>
      </c>
      <c r="X12" s="4">
        <v>70</v>
      </c>
      <c r="Y12" s="4">
        <v>70</v>
      </c>
      <c r="Z12" s="4">
        <v>70</v>
      </c>
      <c r="AA12" s="4">
        <v>70</v>
      </c>
      <c r="AB12" s="4">
        <v>60</v>
      </c>
      <c r="AC12" s="4">
        <v>30</v>
      </c>
      <c r="AD12" s="4">
        <v>70</v>
      </c>
      <c r="AE12" s="4">
        <f t="shared" si="2"/>
        <v>63.75</v>
      </c>
      <c r="AF12" s="29">
        <f>'KEMAMPUAN PRAKTIKUM'!H12</f>
        <v>60.000000000000007</v>
      </c>
      <c r="AG12" s="29">
        <f>'KEMAMPUAN PRAKTIKUM'!M12</f>
        <v>54</v>
      </c>
      <c r="AH12" s="29">
        <f>'KEMAMPUAN PRAKTIKUM'!R12</f>
        <v>75.000000000000014</v>
      </c>
      <c r="AI12" s="29">
        <f>'KEMAMPUAN PRAKTIKUM'!W12</f>
        <v>60.000000000000007</v>
      </c>
      <c r="AJ12" s="29">
        <f>'KEMAMPUAN PRAKTIKUM'!AB12</f>
        <v>75</v>
      </c>
      <c r="AK12" s="29">
        <f>'KEMAMPUAN PRAKTIKUM'!AG12</f>
        <v>45</v>
      </c>
      <c r="AL12" s="29">
        <f>'KEMAMPUAN PRAKTIKUM'!AL12</f>
        <v>45</v>
      </c>
      <c r="AM12" s="29">
        <f>'KEMAMPUAN PRAKTIKUM'!AQ12</f>
        <v>52.5</v>
      </c>
      <c r="AN12" s="14">
        <f t="shared" si="3"/>
        <v>58.3125</v>
      </c>
    </row>
    <row r="13" spans="1:40">
      <c r="A13" s="4">
        <f>'INPUT DAFTAR PESERTA'!A11</f>
        <v>8</v>
      </c>
      <c r="B13" s="4">
        <f>'INPUT DAFTAR PESERTA'!B11</f>
        <v>2509076007</v>
      </c>
      <c r="C13" s="6" t="str">
        <f>'INPUT DAFTAR PESERTA'!C11</f>
        <v>Nurdian Bagus Setiawan</v>
      </c>
      <c r="D13" s="4">
        <v>100</v>
      </c>
      <c r="E13" s="4">
        <v>100</v>
      </c>
      <c r="F13" s="4">
        <v>100</v>
      </c>
      <c r="G13" s="4">
        <v>100</v>
      </c>
      <c r="H13" s="4">
        <v>100</v>
      </c>
      <c r="I13" s="4">
        <v>100</v>
      </c>
      <c r="J13" s="4">
        <v>100</v>
      </c>
      <c r="K13" s="4">
        <v>100</v>
      </c>
      <c r="L13" s="33">
        <f t="shared" si="0"/>
        <v>100</v>
      </c>
      <c r="M13" s="14">
        <f>'PENULISAN LAPORAN'!N12</f>
        <v>62.84375</v>
      </c>
      <c r="N13" s="35">
        <v>82</v>
      </c>
      <c r="O13" s="35">
        <v>82</v>
      </c>
      <c r="P13" s="35">
        <v>82</v>
      </c>
      <c r="Q13" s="35">
        <v>82</v>
      </c>
      <c r="R13" s="35">
        <v>82</v>
      </c>
      <c r="S13" s="35">
        <v>82</v>
      </c>
      <c r="T13" s="35">
        <v>82</v>
      </c>
      <c r="U13" s="35">
        <v>82</v>
      </c>
      <c r="V13" s="14">
        <f t="shared" si="1"/>
        <v>82</v>
      </c>
      <c r="W13" s="4">
        <v>70</v>
      </c>
      <c r="X13" s="4">
        <v>70</v>
      </c>
      <c r="Y13" s="4">
        <v>70</v>
      </c>
      <c r="Z13" s="4">
        <v>70</v>
      </c>
      <c r="AA13" s="4">
        <v>70</v>
      </c>
      <c r="AB13" s="4">
        <v>60</v>
      </c>
      <c r="AC13" s="4">
        <v>30</v>
      </c>
      <c r="AD13" s="4">
        <v>30</v>
      </c>
      <c r="AE13" s="4">
        <f t="shared" si="2"/>
        <v>58.75</v>
      </c>
      <c r="AF13" s="29">
        <f>'KEMAMPUAN PRAKTIKUM'!H13</f>
        <v>60.000000000000007</v>
      </c>
      <c r="AG13" s="29">
        <f>'KEMAMPUAN PRAKTIKUM'!M13</f>
        <v>69</v>
      </c>
      <c r="AH13" s="29">
        <f>'KEMAMPUAN PRAKTIKUM'!R13</f>
        <v>60.000000000000007</v>
      </c>
      <c r="AI13" s="29">
        <f>'KEMAMPUAN PRAKTIKUM'!W13</f>
        <v>60.000000000000007</v>
      </c>
      <c r="AJ13" s="29">
        <f>'KEMAMPUAN PRAKTIKUM'!AB13</f>
        <v>78</v>
      </c>
      <c r="AK13" s="29">
        <f>'KEMAMPUAN PRAKTIKUM'!AG13</f>
        <v>45</v>
      </c>
      <c r="AL13" s="29">
        <f>'KEMAMPUAN PRAKTIKUM'!AL13</f>
        <v>45</v>
      </c>
      <c r="AM13" s="29">
        <f>'KEMAMPUAN PRAKTIKUM'!AQ13</f>
        <v>45</v>
      </c>
      <c r="AN13" s="14">
        <f t="shared" si="3"/>
        <v>57.75</v>
      </c>
    </row>
    <row r="14" spans="1:40">
      <c r="A14" s="4">
        <f>'INPUT DAFTAR PESERTA'!A12</f>
        <v>9</v>
      </c>
      <c r="B14" s="4">
        <f>'INPUT DAFTAR PESERTA'!B12</f>
        <v>2509076008</v>
      </c>
      <c r="C14" s="6" t="str">
        <f>'INPUT DAFTAR PESERTA'!C12</f>
        <v>Krisna Akbar</v>
      </c>
      <c r="D14" s="4">
        <v>100</v>
      </c>
      <c r="E14" s="4">
        <v>100</v>
      </c>
      <c r="F14" s="4">
        <v>100</v>
      </c>
      <c r="G14" s="4">
        <v>100</v>
      </c>
      <c r="H14" s="4">
        <v>100</v>
      </c>
      <c r="I14" s="4">
        <v>100</v>
      </c>
      <c r="J14" s="4">
        <v>100</v>
      </c>
      <c r="K14" s="4">
        <v>100</v>
      </c>
      <c r="L14" s="33">
        <f t="shared" si="0"/>
        <v>100</v>
      </c>
      <c r="M14" s="14">
        <f>'PENULISAN LAPORAN'!N13</f>
        <v>72.46875</v>
      </c>
      <c r="N14" s="35">
        <v>80</v>
      </c>
      <c r="O14" s="35">
        <v>80</v>
      </c>
      <c r="P14" s="35">
        <v>80</v>
      </c>
      <c r="Q14" s="35">
        <v>80</v>
      </c>
      <c r="R14" s="35">
        <v>80</v>
      </c>
      <c r="S14" s="35">
        <v>80</v>
      </c>
      <c r="T14" s="35">
        <v>80</v>
      </c>
      <c r="U14" s="35">
        <v>80</v>
      </c>
      <c r="V14" s="14">
        <f t="shared" si="1"/>
        <v>80</v>
      </c>
      <c r="W14" s="4">
        <v>70</v>
      </c>
      <c r="X14" s="4">
        <v>70</v>
      </c>
      <c r="Y14" s="4">
        <v>70</v>
      </c>
      <c r="Z14" s="4">
        <v>70</v>
      </c>
      <c r="AA14" s="4">
        <v>80</v>
      </c>
      <c r="AB14" s="4">
        <v>60</v>
      </c>
      <c r="AC14" s="4">
        <v>80</v>
      </c>
      <c r="AD14" s="4">
        <v>30</v>
      </c>
      <c r="AE14" s="4">
        <f t="shared" si="2"/>
        <v>66.25</v>
      </c>
      <c r="AF14" s="29">
        <f>'KEMAMPUAN PRAKTIKUM'!H14</f>
        <v>75.000000000000014</v>
      </c>
      <c r="AG14" s="29">
        <f>'KEMAMPUAN PRAKTIKUM'!M14</f>
        <v>84</v>
      </c>
      <c r="AH14" s="29">
        <f>'KEMAMPUAN PRAKTIKUM'!R14</f>
        <v>72</v>
      </c>
      <c r="AI14" s="29">
        <f>'KEMAMPUAN PRAKTIKUM'!W14</f>
        <v>60.000000000000007</v>
      </c>
      <c r="AJ14" s="29">
        <f>'KEMAMPUAN PRAKTIKUM'!AB14</f>
        <v>75</v>
      </c>
      <c r="AK14" s="29">
        <f>'KEMAMPUAN PRAKTIKUM'!AG14</f>
        <v>45</v>
      </c>
      <c r="AL14" s="29">
        <f>'KEMAMPUAN PRAKTIKUM'!AL14</f>
        <v>45</v>
      </c>
      <c r="AM14" s="29">
        <f>'KEMAMPUAN PRAKTIKUM'!AQ14</f>
        <v>60.000000000000007</v>
      </c>
      <c r="AN14" s="14">
        <f t="shared" si="3"/>
        <v>64.5</v>
      </c>
    </row>
    <row r="15" spans="1:40">
      <c r="A15" s="4">
        <f>'INPUT DAFTAR PESERTA'!A13</f>
        <v>10</v>
      </c>
      <c r="B15" s="4">
        <f>'INPUT DAFTAR PESERTA'!B13</f>
        <v>2509076009</v>
      </c>
      <c r="C15" s="6" t="str">
        <f>'INPUT DAFTAR PESERTA'!C13</f>
        <v>Muhammad Naufal Ammar Dzakiy</v>
      </c>
      <c r="D15" s="4">
        <v>100</v>
      </c>
      <c r="E15" s="4">
        <v>100</v>
      </c>
      <c r="F15" s="4">
        <v>100</v>
      </c>
      <c r="G15" s="4">
        <v>100</v>
      </c>
      <c r="H15" s="4">
        <v>100</v>
      </c>
      <c r="I15" s="4">
        <v>100</v>
      </c>
      <c r="J15" s="4">
        <v>100</v>
      </c>
      <c r="K15" s="4">
        <v>100</v>
      </c>
      <c r="L15" s="33">
        <f t="shared" si="0"/>
        <v>100</v>
      </c>
      <c r="M15" s="14">
        <f>'PENULISAN LAPORAN'!N14</f>
        <v>60.15625</v>
      </c>
      <c r="N15" s="35">
        <v>86</v>
      </c>
      <c r="O15" s="35">
        <v>86</v>
      </c>
      <c r="P15" s="35">
        <v>86</v>
      </c>
      <c r="Q15" s="35">
        <v>86</v>
      </c>
      <c r="R15" s="35">
        <v>86</v>
      </c>
      <c r="S15" s="35">
        <v>86</v>
      </c>
      <c r="T15" s="35">
        <v>86</v>
      </c>
      <c r="U15" s="35">
        <v>86</v>
      </c>
      <c r="V15" s="14">
        <f t="shared" si="1"/>
        <v>86</v>
      </c>
      <c r="W15" s="4">
        <v>70</v>
      </c>
      <c r="X15" s="4">
        <v>70</v>
      </c>
      <c r="Y15" s="4">
        <v>70</v>
      </c>
      <c r="Z15" s="4">
        <v>70</v>
      </c>
      <c r="AA15" s="4">
        <v>60</v>
      </c>
      <c r="AB15" s="4">
        <v>30</v>
      </c>
      <c r="AC15" s="4">
        <v>30</v>
      </c>
      <c r="AD15" s="4">
        <v>30</v>
      </c>
      <c r="AE15" s="4">
        <f t="shared" si="2"/>
        <v>53.75</v>
      </c>
      <c r="AF15" s="29">
        <f>'KEMAMPUAN PRAKTIKUM'!H15</f>
        <v>60.000000000000007</v>
      </c>
      <c r="AG15" s="29">
        <f>'KEMAMPUAN PRAKTIKUM'!M15</f>
        <v>54</v>
      </c>
      <c r="AH15" s="29">
        <f>'KEMAMPUAN PRAKTIKUM'!R15</f>
        <v>60.000000000000007</v>
      </c>
      <c r="AI15" s="29">
        <f>'KEMAMPUAN PRAKTIKUM'!W15</f>
        <v>60.000000000000007</v>
      </c>
      <c r="AJ15" s="29">
        <f>'KEMAMPUAN PRAKTIKUM'!AB15</f>
        <v>78</v>
      </c>
      <c r="AK15" s="29">
        <f>'KEMAMPUAN PRAKTIKUM'!AG15</f>
        <v>45</v>
      </c>
      <c r="AL15" s="29">
        <f>'KEMAMPUAN PRAKTIKUM'!AL15</f>
        <v>45</v>
      </c>
      <c r="AM15" s="29">
        <f>'KEMAMPUAN PRAKTIKUM'!AQ15</f>
        <v>45</v>
      </c>
      <c r="AN15" s="14">
        <f t="shared" si="3"/>
        <v>55.875</v>
      </c>
    </row>
    <row r="16" spans="1:40">
      <c r="A16" s="4">
        <f>'INPUT DAFTAR PESERTA'!A14</f>
        <v>11</v>
      </c>
      <c r="B16" s="4">
        <f>'INPUT DAFTAR PESERTA'!B14</f>
        <v>2509076010</v>
      </c>
      <c r="C16" s="6" t="str">
        <f>'INPUT DAFTAR PESERTA'!C14</f>
        <v>Muhammad Fathir</v>
      </c>
      <c r="D16" s="4">
        <v>100</v>
      </c>
      <c r="E16" s="4">
        <v>100</v>
      </c>
      <c r="F16" s="4">
        <v>100</v>
      </c>
      <c r="G16" s="4">
        <v>100</v>
      </c>
      <c r="H16" s="4">
        <v>100</v>
      </c>
      <c r="I16" s="4">
        <v>100</v>
      </c>
      <c r="J16" s="4">
        <v>100</v>
      </c>
      <c r="K16" s="4">
        <v>100</v>
      </c>
      <c r="L16" s="33">
        <f t="shared" si="0"/>
        <v>100</v>
      </c>
      <c r="M16" s="14">
        <f>'PENULISAN LAPORAN'!N15</f>
        <v>72.84375</v>
      </c>
      <c r="N16" s="35">
        <v>80</v>
      </c>
      <c r="O16" s="35">
        <v>80</v>
      </c>
      <c r="P16" s="35">
        <v>80</v>
      </c>
      <c r="Q16" s="35">
        <v>80</v>
      </c>
      <c r="R16" s="35">
        <v>80</v>
      </c>
      <c r="S16" s="35">
        <v>80</v>
      </c>
      <c r="T16" s="35">
        <v>80</v>
      </c>
      <c r="U16" s="35">
        <v>80</v>
      </c>
      <c r="V16" s="14">
        <f t="shared" si="1"/>
        <v>80</v>
      </c>
      <c r="W16" s="4">
        <v>30</v>
      </c>
      <c r="X16" s="4">
        <v>70</v>
      </c>
      <c r="Y16" s="4">
        <v>80</v>
      </c>
      <c r="Z16" s="4">
        <v>70</v>
      </c>
      <c r="AA16" s="4">
        <v>70</v>
      </c>
      <c r="AB16" s="4">
        <v>70</v>
      </c>
      <c r="AC16" s="4">
        <v>80</v>
      </c>
      <c r="AD16" s="4">
        <v>30</v>
      </c>
      <c r="AE16" s="4">
        <f t="shared" si="2"/>
        <v>62.5</v>
      </c>
      <c r="AF16" s="29">
        <f>'KEMAMPUAN PRAKTIKUM'!H16</f>
        <v>57.000000000000007</v>
      </c>
      <c r="AG16" s="29">
        <f>'KEMAMPUAN PRAKTIKUM'!M16</f>
        <v>84</v>
      </c>
      <c r="AH16" s="29">
        <f>'KEMAMPUAN PRAKTIKUM'!R16</f>
        <v>60.000000000000007</v>
      </c>
      <c r="AI16" s="29">
        <f>'KEMAMPUAN PRAKTIKUM'!W16</f>
        <v>60.000000000000007</v>
      </c>
      <c r="AJ16" s="29">
        <f>'KEMAMPUAN PRAKTIKUM'!AB16</f>
        <v>69</v>
      </c>
      <c r="AK16" s="29">
        <f>'KEMAMPUAN PRAKTIKUM'!AG16</f>
        <v>60.000000000000007</v>
      </c>
      <c r="AL16" s="29">
        <f>'KEMAMPUAN PRAKTIKUM'!AL16</f>
        <v>72</v>
      </c>
      <c r="AM16" s="29">
        <f>'KEMAMPUAN PRAKTIKUM'!AQ16</f>
        <v>45</v>
      </c>
      <c r="AN16" s="14">
        <f t="shared" si="3"/>
        <v>63.375</v>
      </c>
    </row>
    <row r="17" spans="1:40">
      <c r="A17" s="4">
        <f>'INPUT DAFTAR PESERTA'!A15</f>
        <v>12</v>
      </c>
      <c r="B17" s="4">
        <f>'INPUT DAFTAR PESERTA'!B15</f>
        <v>2509076011</v>
      </c>
      <c r="C17" s="6" t="str">
        <f>'INPUT DAFTAR PESERTA'!C15</f>
        <v>Waiz Ar Rozzaq</v>
      </c>
      <c r="D17" s="4">
        <v>100</v>
      </c>
      <c r="E17" s="4">
        <v>100</v>
      </c>
      <c r="F17" s="4">
        <v>100</v>
      </c>
      <c r="G17" s="4">
        <v>100</v>
      </c>
      <c r="H17" s="4">
        <v>100</v>
      </c>
      <c r="I17" s="4">
        <v>100</v>
      </c>
      <c r="J17" s="4">
        <v>100</v>
      </c>
      <c r="K17" s="4">
        <v>100</v>
      </c>
      <c r="L17" s="33">
        <f t="shared" si="0"/>
        <v>100</v>
      </c>
      <c r="M17" s="14">
        <f>'PENULISAN LAPORAN'!N16</f>
        <v>77.34375</v>
      </c>
      <c r="N17" s="4">
        <v>94</v>
      </c>
      <c r="O17" s="4">
        <v>94</v>
      </c>
      <c r="P17" s="4">
        <v>94</v>
      </c>
      <c r="Q17" s="4">
        <v>94</v>
      </c>
      <c r="R17" s="4">
        <v>94</v>
      </c>
      <c r="S17" s="4">
        <v>94</v>
      </c>
      <c r="T17" s="4">
        <v>94</v>
      </c>
      <c r="U17" s="4">
        <v>94</v>
      </c>
      <c r="V17" s="14">
        <f t="shared" si="1"/>
        <v>94</v>
      </c>
      <c r="W17" s="4">
        <v>60</v>
      </c>
      <c r="X17" s="4">
        <v>70</v>
      </c>
      <c r="Y17" s="4">
        <v>80</v>
      </c>
      <c r="Z17" s="4">
        <v>70</v>
      </c>
      <c r="AA17" s="4">
        <v>70</v>
      </c>
      <c r="AB17" s="4">
        <v>80</v>
      </c>
      <c r="AC17" s="4">
        <v>80</v>
      </c>
      <c r="AD17" s="4">
        <v>60</v>
      </c>
      <c r="AE17" s="4">
        <f t="shared" si="2"/>
        <v>71.25</v>
      </c>
      <c r="AF17" s="29">
        <f>'KEMAMPUAN PRAKTIKUM'!H17</f>
        <v>57.000000000000007</v>
      </c>
      <c r="AG17" s="29">
        <f>'KEMAMPUAN PRAKTIKUM'!M17</f>
        <v>84</v>
      </c>
      <c r="AH17" s="29">
        <f>'KEMAMPUAN PRAKTIKUM'!R17</f>
        <v>90</v>
      </c>
      <c r="AI17" s="29">
        <f>'KEMAMPUAN PRAKTIKUM'!W17</f>
        <v>90</v>
      </c>
      <c r="AJ17" s="29">
        <f>'KEMAMPUAN PRAKTIKUM'!AB17</f>
        <v>90</v>
      </c>
      <c r="AK17" s="29">
        <f>'KEMAMPUAN PRAKTIKUM'!AG17</f>
        <v>75</v>
      </c>
      <c r="AL17" s="29">
        <f>'KEMAMPUAN PRAKTIKUM'!AL17</f>
        <v>87.000000000000014</v>
      </c>
      <c r="AM17" s="29">
        <f>'KEMAMPUAN PRAKTIKUM'!AQ17</f>
        <v>45</v>
      </c>
      <c r="AN17" s="14">
        <f t="shared" si="3"/>
        <v>77.25</v>
      </c>
    </row>
    <row r="18" spans="1:40">
      <c r="A18" s="4">
        <f>'INPUT DAFTAR PESERTA'!A16</f>
        <v>13</v>
      </c>
      <c r="B18" s="4">
        <f>'INPUT DAFTAR PESERTA'!B16</f>
        <v>2509076012</v>
      </c>
      <c r="C18" s="6" t="str">
        <f>'INPUT DAFTAR PESERTA'!C16</f>
        <v>Aditya Windri Andra</v>
      </c>
      <c r="D18" s="4">
        <v>100</v>
      </c>
      <c r="E18" s="4">
        <v>100</v>
      </c>
      <c r="F18" s="4">
        <v>100</v>
      </c>
      <c r="G18" s="4">
        <v>100</v>
      </c>
      <c r="H18" s="4">
        <v>100</v>
      </c>
      <c r="I18" s="4">
        <v>100</v>
      </c>
      <c r="J18" s="4">
        <v>100</v>
      </c>
      <c r="K18" s="4">
        <v>100</v>
      </c>
      <c r="L18" s="33">
        <f t="shared" si="0"/>
        <v>100</v>
      </c>
      <c r="M18" s="14">
        <f>'PENULISAN LAPORAN'!N17</f>
        <v>74.981250000000003</v>
      </c>
      <c r="N18" s="4">
        <v>96</v>
      </c>
      <c r="O18" s="4">
        <v>96</v>
      </c>
      <c r="P18" s="4">
        <v>96</v>
      </c>
      <c r="Q18" s="4">
        <v>96</v>
      </c>
      <c r="R18" s="4">
        <v>96</v>
      </c>
      <c r="S18" s="4">
        <v>96</v>
      </c>
      <c r="T18" s="4">
        <v>96</v>
      </c>
      <c r="U18" s="4">
        <v>96</v>
      </c>
      <c r="V18" s="14">
        <f t="shared" si="1"/>
        <v>96</v>
      </c>
      <c r="W18" s="4">
        <v>30</v>
      </c>
      <c r="X18" s="4">
        <v>70</v>
      </c>
      <c r="Y18" s="4">
        <v>80</v>
      </c>
      <c r="Z18" s="4">
        <v>70</v>
      </c>
      <c r="AA18" s="4">
        <v>70</v>
      </c>
      <c r="AB18" s="4">
        <v>70</v>
      </c>
      <c r="AC18" s="4">
        <v>60</v>
      </c>
      <c r="AD18" s="4">
        <v>30</v>
      </c>
      <c r="AE18" s="4">
        <f t="shared" si="2"/>
        <v>60</v>
      </c>
      <c r="AF18" s="29">
        <f>'KEMAMPUAN PRAKTIKUM'!H18</f>
        <v>57.000000000000007</v>
      </c>
      <c r="AG18" s="29">
        <f>'KEMAMPUAN PRAKTIKUM'!M18</f>
        <v>69</v>
      </c>
      <c r="AH18" s="29">
        <f>'KEMAMPUAN PRAKTIKUM'!R18</f>
        <v>75.000000000000014</v>
      </c>
      <c r="AI18" s="29">
        <f>'KEMAMPUAN PRAKTIKUM'!W18</f>
        <v>90</v>
      </c>
      <c r="AJ18" s="29">
        <f>'KEMAMPUAN PRAKTIKUM'!AB18</f>
        <v>90</v>
      </c>
      <c r="AK18" s="29">
        <f>'KEMAMPUAN PRAKTIKUM'!AG18</f>
        <v>45</v>
      </c>
      <c r="AL18" s="29">
        <f>'KEMAMPUAN PRAKTIKUM'!AL18</f>
        <v>87.000000000000014</v>
      </c>
      <c r="AM18" s="29">
        <f>'KEMAMPUAN PRAKTIKUM'!AQ18</f>
        <v>45</v>
      </c>
      <c r="AN18" s="14">
        <f t="shared" si="3"/>
        <v>69.75</v>
      </c>
    </row>
    <row r="19" spans="1:40">
      <c r="A19" s="4">
        <f>'INPUT DAFTAR PESERTA'!A17</f>
        <v>14</v>
      </c>
      <c r="B19" s="4">
        <f>'INPUT DAFTAR PESERTA'!B17</f>
        <v>2509076013</v>
      </c>
      <c r="C19" s="6" t="str">
        <f>'INPUT DAFTAR PESERTA'!C17</f>
        <v>Wisnu Gafur</v>
      </c>
      <c r="D19" s="4">
        <v>100</v>
      </c>
      <c r="E19" s="4">
        <v>80</v>
      </c>
      <c r="F19" s="4">
        <v>100</v>
      </c>
      <c r="G19" s="4">
        <v>100</v>
      </c>
      <c r="H19" s="4">
        <v>100</v>
      </c>
      <c r="I19" s="4">
        <v>100</v>
      </c>
      <c r="J19" s="4">
        <v>100</v>
      </c>
      <c r="K19" s="4">
        <v>100</v>
      </c>
      <c r="L19" s="33">
        <f t="shared" si="0"/>
        <v>97.5</v>
      </c>
      <c r="M19" s="14">
        <f>'PENULISAN LAPORAN'!N18</f>
        <v>60.356250000000003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14">
        <f t="shared" si="1"/>
        <v>0</v>
      </c>
      <c r="W19" s="4">
        <v>30</v>
      </c>
      <c r="X19" s="4">
        <v>60</v>
      </c>
      <c r="Y19" s="4">
        <v>70</v>
      </c>
      <c r="Z19" s="4">
        <v>70</v>
      </c>
      <c r="AA19" s="4">
        <v>70</v>
      </c>
      <c r="AB19" s="4">
        <v>60</v>
      </c>
      <c r="AC19" s="4">
        <v>60</v>
      </c>
      <c r="AD19" s="4">
        <v>30</v>
      </c>
      <c r="AE19" s="4">
        <f t="shared" si="2"/>
        <v>56.25</v>
      </c>
      <c r="AF19" s="29">
        <f>'KEMAMPUAN PRAKTIKUM'!H19</f>
        <v>57.000000000000007</v>
      </c>
      <c r="AG19" s="29">
        <f>'KEMAMPUAN PRAKTIKUM'!M19</f>
        <v>54</v>
      </c>
      <c r="AH19" s="29">
        <f>'KEMAMPUAN PRAKTIKUM'!R19</f>
        <v>60.000000000000007</v>
      </c>
      <c r="AI19" s="29">
        <f>'KEMAMPUAN PRAKTIKUM'!W19</f>
        <v>60.000000000000007</v>
      </c>
      <c r="AJ19" s="29">
        <f>'KEMAMPUAN PRAKTIKUM'!AB19</f>
        <v>60.000000000000007</v>
      </c>
      <c r="AK19" s="29">
        <f>'KEMAMPUAN PRAKTIKUM'!AG19</f>
        <v>45</v>
      </c>
      <c r="AL19" s="29">
        <f>'KEMAMPUAN PRAKTIKUM'!AL19</f>
        <v>57.000000000000007</v>
      </c>
      <c r="AM19" s="29">
        <f>'KEMAMPUAN PRAKTIKUM'!AQ19</f>
        <v>45</v>
      </c>
      <c r="AN19" s="14">
        <f t="shared" si="3"/>
        <v>54.75</v>
      </c>
    </row>
    <row r="20" spans="1:40">
      <c r="A20" s="4">
        <f>'INPUT DAFTAR PESERTA'!A18</f>
        <v>15</v>
      </c>
      <c r="B20" s="4">
        <f>'INPUT DAFTAR PESERTA'!B18</f>
        <v>2509076014</v>
      </c>
      <c r="C20" s="6" t="str">
        <f>'INPUT DAFTAR PESERTA'!C18</f>
        <v>Given Subagja</v>
      </c>
      <c r="D20" s="4">
        <v>100</v>
      </c>
      <c r="E20" s="4">
        <v>100</v>
      </c>
      <c r="F20" s="4">
        <v>100</v>
      </c>
      <c r="G20" s="4">
        <v>100</v>
      </c>
      <c r="H20" s="4">
        <v>100</v>
      </c>
      <c r="I20" s="4">
        <v>100</v>
      </c>
      <c r="J20" s="4">
        <v>100</v>
      </c>
      <c r="K20" s="4">
        <v>100</v>
      </c>
      <c r="L20" s="33">
        <f t="shared" si="0"/>
        <v>100</v>
      </c>
      <c r="M20" s="14">
        <f>'PENULISAN LAPORAN'!N19</f>
        <v>80.043750000000003</v>
      </c>
      <c r="N20" s="4">
        <v>60</v>
      </c>
      <c r="O20" s="4">
        <v>60</v>
      </c>
      <c r="P20" s="4">
        <v>60</v>
      </c>
      <c r="Q20" s="4">
        <v>60</v>
      </c>
      <c r="R20" s="4">
        <v>60</v>
      </c>
      <c r="S20" s="4">
        <v>60</v>
      </c>
      <c r="T20" s="4">
        <v>60</v>
      </c>
      <c r="U20" s="4">
        <v>60</v>
      </c>
      <c r="V20" s="14">
        <f t="shared" si="1"/>
        <v>60</v>
      </c>
      <c r="W20" s="4">
        <v>30</v>
      </c>
      <c r="X20" s="4">
        <v>70</v>
      </c>
      <c r="Y20" s="4">
        <v>70</v>
      </c>
      <c r="Z20" s="4">
        <v>80</v>
      </c>
      <c r="AA20" s="4">
        <v>70</v>
      </c>
      <c r="AB20" s="4">
        <v>70</v>
      </c>
      <c r="AC20" s="4">
        <v>80</v>
      </c>
      <c r="AD20" s="4">
        <v>30</v>
      </c>
      <c r="AE20" s="4">
        <f t="shared" si="2"/>
        <v>62.5</v>
      </c>
      <c r="AF20" s="29">
        <f>'KEMAMPUAN PRAKTIKUM'!H20</f>
        <v>60.000000000000007</v>
      </c>
      <c r="AG20" s="29">
        <f>'KEMAMPUAN PRAKTIKUM'!M20</f>
        <v>87.000000000000014</v>
      </c>
      <c r="AH20" s="29">
        <f>'KEMAMPUAN PRAKTIKUM'!R20</f>
        <v>90</v>
      </c>
      <c r="AI20" s="29">
        <f>'KEMAMPUAN PRAKTIKUM'!W20</f>
        <v>87.000000000000014</v>
      </c>
      <c r="AJ20" s="29">
        <f>'KEMAMPUAN PRAKTIKUM'!AB20</f>
        <v>78</v>
      </c>
      <c r="AK20" s="29">
        <f>'KEMAMPUAN PRAKTIKUM'!AG20</f>
        <v>62.999999999999993</v>
      </c>
      <c r="AL20" s="29">
        <f>'KEMAMPUAN PRAKTIKUM'!AL20</f>
        <v>87.000000000000014</v>
      </c>
      <c r="AM20" s="29">
        <f>'KEMAMPUAN PRAKTIKUM'!AQ20</f>
        <v>36</v>
      </c>
      <c r="AN20" s="14">
        <f t="shared" si="3"/>
        <v>73.500000000000014</v>
      </c>
    </row>
    <row r="21" spans="1:40">
      <c r="A21" s="4">
        <f>'INPUT DAFTAR PESERTA'!A19</f>
        <v>16</v>
      </c>
      <c r="B21" s="4">
        <f>'INPUT DAFTAR PESERTA'!B19</f>
        <v>2509076015</v>
      </c>
      <c r="C21" s="6" t="str">
        <f>'INPUT DAFTAR PESERTA'!C19</f>
        <v>Taufiqurrahman</v>
      </c>
      <c r="D21" s="4">
        <v>100</v>
      </c>
      <c r="E21" s="4">
        <v>100</v>
      </c>
      <c r="F21" s="4">
        <v>100</v>
      </c>
      <c r="G21" s="4">
        <v>100</v>
      </c>
      <c r="H21" s="4">
        <v>100</v>
      </c>
      <c r="I21" s="4">
        <v>100</v>
      </c>
      <c r="J21" s="4">
        <v>100</v>
      </c>
      <c r="K21" s="4">
        <v>100</v>
      </c>
      <c r="L21" s="33">
        <f t="shared" si="0"/>
        <v>100</v>
      </c>
      <c r="M21" s="14">
        <f>'PENULISAN LAPORAN'!N20</f>
        <v>81.575000000000003</v>
      </c>
      <c r="N21" s="35">
        <v>88</v>
      </c>
      <c r="O21" s="35">
        <v>88</v>
      </c>
      <c r="P21" s="35">
        <v>88</v>
      </c>
      <c r="Q21" s="35">
        <v>88</v>
      </c>
      <c r="R21" s="35">
        <v>88</v>
      </c>
      <c r="S21" s="35">
        <v>88</v>
      </c>
      <c r="T21" s="35">
        <v>88</v>
      </c>
      <c r="U21" s="35">
        <v>88</v>
      </c>
      <c r="V21" s="14">
        <f t="shared" si="1"/>
        <v>88</v>
      </c>
      <c r="W21" s="4">
        <v>30</v>
      </c>
      <c r="X21" s="4">
        <v>80</v>
      </c>
      <c r="Y21" s="4">
        <v>70</v>
      </c>
      <c r="Z21" s="4">
        <v>80</v>
      </c>
      <c r="AA21" s="4">
        <v>70</v>
      </c>
      <c r="AB21" s="4">
        <v>80</v>
      </c>
      <c r="AC21" s="4">
        <v>70</v>
      </c>
      <c r="AD21" s="4">
        <v>70</v>
      </c>
      <c r="AE21" s="4">
        <f t="shared" si="2"/>
        <v>68.75</v>
      </c>
      <c r="AF21" s="29">
        <f>'KEMAMPUAN PRAKTIKUM'!H21</f>
        <v>57.000000000000007</v>
      </c>
      <c r="AG21" s="29">
        <f>'KEMAMPUAN PRAKTIKUM'!M21</f>
        <v>84</v>
      </c>
      <c r="AH21" s="29">
        <f>'KEMAMPUAN PRAKTIKUM'!R21</f>
        <v>75.000000000000014</v>
      </c>
      <c r="AI21" s="29">
        <f>'KEMAMPUAN PRAKTIKUM'!W21</f>
        <v>87.000000000000014</v>
      </c>
      <c r="AJ21" s="29">
        <f>'KEMAMPUAN PRAKTIKUM'!AB21</f>
        <v>78</v>
      </c>
      <c r="AK21" s="29">
        <f>'KEMAMPUAN PRAKTIKUM'!AG21</f>
        <v>78</v>
      </c>
      <c r="AL21" s="29">
        <f>'KEMAMPUAN PRAKTIKUM'!AL21</f>
        <v>87.000000000000014</v>
      </c>
      <c r="AM21" s="29">
        <f>'KEMAMPUAN PRAKTIKUM'!AQ21</f>
        <v>30.000000000000004</v>
      </c>
      <c r="AN21" s="14">
        <f t="shared" si="3"/>
        <v>72</v>
      </c>
    </row>
    <row r="22" spans="1:40">
      <c r="A22" s="4">
        <f>'INPUT DAFTAR PESERTA'!A20</f>
        <v>17</v>
      </c>
      <c r="B22" s="4">
        <f>'INPUT DAFTAR PESERTA'!B20</f>
        <v>2509076016</v>
      </c>
      <c r="C22" s="6" t="str">
        <f>'INPUT DAFTAR PESERTA'!C20</f>
        <v>Nazwa Gizza Putri Bayu</v>
      </c>
      <c r="D22" s="4">
        <v>100</v>
      </c>
      <c r="E22" s="4">
        <v>100</v>
      </c>
      <c r="F22" s="4">
        <v>100</v>
      </c>
      <c r="G22" s="4">
        <v>100</v>
      </c>
      <c r="H22" s="4">
        <v>100</v>
      </c>
      <c r="I22" s="4">
        <v>100</v>
      </c>
      <c r="J22" s="4">
        <v>100</v>
      </c>
      <c r="K22" s="4">
        <v>100</v>
      </c>
      <c r="L22" s="33">
        <f t="shared" si="0"/>
        <v>100</v>
      </c>
      <c r="M22" s="14">
        <f>'PENULISAN LAPORAN'!N21</f>
        <v>80.981250000000003</v>
      </c>
      <c r="N22" s="35">
        <v>86</v>
      </c>
      <c r="O22" s="35">
        <v>86</v>
      </c>
      <c r="P22" s="35">
        <v>86</v>
      </c>
      <c r="Q22" s="35">
        <v>86</v>
      </c>
      <c r="R22" s="35">
        <v>86</v>
      </c>
      <c r="S22" s="35">
        <v>86</v>
      </c>
      <c r="T22" s="35">
        <v>86</v>
      </c>
      <c r="U22" s="35">
        <v>86</v>
      </c>
      <c r="V22" s="14">
        <f t="shared" si="1"/>
        <v>86</v>
      </c>
      <c r="W22" s="4">
        <v>30</v>
      </c>
      <c r="X22" s="4">
        <v>80</v>
      </c>
      <c r="Y22" s="4">
        <v>70</v>
      </c>
      <c r="Z22" s="4">
        <v>70</v>
      </c>
      <c r="AA22" s="4">
        <v>70</v>
      </c>
      <c r="AB22" s="4">
        <v>70</v>
      </c>
      <c r="AC22" s="4">
        <v>80</v>
      </c>
      <c r="AD22" s="4">
        <v>30</v>
      </c>
      <c r="AE22" s="4">
        <f t="shared" si="2"/>
        <v>62.5</v>
      </c>
      <c r="AF22" s="29">
        <f>'KEMAMPUAN PRAKTIKUM'!H22</f>
        <v>51</v>
      </c>
      <c r="AG22" s="29">
        <f>'KEMAMPUAN PRAKTIKUM'!M22</f>
        <v>84</v>
      </c>
      <c r="AH22" s="29">
        <f>'KEMAMPUAN PRAKTIKUM'!R22</f>
        <v>90</v>
      </c>
      <c r="AI22" s="29">
        <f>'KEMAMPUAN PRAKTIKUM'!W22</f>
        <v>87.000000000000014</v>
      </c>
      <c r="AJ22" s="29">
        <f>'KEMAMPUAN PRAKTIKUM'!AB22</f>
        <v>75</v>
      </c>
      <c r="AK22" s="29">
        <f>'KEMAMPUAN PRAKTIKUM'!AG22</f>
        <v>78</v>
      </c>
      <c r="AL22" s="29">
        <f>'KEMAMPUAN PRAKTIKUM'!AL22</f>
        <v>87.000000000000014</v>
      </c>
      <c r="AM22" s="29">
        <f>'KEMAMPUAN PRAKTIKUM'!AQ22</f>
        <v>30.000000000000004</v>
      </c>
      <c r="AN22" s="14">
        <f t="shared" si="3"/>
        <v>72.75</v>
      </c>
    </row>
    <row r="23" spans="1:40">
      <c r="A23" s="4">
        <f>'INPUT DAFTAR PESERTA'!A21</f>
        <v>18</v>
      </c>
      <c r="B23" s="4">
        <f>'INPUT DAFTAR PESERTA'!B21</f>
        <v>2509076017</v>
      </c>
      <c r="C23" s="6" t="str">
        <f>'INPUT DAFTAR PESERTA'!C21</f>
        <v>Ryan Maulana Malik</v>
      </c>
      <c r="D23" s="4">
        <v>100</v>
      </c>
      <c r="E23" s="4">
        <v>100</v>
      </c>
      <c r="F23" s="4">
        <v>100</v>
      </c>
      <c r="G23" s="4">
        <v>100</v>
      </c>
      <c r="H23" s="4">
        <v>100</v>
      </c>
      <c r="I23" s="4">
        <v>100</v>
      </c>
      <c r="J23" s="4">
        <v>100</v>
      </c>
      <c r="K23" s="4">
        <v>100</v>
      </c>
      <c r="L23" s="33">
        <f t="shared" si="0"/>
        <v>100</v>
      </c>
      <c r="M23" s="14">
        <f>'PENULISAN LAPORAN'!N22</f>
        <v>83.731250000000003</v>
      </c>
      <c r="N23" s="35">
        <v>86</v>
      </c>
      <c r="O23" s="35">
        <v>86</v>
      </c>
      <c r="P23" s="35">
        <v>86</v>
      </c>
      <c r="Q23" s="35">
        <v>86</v>
      </c>
      <c r="R23" s="35">
        <v>86</v>
      </c>
      <c r="S23" s="35">
        <v>86</v>
      </c>
      <c r="T23" s="35">
        <v>86</v>
      </c>
      <c r="U23" s="35">
        <v>86</v>
      </c>
      <c r="V23" s="14">
        <f t="shared" si="1"/>
        <v>86</v>
      </c>
      <c r="W23" s="4">
        <v>30</v>
      </c>
      <c r="X23" s="4">
        <v>80</v>
      </c>
      <c r="Y23" s="4">
        <v>80</v>
      </c>
      <c r="Z23" s="4">
        <v>70</v>
      </c>
      <c r="AA23" s="4">
        <v>70</v>
      </c>
      <c r="AB23" s="4">
        <v>70</v>
      </c>
      <c r="AC23" s="4">
        <v>80</v>
      </c>
      <c r="AD23" s="4">
        <v>30</v>
      </c>
      <c r="AE23" s="4">
        <f t="shared" si="2"/>
        <v>63.75</v>
      </c>
      <c r="AF23" s="29">
        <f>'KEMAMPUAN PRAKTIKUM'!H23</f>
        <v>54.000000000000007</v>
      </c>
      <c r="AG23" s="29">
        <f>'KEMAMPUAN PRAKTIKUM'!M23</f>
        <v>84</v>
      </c>
      <c r="AH23" s="29">
        <f>'KEMAMPUAN PRAKTIKUM'!R23</f>
        <v>90</v>
      </c>
      <c r="AI23" s="29">
        <f>'KEMAMPUAN PRAKTIKUM'!W23</f>
        <v>87.000000000000014</v>
      </c>
      <c r="AJ23" s="29">
        <f>'KEMAMPUAN PRAKTIKUM'!AB23</f>
        <v>78</v>
      </c>
      <c r="AK23" s="29">
        <f>'KEMAMPUAN PRAKTIKUM'!AG23</f>
        <v>70.500000000000014</v>
      </c>
      <c r="AL23" s="29">
        <f>'KEMAMPUAN PRAKTIKUM'!AL23</f>
        <v>87.000000000000014</v>
      </c>
      <c r="AM23" s="29">
        <f>'KEMAMPUAN PRAKTIKUM'!AQ23</f>
        <v>30.000000000000004</v>
      </c>
      <c r="AN23" s="14">
        <f t="shared" si="3"/>
        <v>72.5625</v>
      </c>
    </row>
    <row r="24" spans="1:40">
      <c r="A24" s="4">
        <f>'INPUT DAFTAR PESERTA'!A22</f>
        <v>19</v>
      </c>
      <c r="B24" s="4">
        <f>'INPUT DAFTAR PESERTA'!B22</f>
        <v>2509076018</v>
      </c>
      <c r="C24" s="6" t="str">
        <f>'INPUT DAFTAR PESERTA'!C22</f>
        <v>Fajar Ihsan</v>
      </c>
      <c r="D24" s="4">
        <v>100</v>
      </c>
      <c r="E24" s="4">
        <v>100</v>
      </c>
      <c r="F24" s="4">
        <v>100</v>
      </c>
      <c r="G24" s="4">
        <v>100</v>
      </c>
      <c r="H24" s="4">
        <v>100</v>
      </c>
      <c r="I24" s="4">
        <v>100</v>
      </c>
      <c r="J24" s="4">
        <v>100</v>
      </c>
      <c r="K24" s="4">
        <v>100</v>
      </c>
      <c r="L24" s="33">
        <f t="shared" si="0"/>
        <v>100</v>
      </c>
      <c r="M24" s="14">
        <f>'PENULISAN LAPORAN'!N23</f>
        <v>77.0625</v>
      </c>
      <c r="N24" s="35">
        <v>78</v>
      </c>
      <c r="O24" s="35">
        <v>78</v>
      </c>
      <c r="P24" s="35">
        <v>78</v>
      </c>
      <c r="Q24" s="35">
        <v>78</v>
      </c>
      <c r="R24" s="35">
        <v>78</v>
      </c>
      <c r="S24" s="35">
        <v>78</v>
      </c>
      <c r="T24" s="35">
        <v>78</v>
      </c>
      <c r="U24" s="35">
        <v>78</v>
      </c>
      <c r="V24" s="14">
        <f t="shared" si="1"/>
        <v>78</v>
      </c>
      <c r="W24" s="4">
        <v>70</v>
      </c>
      <c r="X24" s="4">
        <v>30</v>
      </c>
      <c r="Y24" s="4">
        <v>70</v>
      </c>
      <c r="Z24" s="4">
        <v>70</v>
      </c>
      <c r="AA24" s="4">
        <v>70</v>
      </c>
      <c r="AB24" s="4">
        <v>30</v>
      </c>
      <c r="AC24" s="4">
        <v>60</v>
      </c>
      <c r="AD24" s="4">
        <v>30</v>
      </c>
      <c r="AE24" s="4">
        <f t="shared" si="2"/>
        <v>53.75</v>
      </c>
      <c r="AF24" s="29">
        <f>'KEMAMPUAN PRAKTIKUM'!H24</f>
        <v>84</v>
      </c>
      <c r="AG24" s="29">
        <f>'KEMAMPUAN PRAKTIKUM'!M24</f>
        <v>81</v>
      </c>
      <c r="AH24" s="29">
        <f>'KEMAMPUAN PRAKTIKUM'!R24</f>
        <v>87.000000000000014</v>
      </c>
      <c r="AI24" s="29">
        <f>'KEMAMPUAN PRAKTIKUM'!W24</f>
        <v>87.000000000000014</v>
      </c>
      <c r="AJ24" s="29">
        <f>'KEMAMPUAN PRAKTIKUM'!AB24</f>
        <v>75</v>
      </c>
      <c r="AK24" s="29">
        <f>'KEMAMPUAN PRAKTIKUM'!AG24</f>
        <v>55.5</v>
      </c>
      <c r="AL24" s="29">
        <f>'KEMAMPUAN PRAKTIKUM'!AL24</f>
        <v>57.000000000000007</v>
      </c>
      <c r="AM24" s="29">
        <f>'KEMAMPUAN PRAKTIKUM'!AQ24</f>
        <v>45</v>
      </c>
      <c r="AN24" s="14">
        <f t="shared" si="3"/>
        <v>71.4375</v>
      </c>
    </row>
    <row r="25" spans="1:40">
      <c r="A25" s="4">
        <f>'INPUT DAFTAR PESERTA'!A23</f>
        <v>20</v>
      </c>
      <c r="B25" s="4">
        <f>'INPUT DAFTAR PESERTA'!B23</f>
        <v>2509076019</v>
      </c>
      <c r="C25" s="6" t="str">
        <f>'INPUT DAFTAR PESERTA'!C23</f>
        <v>Rava Erika Putri</v>
      </c>
      <c r="D25" s="4">
        <v>100</v>
      </c>
      <c r="E25" s="4">
        <v>100</v>
      </c>
      <c r="F25" s="4">
        <v>100</v>
      </c>
      <c r="G25" s="4">
        <v>100</v>
      </c>
      <c r="H25" s="4">
        <v>100</v>
      </c>
      <c r="I25" s="4">
        <v>100</v>
      </c>
      <c r="J25" s="4">
        <v>100</v>
      </c>
      <c r="K25" s="4">
        <v>100</v>
      </c>
      <c r="L25" s="33">
        <f t="shared" si="0"/>
        <v>100</v>
      </c>
      <c r="M25" s="14">
        <f>'PENULISAN LAPORAN'!N24</f>
        <v>77.625</v>
      </c>
      <c r="N25" s="35">
        <v>94</v>
      </c>
      <c r="O25" s="35">
        <v>94</v>
      </c>
      <c r="P25" s="35">
        <v>94</v>
      </c>
      <c r="Q25" s="35">
        <v>94</v>
      </c>
      <c r="R25" s="35">
        <v>94</v>
      </c>
      <c r="S25" s="35">
        <v>94</v>
      </c>
      <c r="T25" s="35">
        <v>94</v>
      </c>
      <c r="U25" s="35">
        <v>94</v>
      </c>
      <c r="V25" s="14">
        <f t="shared" si="1"/>
        <v>94</v>
      </c>
      <c r="W25" s="4">
        <v>70</v>
      </c>
      <c r="X25" s="4">
        <v>70</v>
      </c>
      <c r="Y25" s="4">
        <v>70</v>
      </c>
      <c r="Z25" s="4">
        <v>70</v>
      </c>
      <c r="AA25" s="4">
        <v>70</v>
      </c>
      <c r="AB25" s="4">
        <v>30</v>
      </c>
      <c r="AC25" s="4">
        <v>60</v>
      </c>
      <c r="AD25" s="4">
        <v>30</v>
      </c>
      <c r="AE25" s="4">
        <f t="shared" si="2"/>
        <v>58.75</v>
      </c>
      <c r="AF25" s="29">
        <f>'KEMAMPUAN PRAKTIKUM'!H25</f>
        <v>69</v>
      </c>
      <c r="AG25" s="29">
        <f>'KEMAMPUAN PRAKTIKUM'!M25</f>
        <v>81</v>
      </c>
      <c r="AH25" s="29">
        <f>'KEMAMPUAN PRAKTIKUM'!R25</f>
        <v>72</v>
      </c>
      <c r="AI25" s="29">
        <f>'KEMAMPUAN PRAKTIKUM'!W25</f>
        <v>87.000000000000014</v>
      </c>
      <c r="AJ25" s="29">
        <f>'KEMAMPUAN PRAKTIKUM'!AB25</f>
        <v>75</v>
      </c>
      <c r="AK25" s="29">
        <f>'KEMAMPUAN PRAKTIKUM'!AG25</f>
        <v>45</v>
      </c>
      <c r="AL25" s="29">
        <f>'KEMAMPUAN PRAKTIKUM'!AL25</f>
        <v>57.000000000000007</v>
      </c>
      <c r="AM25" s="29">
        <f>'KEMAMPUAN PRAKTIKUM'!AQ25</f>
        <v>45</v>
      </c>
      <c r="AN25" s="14">
        <f t="shared" si="3"/>
        <v>66.375</v>
      </c>
    </row>
    <row r="26" spans="1:40">
      <c r="A26" s="4">
        <f>'INPUT DAFTAR PESERTA'!A24</f>
        <v>21</v>
      </c>
      <c r="B26" s="4">
        <f>'INPUT DAFTAR PESERTA'!B24</f>
        <v>2509076020</v>
      </c>
      <c r="C26" s="6" t="str">
        <f>'INPUT DAFTAR PESERTA'!C24</f>
        <v>Ikhsan Nur</v>
      </c>
      <c r="D26" s="4">
        <v>100</v>
      </c>
      <c r="E26" s="4">
        <v>100</v>
      </c>
      <c r="F26" s="4">
        <v>100</v>
      </c>
      <c r="G26" s="4">
        <v>100</v>
      </c>
      <c r="H26" s="4">
        <v>100</v>
      </c>
      <c r="I26" s="4">
        <v>100</v>
      </c>
      <c r="J26" s="4">
        <v>100</v>
      </c>
      <c r="K26" s="4">
        <v>100</v>
      </c>
      <c r="L26" s="33">
        <f t="shared" si="0"/>
        <v>100</v>
      </c>
      <c r="M26" s="14">
        <f>'PENULISAN LAPORAN'!N25</f>
        <v>84.9375</v>
      </c>
      <c r="N26" s="35">
        <v>62</v>
      </c>
      <c r="O26" s="35">
        <v>62</v>
      </c>
      <c r="P26" s="35">
        <v>62</v>
      </c>
      <c r="Q26" s="35">
        <v>62</v>
      </c>
      <c r="R26" s="35">
        <v>62</v>
      </c>
      <c r="S26" s="35">
        <v>62</v>
      </c>
      <c r="T26" s="35">
        <v>62</v>
      </c>
      <c r="U26" s="35">
        <v>62</v>
      </c>
      <c r="V26" s="14">
        <f t="shared" si="1"/>
        <v>62</v>
      </c>
      <c r="W26" s="4">
        <v>70</v>
      </c>
      <c r="X26" s="4">
        <v>80</v>
      </c>
      <c r="Y26" s="4">
        <v>70</v>
      </c>
      <c r="Z26" s="4">
        <v>80</v>
      </c>
      <c r="AA26" s="4">
        <v>70</v>
      </c>
      <c r="AB26" s="4">
        <v>30</v>
      </c>
      <c r="AC26" s="4">
        <v>70</v>
      </c>
      <c r="AD26" s="4">
        <v>70</v>
      </c>
      <c r="AE26" s="4">
        <f t="shared" si="2"/>
        <v>67.5</v>
      </c>
      <c r="AF26" s="29">
        <f>'KEMAMPUAN PRAKTIKUM'!H26</f>
        <v>90</v>
      </c>
      <c r="AG26" s="29">
        <f>'KEMAMPUAN PRAKTIKUM'!M26</f>
        <v>81</v>
      </c>
      <c r="AH26" s="29">
        <f>'KEMAMPUAN PRAKTIKUM'!R26</f>
        <v>81</v>
      </c>
      <c r="AI26" s="29">
        <f>'KEMAMPUAN PRAKTIKUM'!W26</f>
        <v>87.000000000000014</v>
      </c>
      <c r="AJ26" s="29">
        <f>'KEMAMPUAN PRAKTIKUM'!AB26</f>
        <v>75</v>
      </c>
      <c r="AK26" s="29">
        <f>'KEMAMPUAN PRAKTIKUM'!AG26</f>
        <v>52.5</v>
      </c>
      <c r="AL26" s="29">
        <f>'KEMAMPUAN PRAKTIKUM'!AL26</f>
        <v>57.000000000000007</v>
      </c>
      <c r="AM26" s="29">
        <f>'KEMAMPUAN PRAKTIKUM'!AQ26</f>
        <v>45</v>
      </c>
      <c r="AN26" s="14">
        <f t="shared" si="3"/>
        <v>71.0625</v>
      </c>
    </row>
    <row r="27" spans="1:40">
      <c r="A27" s="4">
        <f>'INPUT DAFTAR PESERTA'!A25</f>
        <v>22</v>
      </c>
      <c r="B27" s="4">
        <f>'INPUT DAFTAR PESERTA'!B25</f>
        <v>2509076021</v>
      </c>
      <c r="C27" s="6" t="str">
        <f>'INPUT DAFTAR PESERTA'!C25</f>
        <v>Fahri Fadil Afif</v>
      </c>
      <c r="D27" s="4">
        <v>100</v>
      </c>
      <c r="E27" s="4">
        <v>100</v>
      </c>
      <c r="F27" s="4">
        <v>100</v>
      </c>
      <c r="G27" s="4">
        <v>100</v>
      </c>
      <c r="H27" s="4">
        <v>100</v>
      </c>
      <c r="I27" s="4">
        <v>100</v>
      </c>
      <c r="J27" s="4">
        <v>100</v>
      </c>
      <c r="K27" s="4">
        <v>100</v>
      </c>
      <c r="L27" s="33">
        <f t="shared" si="0"/>
        <v>100</v>
      </c>
      <c r="M27" s="14">
        <f>'PENULISAN LAPORAN'!N26</f>
        <v>67.875</v>
      </c>
      <c r="N27" s="35">
        <v>42</v>
      </c>
      <c r="O27" s="35">
        <v>42</v>
      </c>
      <c r="P27" s="35">
        <v>42</v>
      </c>
      <c r="Q27" s="35">
        <v>42</v>
      </c>
      <c r="R27" s="35">
        <v>42</v>
      </c>
      <c r="S27" s="35">
        <v>42</v>
      </c>
      <c r="T27" s="35">
        <v>42</v>
      </c>
      <c r="U27" s="35">
        <v>42</v>
      </c>
      <c r="V27" s="14">
        <f t="shared" si="1"/>
        <v>42</v>
      </c>
      <c r="W27" s="4">
        <v>70</v>
      </c>
      <c r="X27" s="4">
        <v>70</v>
      </c>
      <c r="Y27" s="4">
        <v>80</v>
      </c>
      <c r="Z27" s="4">
        <v>70</v>
      </c>
      <c r="AA27" s="4">
        <v>70</v>
      </c>
      <c r="AB27" s="4">
        <v>30</v>
      </c>
      <c r="AC27" s="4">
        <v>30</v>
      </c>
      <c r="AD27" s="4">
        <v>30</v>
      </c>
      <c r="AE27" s="4">
        <f t="shared" si="2"/>
        <v>56.25</v>
      </c>
      <c r="AF27" s="29">
        <f>'KEMAMPUAN PRAKTIKUM'!H27</f>
        <v>60.000000000000007</v>
      </c>
      <c r="AG27" s="29">
        <f>'KEMAMPUAN PRAKTIKUM'!M27</f>
        <v>51</v>
      </c>
      <c r="AH27" s="29">
        <f>'KEMAMPUAN PRAKTIKUM'!R27</f>
        <v>72</v>
      </c>
      <c r="AI27" s="29">
        <f>'KEMAMPUAN PRAKTIKUM'!W27</f>
        <v>87.000000000000014</v>
      </c>
      <c r="AJ27" s="29">
        <f>'KEMAMPUAN PRAKTIKUM'!AB27</f>
        <v>75</v>
      </c>
      <c r="AK27" s="29">
        <f>'KEMAMPUAN PRAKTIKUM'!AG27</f>
        <v>45</v>
      </c>
      <c r="AL27" s="29">
        <f>'KEMAMPUAN PRAKTIKUM'!AL27</f>
        <v>57.000000000000007</v>
      </c>
      <c r="AM27" s="29">
        <f>'KEMAMPUAN PRAKTIKUM'!AQ27</f>
        <v>45</v>
      </c>
      <c r="AN27" s="14">
        <f t="shared" si="3"/>
        <v>61.5</v>
      </c>
    </row>
    <row r="28" spans="1:40">
      <c r="A28" s="4">
        <f>'INPUT DAFTAR PESERTA'!A26</f>
        <v>23</v>
      </c>
      <c r="B28" s="4">
        <f>'INPUT DAFTAR PESERTA'!B26</f>
        <v>2509076022</v>
      </c>
      <c r="C28" s="6" t="str">
        <f>'INPUT DAFTAR PESERTA'!C26</f>
        <v>Andika Yanuardani</v>
      </c>
      <c r="D28" s="4">
        <v>100</v>
      </c>
      <c r="E28" s="4">
        <v>100</v>
      </c>
      <c r="F28" s="4">
        <v>100</v>
      </c>
      <c r="G28" s="4">
        <v>100</v>
      </c>
      <c r="H28" s="4">
        <v>100</v>
      </c>
      <c r="I28" s="4">
        <v>100</v>
      </c>
      <c r="J28" s="4">
        <v>100</v>
      </c>
      <c r="K28" s="4">
        <v>100</v>
      </c>
      <c r="L28" s="33">
        <f t="shared" si="0"/>
        <v>100</v>
      </c>
      <c r="M28" s="14">
        <f>'PENULISAN LAPORAN'!N27</f>
        <v>82.8125</v>
      </c>
      <c r="N28" s="35">
        <v>70</v>
      </c>
      <c r="O28" s="35">
        <v>70</v>
      </c>
      <c r="P28" s="35">
        <v>70</v>
      </c>
      <c r="Q28" s="35">
        <v>70</v>
      </c>
      <c r="R28" s="35">
        <v>70</v>
      </c>
      <c r="S28" s="35">
        <v>70</v>
      </c>
      <c r="T28" s="35">
        <v>70</v>
      </c>
      <c r="U28" s="35">
        <v>70</v>
      </c>
      <c r="V28" s="14">
        <f t="shared" si="1"/>
        <v>70</v>
      </c>
      <c r="W28" s="4">
        <v>70</v>
      </c>
      <c r="X28" s="4">
        <v>70</v>
      </c>
      <c r="Y28" s="4">
        <v>80</v>
      </c>
      <c r="Z28" s="4">
        <v>70</v>
      </c>
      <c r="AA28" s="4">
        <v>70</v>
      </c>
      <c r="AB28" s="4">
        <v>70</v>
      </c>
      <c r="AC28" s="4">
        <v>60</v>
      </c>
      <c r="AD28" s="4">
        <v>80</v>
      </c>
      <c r="AE28" s="4">
        <f t="shared" si="2"/>
        <v>71.25</v>
      </c>
      <c r="AF28" s="29">
        <f>'KEMAMPUAN PRAKTIKUM'!H28</f>
        <v>87.000000000000014</v>
      </c>
      <c r="AG28" s="29">
        <f>'KEMAMPUAN PRAKTIKUM'!M28</f>
        <v>90</v>
      </c>
      <c r="AH28" s="29">
        <f>'KEMAMPUAN PRAKTIKUM'!R28</f>
        <v>87.000000000000014</v>
      </c>
      <c r="AI28" s="29">
        <f>'KEMAMPUAN PRAKTIKUM'!W28</f>
        <v>87.000000000000014</v>
      </c>
      <c r="AJ28" s="29">
        <f>'KEMAMPUAN PRAKTIKUM'!AB28</f>
        <v>75</v>
      </c>
      <c r="AK28" s="29">
        <f>'KEMAMPUAN PRAKTIKUM'!AG28</f>
        <v>45</v>
      </c>
      <c r="AL28" s="29">
        <f>'KEMAMPUAN PRAKTIKUM'!AL28</f>
        <v>57.000000000000007</v>
      </c>
      <c r="AM28" s="29">
        <f>'KEMAMPUAN PRAKTIKUM'!AQ28</f>
        <v>72</v>
      </c>
      <c r="AN28" s="14">
        <f t="shared" si="3"/>
        <v>75</v>
      </c>
    </row>
    <row r="29" spans="1:40">
      <c r="A29" s="4">
        <f>'INPUT DAFTAR PESERTA'!A27</f>
        <v>24</v>
      </c>
      <c r="B29" s="4">
        <f>'INPUT DAFTAR PESERTA'!B27</f>
        <v>2509076023</v>
      </c>
      <c r="C29" s="6" t="str">
        <f>'INPUT DAFTAR PESERTA'!C27</f>
        <v>Muhammad Hernanditya Rizky Susanto</v>
      </c>
      <c r="D29" s="4">
        <v>100</v>
      </c>
      <c r="E29" s="4">
        <v>100</v>
      </c>
      <c r="F29" s="4">
        <v>100</v>
      </c>
      <c r="G29" s="4">
        <v>100</v>
      </c>
      <c r="H29" s="4">
        <v>100</v>
      </c>
      <c r="I29" s="4">
        <v>100</v>
      </c>
      <c r="J29" s="4">
        <v>100</v>
      </c>
      <c r="K29" s="4">
        <v>100</v>
      </c>
      <c r="L29" s="33">
        <f t="shared" si="0"/>
        <v>100</v>
      </c>
      <c r="M29" s="14">
        <f>'PENULISAN LAPORAN'!N28</f>
        <v>72.5625</v>
      </c>
      <c r="N29" s="35">
        <v>90</v>
      </c>
      <c r="O29" s="35">
        <v>90</v>
      </c>
      <c r="P29" s="35">
        <v>90</v>
      </c>
      <c r="Q29" s="35">
        <v>90</v>
      </c>
      <c r="R29" s="35">
        <v>90</v>
      </c>
      <c r="S29" s="35">
        <v>90</v>
      </c>
      <c r="T29" s="35">
        <v>90</v>
      </c>
      <c r="U29" s="35">
        <v>90</v>
      </c>
      <c r="V29" s="14">
        <f t="shared" si="1"/>
        <v>90</v>
      </c>
      <c r="W29" s="4">
        <v>70</v>
      </c>
      <c r="X29" s="4">
        <v>60</v>
      </c>
      <c r="Y29" s="4">
        <v>80</v>
      </c>
      <c r="Z29" s="4">
        <v>70</v>
      </c>
      <c r="AA29" s="4">
        <v>70</v>
      </c>
      <c r="AB29" s="4">
        <v>70</v>
      </c>
      <c r="AC29" s="4">
        <v>30</v>
      </c>
      <c r="AD29" s="4">
        <v>80</v>
      </c>
      <c r="AE29" s="4">
        <f t="shared" si="2"/>
        <v>66.25</v>
      </c>
      <c r="AF29" s="29">
        <f>'KEMAMPUAN PRAKTIKUM'!H29</f>
        <v>60.000000000000007</v>
      </c>
      <c r="AG29" s="29">
        <f>'KEMAMPUAN PRAKTIKUM'!M29</f>
        <v>60.000000000000007</v>
      </c>
      <c r="AH29" s="29">
        <f>'KEMAMPUAN PRAKTIKUM'!R29</f>
        <v>81</v>
      </c>
      <c r="AI29" s="29">
        <f>'KEMAMPUAN PRAKTIKUM'!W29</f>
        <v>87.000000000000014</v>
      </c>
      <c r="AJ29" s="29">
        <f>'KEMAMPUAN PRAKTIKUM'!AB29</f>
        <v>75</v>
      </c>
      <c r="AK29" s="29">
        <f>'KEMAMPUAN PRAKTIKUM'!AG29</f>
        <v>45</v>
      </c>
      <c r="AL29" s="29">
        <f>'KEMAMPUAN PRAKTIKUM'!AL29</f>
        <v>87.000000000000014</v>
      </c>
      <c r="AM29" s="29">
        <f>'KEMAMPUAN PRAKTIKUM'!AQ29</f>
        <v>72</v>
      </c>
      <c r="AN29" s="14">
        <f t="shared" si="3"/>
        <v>70.875</v>
      </c>
    </row>
    <row r="30" spans="1:40">
      <c r="A30" s="4">
        <f>'INPUT DAFTAR PESERTA'!A28</f>
        <v>25</v>
      </c>
      <c r="B30" s="4">
        <f>'INPUT DAFTAR PESERTA'!B28</f>
        <v>2509076024</v>
      </c>
      <c r="C30" s="6" t="str">
        <f>'INPUT DAFTAR PESERTA'!C28</f>
        <v>Febrianto Paa Linthin</v>
      </c>
      <c r="D30" s="4">
        <v>100</v>
      </c>
      <c r="E30" s="4">
        <v>100</v>
      </c>
      <c r="F30" s="4">
        <v>100</v>
      </c>
      <c r="G30" s="4">
        <v>100</v>
      </c>
      <c r="H30" s="4">
        <v>100</v>
      </c>
      <c r="I30" s="4">
        <v>100</v>
      </c>
      <c r="J30" s="4">
        <v>100</v>
      </c>
      <c r="K30" s="4">
        <v>100</v>
      </c>
      <c r="L30" s="33">
        <f t="shared" si="0"/>
        <v>100</v>
      </c>
      <c r="M30" s="14">
        <f>'PENULISAN LAPORAN'!N29</f>
        <v>81.6875</v>
      </c>
      <c r="N30" s="35">
        <v>88</v>
      </c>
      <c r="O30" s="35">
        <v>88</v>
      </c>
      <c r="P30" s="35">
        <v>88</v>
      </c>
      <c r="Q30" s="35">
        <v>88</v>
      </c>
      <c r="R30" s="35">
        <v>88</v>
      </c>
      <c r="S30" s="35">
        <v>88</v>
      </c>
      <c r="T30" s="35">
        <v>88</v>
      </c>
      <c r="U30" s="35">
        <v>88</v>
      </c>
      <c r="V30" s="14">
        <f t="shared" si="1"/>
        <v>88</v>
      </c>
      <c r="W30" s="4">
        <v>70</v>
      </c>
      <c r="X30" s="4">
        <v>70</v>
      </c>
      <c r="Y30" s="4">
        <v>80</v>
      </c>
      <c r="Z30" s="4">
        <v>70</v>
      </c>
      <c r="AA30" s="4">
        <v>70</v>
      </c>
      <c r="AB30" s="4">
        <v>70</v>
      </c>
      <c r="AC30" s="4">
        <v>60</v>
      </c>
      <c r="AD30" s="4">
        <v>70</v>
      </c>
      <c r="AE30" s="4">
        <f t="shared" si="2"/>
        <v>70</v>
      </c>
      <c r="AF30" s="29">
        <f>'KEMAMPUAN PRAKTIKUM'!H30</f>
        <v>90</v>
      </c>
      <c r="AG30" s="29">
        <f>'KEMAMPUAN PRAKTIKUM'!M30</f>
        <v>90</v>
      </c>
      <c r="AH30" s="29">
        <f>'KEMAMPUAN PRAKTIKUM'!R30</f>
        <v>87.000000000000014</v>
      </c>
      <c r="AI30" s="29">
        <f>'KEMAMPUAN PRAKTIKUM'!W30</f>
        <v>87.000000000000014</v>
      </c>
      <c r="AJ30" s="29">
        <f>'KEMAMPUAN PRAKTIKUM'!AB30</f>
        <v>75</v>
      </c>
      <c r="AK30" s="29">
        <f>'KEMAMPUAN PRAKTIKUM'!AG30</f>
        <v>52.5</v>
      </c>
      <c r="AL30" s="29">
        <f>'KEMAMPUAN PRAKTIKUM'!AL30</f>
        <v>57.000000000000007</v>
      </c>
      <c r="AM30" s="29">
        <f>'KEMAMPUAN PRAKTIKUM'!AQ30</f>
        <v>87.000000000000014</v>
      </c>
      <c r="AN30" s="14">
        <f t="shared" si="3"/>
        <v>78.1875</v>
      </c>
    </row>
    <row r="31" spans="1:40">
      <c r="A31" s="4">
        <f>'INPUT DAFTAR PESERTA'!A29</f>
        <v>26</v>
      </c>
      <c r="B31" s="4">
        <f>'INPUT DAFTAR PESERTA'!B29</f>
        <v>2509076025</v>
      </c>
      <c r="C31" s="6" t="str">
        <f>'INPUT DAFTAR PESERTA'!C29</f>
        <v>Sandriko Pebrian Silaen</v>
      </c>
      <c r="D31" s="4">
        <v>100</v>
      </c>
      <c r="E31" s="4">
        <v>100</v>
      </c>
      <c r="F31" s="4">
        <v>100</v>
      </c>
      <c r="G31" s="4">
        <v>100</v>
      </c>
      <c r="H31" s="4">
        <v>100</v>
      </c>
      <c r="I31" s="4">
        <v>100</v>
      </c>
      <c r="J31" s="4">
        <v>100</v>
      </c>
      <c r="K31" s="4">
        <v>100</v>
      </c>
      <c r="L31" s="33">
        <f t="shared" si="0"/>
        <v>100</v>
      </c>
      <c r="M31" s="14">
        <f>'PENULISAN LAPORAN'!N30</f>
        <v>76.5</v>
      </c>
      <c r="N31" s="35">
        <v>78</v>
      </c>
      <c r="O31" s="35">
        <v>78</v>
      </c>
      <c r="P31" s="35">
        <v>78</v>
      </c>
      <c r="Q31" s="35">
        <v>78</v>
      </c>
      <c r="R31" s="35">
        <v>78</v>
      </c>
      <c r="S31" s="35">
        <v>78</v>
      </c>
      <c r="T31" s="35">
        <v>78</v>
      </c>
      <c r="U31" s="35">
        <v>78</v>
      </c>
      <c r="V31" s="14">
        <f t="shared" si="1"/>
        <v>78</v>
      </c>
      <c r="W31" s="4">
        <v>60</v>
      </c>
      <c r="X31" s="4">
        <v>70</v>
      </c>
      <c r="Y31" s="4">
        <v>70</v>
      </c>
      <c r="Z31" s="4">
        <v>70</v>
      </c>
      <c r="AA31" s="4">
        <v>70</v>
      </c>
      <c r="AB31" s="4">
        <v>70</v>
      </c>
      <c r="AC31" s="4">
        <v>60</v>
      </c>
      <c r="AD31" s="4">
        <v>80</v>
      </c>
      <c r="AE31" s="4">
        <f t="shared" si="2"/>
        <v>68.75</v>
      </c>
      <c r="AF31" s="29">
        <f>'KEMAMPUAN PRAKTIKUM'!H31</f>
        <v>90</v>
      </c>
      <c r="AG31" s="29">
        <f>'KEMAMPUAN PRAKTIKUM'!M31</f>
        <v>75.000000000000014</v>
      </c>
      <c r="AH31" s="29">
        <f>'KEMAMPUAN PRAKTIKUM'!R31</f>
        <v>90</v>
      </c>
      <c r="AI31" s="29">
        <f>'KEMAMPUAN PRAKTIKUM'!W31</f>
        <v>87.000000000000014</v>
      </c>
      <c r="AJ31" s="29">
        <f>'KEMAMPUAN PRAKTIKUM'!AB31</f>
        <v>75</v>
      </c>
      <c r="AK31" s="29">
        <f>'KEMAMPUAN PRAKTIKUM'!AG31</f>
        <v>45</v>
      </c>
      <c r="AL31" s="29">
        <f>'KEMAMPUAN PRAKTIKUM'!AL31</f>
        <v>57.000000000000007</v>
      </c>
      <c r="AM31" s="29">
        <f>'KEMAMPUAN PRAKTIKUM'!AQ31</f>
        <v>72</v>
      </c>
      <c r="AN31" s="14">
        <f t="shared" si="3"/>
        <v>73.875</v>
      </c>
    </row>
    <row r="32" spans="1:40">
      <c r="A32" s="4">
        <f>'INPUT DAFTAR PESERTA'!A30</f>
        <v>27</v>
      </c>
      <c r="B32" s="4">
        <f>'INPUT DAFTAR PESERTA'!B30</f>
        <v>2509076026</v>
      </c>
      <c r="C32" s="6" t="str">
        <f>'INPUT DAFTAR PESERTA'!C30</f>
        <v>Alifka Pasha Assiddiq</v>
      </c>
      <c r="D32" s="4">
        <v>100</v>
      </c>
      <c r="E32" s="4">
        <v>100</v>
      </c>
      <c r="F32" s="4">
        <v>100</v>
      </c>
      <c r="G32" s="4">
        <v>100</v>
      </c>
      <c r="H32" s="4">
        <v>100</v>
      </c>
      <c r="I32" s="4">
        <v>80</v>
      </c>
      <c r="J32" s="4">
        <v>100</v>
      </c>
      <c r="K32" s="4">
        <v>100</v>
      </c>
      <c r="L32" s="33">
        <f t="shared" si="0"/>
        <v>97.5</v>
      </c>
      <c r="M32" s="14">
        <f>'PENULISAN LAPORAN'!N31</f>
        <v>71.381249999999994</v>
      </c>
      <c r="N32" s="35">
        <v>94</v>
      </c>
      <c r="O32" s="35">
        <v>94</v>
      </c>
      <c r="P32" s="35">
        <v>94</v>
      </c>
      <c r="Q32" s="35">
        <v>94</v>
      </c>
      <c r="R32" s="35">
        <v>94</v>
      </c>
      <c r="S32" s="35">
        <v>94</v>
      </c>
      <c r="T32" s="35">
        <v>94</v>
      </c>
      <c r="U32" s="35">
        <v>94</v>
      </c>
      <c r="V32" s="14">
        <f t="shared" si="1"/>
        <v>94</v>
      </c>
      <c r="W32" s="4">
        <v>60</v>
      </c>
      <c r="X32" s="4">
        <v>30</v>
      </c>
      <c r="Y32" s="4">
        <v>80</v>
      </c>
      <c r="Z32" s="4">
        <v>70</v>
      </c>
      <c r="AA32" s="4">
        <v>70</v>
      </c>
      <c r="AB32" s="4">
        <v>30</v>
      </c>
      <c r="AC32" s="4">
        <v>30</v>
      </c>
      <c r="AD32" s="4">
        <v>80</v>
      </c>
      <c r="AE32" s="4">
        <f t="shared" si="2"/>
        <v>56.25</v>
      </c>
      <c r="AF32" s="29">
        <f>'KEMAMPUAN PRAKTIKUM'!H32</f>
        <v>75.000000000000014</v>
      </c>
      <c r="AG32" s="29">
        <f>'KEMAMPUAN PRAKTIKUM'!M32</f>
        <v>90</v>
      </c>
      <c r="AH32" s="29">
        <f>'KEMAMPUAN PRAKTIKUM'!R32</f>
        <v>90</v>
      </c>
      <c r="AI32" s="29">
        <f>'KEMAMPUAN PRAKTIKUM'!W32</f>
        <v>90</v>
      </c>
      <c r="AJ32" s="29">
        <f>'KEMAMPUAN PRAKTIKUM'!AB32</f>
        <v>60.000000000000007</v>
      </c>
      <c r="AK32" s="29">
        <f>'KEMAMPUAN PRAKTIKUM'!AG32</f>
        <v>48</v>
      </c>
      <c r="AL32" s="29">
        <f>'KEMAMPUAN PRAKTIKUM'!AL32</f>
        <v>72</v>
      </c>
      <c r="AM32" s="29">
        <f>'KEMAMPUAN PRAKTIKUM'!AQ32</f>
        <v>87.000000000000014</v>
      </c>
      <c r="AN32" s="14">
        <f t="shared" si="3"/>
        <v>76.5</v>
      </c>
    </row>
    <row r="33" spans="1:40">
      <c r="A33" s="4">
        <f>'INPUT DAFTAR PESERTA'!A31</f>
        <v>28</v>
      </c>
      <c r="B33" s="4">
        <f>'INPUT DAFTAR PESERTA'!B31</f>
        <v>2509076027</v>
      </c>
      <c r="C33" s="6" t="str">
        <f>'INPUT DAFTAR PESERTA'!C31</f>
        <v>Firaas Nur Atsaal</v>
      </c>
      <c r="D33" s="4">
        <v>100</v>
      </c>
      <c r="E33" s="4">
        <v>100</v>
      </c>
      <c r="F33" s="4">
        <v>100</v>
      </c>
      <c r="G33" s="4">
        <v>100</v>
      </c>
      <c r="H33" s="4">
        <v>100</v>
      </c>
      <c r="I33" s="4">
        <v>100</v>
      </c>
      <c r="J33" s="4">
        <v>100</v>
      </c>
      <c r="K33" s="4">
        <v>100</v>
      </c>
      <c r="L33" s="33">
        <f t="shared" si="0"/>
        <v>100</v>
      </c>
      <c r="M33" s="14">
        <f>'PENULISAN LAPORAN'!N32</f>
        <v>84.25</v>
      </c>
      <c r="N33" s="35">
        <v>78</v>
      </c>
      <c r="O33" s="35">
        <v>78</v>
      </c>
      <c r="P33" s="35">
        <v>78</v>
      </c>
      <c r="Q33" s="35">
        <v>78</v>
      </c>
      <c r="R33" s="35">
        <v>78</v>
      </c>
      <c r="S33" s="35">
        <v>78</v>
      </c>
      <c r="T33" s="35">
        <v>78</v>
      </c>
      <c r="U33" s="35">
        <v>78</v>
      </c>
      <c r="V33" s="14">
        <f t="shared" si="1"/>
        <v>78</v>
      </c>
      <c r="W33" s="4">
        <v>60</v>
      </c>
      <c r="X33" s="4">
        <v>80</v>
      </c>
      <c r="Y33" s="4">
        <v>70</v>
      </c>
      <c r="Z33" s="4">
        <v>70</v>
      </c>
      <c r="AA33" s="4">
        <v>70</v>
      </c>
      <c r="AB33" s="4">
        <v>70</v>
      </c>
      <c r="AC33" s="4">
        <v>60</v>
      </c>
      <c r="AD33" s="4">
        <v>80</v>
      </c>
      <c r="AE33" s="4">
        <f t="shared" si="2"/>
        <v>70</v>
      </c>
      <c r="AF33" s="29">
        <f>'KEMAMPUAN PRAKTIKUM'!H33</f>
        <v>75.000000000000014</v>
      </c>
      <c r="AG33" s="29">
        <f>'KEMAMPUAN PRAKTIKUM'!M33</f>
        <v>90</v>
      </c>
      <c r="AH33" s="29">
        <f>'KEMAMPUAN PRAKTIKUM'!R33</f>
        <v>90</v>
      </c>
      <c r="AI33" s="29">
        <f>'KEMAMPUAN PRAKTIKUM'!W33</f>
        <v>90</v>
      </c>
      <c r="AJ33" s="29">
        <f>'KEMAMPUAN PRAKTIKUM'!AB33</f>
        <v>78</v>
      </c>
      <c r="AK33" s="29">
        <f>'KEMAMPUAN PRAKTIKUM'!AG33</f>
        <v>70.500000000000014</v>
      </c>
      <c r="AL33" s="29">
        <f>'KEMAMPUAN PRAKTIKUM'!AL33</f>
        <v>72</v>
      </c>
      <c r="AM33" s="29">
        <f>'KEMAMPUAN PRAKTIKUM'!AQ33</f>
        <v>87.000000000000014</v>
      </c>
      <c r="AN33" s="14">
        <f t="shared" si="3"/>
        <v>81.5625</v>
      </c>
    </row>
    <row r="34" spans="1:40">
      <c r="A34" s="4">
        <f>'INPUT DAFTAR PESERTA'!A32</f>
        <v>29</v>
      </c>
      <c r="B34" s="4">
        <f>'INPUT DAFTAR PESERTA'!B32</f>
        <v>2509076028</v>
      </c>
      <c r="C34" s="6" t="str">
        <f>'INPUT DAFTAR PESERTA'!C32</f>
        <v>M. Davy Ananda</v>
      </c>
      <c r="D34" s="4">
        <v>100</v>
      </c>
      <c r="E34" s="4">
        <v>100</v>
      </c>
      <c r="F34" s="4">
        <v>100</v>
      </c>
      <c r="G34" s="4">
        <v>100</v>
      </c>
      <c r="H34" s="4">
        <v>100</v>
      </c>
      <c r="I34" s="4">
        <v>100</v>
      </c>
      <c r="J34" s="4">
        <v>100</v>
      </c>
      <c r="K34" s="4">
        <v>100</v>
      </c>
      <c r="L34" s="33">
        <f t="shared" si="0"/>
        <v>100</v>
      </c>
      <c r="M34" s="14">
        <f>'PENULISAN LAPORAN'!N33</f>
        <v>73.65625</v>
      </c>
      <c r="N34" s="35">
        <v>82</v>
      </c>
      <c r="O34" s="35">
        <v>82</v>
      </c>
      <c r="P34" s="35">
        <v>82</v>
      </c>
      <c r="Q34" s="35">
        <v>82</v>
      </c>
      <c r="R34" s="35">
        <v>82</v>
      </c>
      <c r="S34" s="35">
        <v>82</v>
      </c>
      <c r="T34" s="35">
        <v>82</v>
      </c>
      <c r="U34" s="35">
        <v>82</v>
      </c>
      <c r="V34" s="14">
        <f t="shared" si="1"/>
        <v>82</v>
      </c>
      <c r="W34" s="4">
        <v>60</v>
      </c>
      <c r="X34" s="4">
        <v>30</v>
      </c>
      <c r="Y34" s="4">
        <v>70</v>
      </c>
      <c r="Z34" s="4">
        <v>70</v>
      </c>
      <c r="AA34" s="4">
        <v>70</v>
      </c>
      <c r="AB34" s="4">
        <v>60</v>
      </c>
      <c r="AC34" s="4">
        <v>60</v>
      </c>
      <c r="AD34" s="4">
        <v>80</v>
      </c>
      <c r="AE34" s="4">
        <f t="shared" si="2"/>
        <v>62.5</v>
      </c>
      <c r="AF34" s="29">
        <f>'KEMAMPUAN PRAKTIKUM'!H34</f>
        <v>60.000000000000007</v>
      </c>
      <c r="AG34" s="29">
        <f>'KEMAMPUAN PRAKTIKUM'!M34</f>
        <v>75.000000000000014</v>
      </c>
      <c r="AH34" s="29">
        <f>'KEMAMPUAN PRAKTIKUM'!R34</f>
        <v>90</v>
      </c>
      <c r="AI34" s="29">
        <f>'KEMAMPUAN PRAKTIKUM'!W34</f>
        <v>90</v>
      </c>
      <c r="AJ34" s="29">
        <f>'KEMAMPUAN PRAKTIKUM'!AB34</f>
        <v>75</v>
      </c>
      <c r="AK34" s="29">
        <f>'KEMAMPUAN PRAKTIKUM'!AG34</f>
        <v>48</v>
      </c>
      <c r="AL34" s="29">
        <f>'KEMAMPUAN PRAKTIKUM'!AL34</f>
        <v>57.000000000000007</v>
      </c>
      <c r="AM34" s="29">
        <f>'KEMAMPUAN PRAKTIKUM'!AQ34</f>
        <v>87.000000000000014</v>
      </c>
      <c r="AN34" s="14">
        <f t="shared" si="3"/>
        <v>72.75</v>
      </c>
    </row>
    <row r="35" spans="1:40">
      <c r="A35" s="4">
        <f>'INPUT DAFTAR PESERTA'!A33</f>
        <v>30</v>
      </c>
      <c r="B35" s="4">
        <f>'INPUT DAFTAR PESERTA'!B33</f>
        <v>2509076029</v>
      </c>
      <c r="C35" s="6" t="str">
        <f>'INPUT DAFTAR PESERTA'!C33</f>
        <v>Abimanyu Putra Nugroho</v>
      </c>
      <c r="D35" s="4">
        <v>100</v>
      </c>
      <c r="E35" s="4">
        <v>100</v>
      </c>
      <c r="F35" s="4">
        <v>100</v>
      </c>
      <c r="G35" s="4">
        <v>100</v>
      </c>
      <c r="H35" s="4">
        <v>100</v>
      </c>
      <c r="I35" s="4">
        <v>100</v>
      </c>
      <c r="J35" s="4">
        <v>100</v>
      </c>
      <c r="K35" s="4">
        <v>100</v>
      </c>
      <c r="L35" s="33">
        <f t="shared" si="0"/>
        <v>100</v>
      </c>
      <c r="M35" s="14">
        <f>'PENULISAN LAPORAN'!N34</f>
        <v>62.75</v>
      </c>
      <c r="N35" s="35">
        <v>80</v>
      </c>
      <c r="O35" s="35">
        <v>80</v>
      </c>
      <c r="P35" s="35">
        <v>80</v>
      </c>
      <c r="Q35" s="35">
        <v>80</v>
      </c>
      <c r="R35" s="35">
        <v>80</v>
      </c>
      <c r="S35" s="35">
        <v>80</v>
      </c>
      <c r="T35" s="35">
        <v>80</v>
      </c>
      <c r="U35" s="35">
        <v>80</v>
      </c>
      <c r="V35" s="14">
        <f t="shared" si="1"/>
        <v>80</v>
      </c>
      <c r="W35" s="4">
        <v>60</v>
      </c>
      <c r="X35" s="4">
        <v>60</v>
      </c>
      <c r="Y35" s="4">
        <v>60</v>
      </c>
      <c r="Z35" s="4">
        <v>70</v>
      </c>
      <c r="AA35" s="4">
        <v>30</v>
      </c>
      <c r="AB35" s="4">
        <v>30</v>
      </c>
      <c r="AC35" s="4">
        <v>30</v>
      </c>
      <c r="AD35" s="4">
        <v>80</v>
      </c>
      <c r="AE35" s="4">
        <f t="shared" si="2"/>
        <v>52.5</v>
      </c>
      <c r="AF35" s="29">
        <f>'KEMAMPUAN PRAKTIKUM'!H35</f>
        <v>75.000000000000014</v>
      </c>
      <c r="AG35" s="29">
        <f>'KEMAMPUAN PRAKTIKUM'!M35</f>
        <v>90</v>
      </c>
      <c r="AH35" s="29">
        <f>'KEMAMPUAN PRAKTIKUM'!R35</f>
        <v>75.000000000000014</v>
      </c>
      <c r="AI35" s="29">
        <f>'KEMAMPUAN PRAKTIKUM'!W35</f>
        <v>60.000000000000007</v>
      </c>
      <c r="AJ35" s="29">
        <f>'KEMAMPUAN PRAKTIKUM'!AB35</f>
        <v>75</v>
      </c>
      <c r="AK35" s="29">
        <f>'KEMAMPUAN PRAKTIKUM'!AG35</f>
        <v>55.5</v>
      </c>
      <c r="AL35" s="29">
        <f>'KEMAMPUAN PRAKTIKUM'!AL35</f>
        <v>57.000000000000007</v>
      </c>
      <c r="AM35" s="29">
        <f>'KEMAMPUAN PRAKTIKUM'!AQ35</f>
        <v>87.000000000000014</v>
      </c>
      <c r="AN35" s="14">
        <f t="shared" si="3"/>
        <v>71.8125</v>
      </c>
    </row>
    <row r="36" spans="1:40">
      <c r="A36" s="4">
        <f>'INPUT DAFTAR PESERTA'!A34</f>
        <v>31</v>
      </c>
      <c r="B36" s="4">
        <f>'INPUT DAFTAR PESERTA'!B34</f>
        <v>2509076030</v>
      </c>
      <c r="C36" s="6" t="str">
        <f>'INPUT DAFTAR PESERTA'!C34</f>
        <v>Nur Fahmi Saputra</v>
      </c>
      <c r="D36" s="4">
        <v>100</v>
      </c>
      <c r="E36" s="4">
        <v>100</v>
      </c>
      <c r="F36" s="4">
        <v>100</v>
      </c>
      <c r="G36" s="4">
        <v>100</v>
      </c>
      <c r="H36" s="4">
        <v>100</v>
      </c>
      <c r="I36" s="4">
        <v>100</v>
      </c>
      <c r="J36" s="4">
        <v>100</v>
      </c>
      <c r="K36" s="4">
        <v>100</v>
      </c>
      <c r="L36" s="33">
        <f t="shared" si="0"/>
        <v>100</v>
      </c>
      <c r="M36" s="14">
        <f>'PENULISAN LAPORAN'!N35</f>
        <v>63.8125</v>
      </c>
      <c r="N36" s="35">
        <v>70</v>
      </c>
      <c r="O36" s="35">
        <v>70</v>
      </c>
      <c r="P36" s="35">
        <v>70</v>
      </c>
      <c r="Q36" s="35">
        <v>70</v>
      </c>
      <c r="R36" s="35">
        <v>70</v>
      </c>
      <c r="S36" s="35">
        <v>70</v>
      </c>
      <c r="T36" s="35">
        <v>70</v>
      </c>
      <c r="U36" s="35">
        <v>70</v>
      </c>
      <c r="V36" s="14">
        <f t="shared" si="1"/>
        <v>70</v>
      </c>
      <c r="W36" s="4">
        <v>60</v>
      </c>
      <c r="X36" s="4">
        <v>60</v>
      </c>
      <c r="Y36" s="4">
        <v>70</v>
      </c>
      <c r="Z36" s="4">
        <v>70</v>
      </c>
      <c r="AA36" s="4">
        <v>70</v>
      </c>
      <c r="AB36" s="4">
        <v>30</v>
      </c>
      <c r="AC36" s="4">
        <v>30</v>
      </c>
      <c r="AD36" s="4">
        <v>30</v>
      </c>
      <c r="AE36" s="4">
        <f t="shared" si="2"/>
        <v>52.5</v>
      </c>
      <c r="AF36" s="29">
        <f>'KEMAMPUAN PRAKTIKUM'!H36</f>
        <v>60.000000000000007</v>
      </c>
      <c r="AG36" s="29">
        <f>'KEMAMPUAN PRAKTIKUM'!M36</f>
        <v>60.000000000000007</v>
      </c>
      <c r="AH36" s="29">
        <f>'KEMAMPUAN PRAKTIKUM'!R36</f>
        <v>75.000000000000014</v>
      </c>
      <c r="AI36" s="29">
        <f>'KEMAMPUAN PRAKTIKUM'!W36</f>
        <v>60.000000000000007</v>
      </c>
      <c r="AJ36" s="29">
        <f>'KEMAMPUAN PRAKTIKUM'!AB36</f>
        <v>75</v>
      </c>
      <c r="AK36" s="29">
        <f>'KEMAMPUAN PRAKTIKUM'!AG36</f>
        <v>45</v>
      </c>
      <c r="AL36" s="29">
        <f>'KEMAMPUAN PRAKTIKUM'!AL36</f>
        <v>57.000000000000007</v>
      </c>
      <c r="AM36" s="29">
        <f>'KEMAMPUAN PRAKTIKUM'!AQ36</f>
        <v>54</v>
      </c>
      <c r="AN36" s="14">
        <f t="shared" si="3"/>
        <v>60.75</v>
      </c>
    </row>
    <row r="37" spans="1:40">
      <c r="A37" s="4">
        <f>'INPUT DAFTAR PESERTA'!A35</f>
        <v>32</v>
      </c>
      <c r="B37" s="4">
        <f>'INPUT DAFTAR PESERTA'!B35</f>
        <v>2509076031</v>
      </c>
      <c r="C37" s="6" t="str">
        <f>'INPUT DAFTAR PESERTA'!C35</f>
        <v>Sentike Baso'</v>
      </c>
      <c r="D37" s="4">
        <v>100</v>
      </c>
      <c r="E37" s="4">
        <v>100</v>
      </c>
      <c r="F37" s="4">
        <v>100</v>
      </c>
      <c r="G37" s="4">
        <v>100</v>
      </c>
      <c r="H37" s="4">
        <v>100</v>
      </c>
      <c r="I37" s="4">
        <v>100</v>
      </c>
      <c r="J37" s="4">
        <v>100</v>
      </c>
      <c r="K37" s="4">
        <v>100</v>
      </c>
      <c r="L37" s="33">
        <f t="shared" si="0"/>
        <v>100</v>
      </c>
      <c r="M37" s="14">
        <f>'PENULISAN LAPORAN'!N36</f>
        <v>66.125</v>
      </c>
      <c r="N37" s="35">
        <v>86</v>
      </c>
      <c r="O37" s="35">
        <v>86</v>
      </c>
      <c r="P37" s="35">
        <v>86</v>
      </c>
      <c r="Q37" s="35">
        <v>86</v>
      </c>
      <c r="R37" s="35">
        <v>86</v>
      </c>
      <c r="S37" s="35">
        <v>86</v>
      </c>
      <c r="T37" s="35">
        <v>86</v>
      </c>
      <c r="U37" s="35">
        <v>86</v>
      </c>
      <c r="V37" s="14">
        <f t="shared" si="1"/>
        <v>86</v>
      </c>
      <c r="W37" s="4">
        <v>70</v>
      </c>
      <c r="X37" s="4">
        <v>70</v>
      </c>
      <c r="Y37" s="4">
        <v>80</v>
      </c>
      <c r="Z37" s="4">
        <v>70</v>
      </c>
      <c r="AA37" s="4">
        <v>70</v>
      </c>
      <c r="AB37" s="4">
        <v>30</v>
      </c>
      <c r="AC37" s="4">
        <v>60</v>
      </c>
      <c r="AD37" s="4">
        <v>30</v>
      </c>
      <c r="AE37" s="4">
        <f t="shared" si="2"/>
        <v>60</v>
      </c>
      <c r="AF37" s="29">
        <f>'KEMAMPUAN PRAKTIKUM'!H37</f>
        <v>45.000000000000007</v>
      </c>
      <c r="AG37" s="29">
        <f>'KEMAMPUAN PRAKTIKUM'!M37</f>
        <v>60.000000000000007</v>
      </c>
      <c r="AH37" s="29">
        <f>'KEMAMPUAN PRAKTIKUM'!R37</f>
        <v>75.000000000000014</v>
      </c>
      <c r="AI37" s="29">
        <f>'KEMAMPUAN PRAKTIKUM'!W37</f>
        <v>90</v>
      </c>
      <c r="AJ37" s="29">
        <f>'KEMAMPUAN PRAKTIKUM'!AB37</f>
        <v>75</v>
      </c>
      <c r="AK37" s="29">
        <f>'KEMAMPUAN PRAKTIKUM'!AG37</f>
        <v>45</v>
      </c>
      <c r="AL37" s="29">
        <f>'KEMAMPUAN PRAKTIKUM'!AL37</f>
        <v>72</v>
      </c>
      <c r="AM37" s="29">
        <f>'KEMAMPUAN PRAKTIKUM'!AQ37</f>
        <v>45</v>
      </c>
      <c r="AN37" s="14">
        <f t="shared" si="3"/>
        <v>63.375</v>
      </c>
    </row>
    <row r="38" spans="1:40">
      <c r="A38" s="4">
        <f>'INPUT DAFTAR PESERTA'!A36</f>
        <v>33</v>
      </c>
      <c r="B38" s="4">
        <f>'INPUT DAFTAR PESERTA'!B36</f>
        <v>2509076032</v>
      </c>
      <c r="C38" s="6" t="str">
        <f>'INPUT DAFTAR PESERTA'!C36</f>
        <v>Muhammad Dzaky Nirwasita</v>
      </c>
      <c r="D38" s="4">
        <v>100</v>
      </c>
      <c r="E38" s="4">
        <v>100</v>
      </c>
      <c r="F38" s="4">
        <v>100</v>
      </c>
      <c r="G38" s="4">
        <v>100</v>
      </c>
      <c r="H38" s="4">
        <v>100</v>
      </c>
      <c r="I38" s="4">
        <v>100</v>
      </c>
      <c r="J38" s="4">
        <v>100</v>
      </c>
      <c r="K38" s="4">
        <v>100</v>
      </c>
      <c r="L38" s="33">
        <f t="shared" si="0"/>
        <v>100</v>
      </c>
      <c r="M38" s="14">
        <f>'PENULISAN LAPORAN'!N37</f>
        <v>78.1875</v>
      </c>
      <c r="N38" s="35">
        <v>82</v>
      </c>
      <c r="O38" s="35">
        <v>82</v>
      </c>
      <c r="P38" s="35">
        <v>82</v>
      </c>
      <c r="Q38" s="35">
        <v>82</v>
      </c>
      <c r="R38" s="35">
        <v>82</v>
      </c>
      <c r="S38" s="35">
        <v>82</v>
      </c>
      <c r="T38" s="35">
        <v>82</v>
      </c>
      <c r="U38" s="35">
        <v>82</v>
      </c>
      <c r="V38" s="14">
        <f t="shared" si="1"/>
        <v>82</v>
      </c>
      <c r="W38" s="4">
        <v>80</v>
      </c>
      <c r="X38" s="4">
        <v>60</v>
      </c>
      <c r="Y38" s="4">
        <v>80</v>
      </c>
      <c r="Z38" s="4">
        <v>70</v>
      </c>
      <c r="AA38" s="4">
        <v>70</v>
      </c>
      <c r="AB38" s="4">
        <v>30</v>
      </c>
      <c r="AC38" s="4">
        <v>80</v>
      </c>
      <c r="AD38" s="4">
        <v>30</v>
      </c>
      <c r="AE38" s="4">
        <f t="shared" si="2"/>
        <v>62.5</v>
      </c>
      <c r="AF38" s="29">
        <f>'KEMAMPUAN PRAKTIKUM'!H38</f>
        <v>60.000000000000007</v>
      </c>
      <c r="AG38" s="29">
        <f>'KEMAMPUAN PRAKTIKUM'!M38</f>
        <v>75.000000000000014</v>
      </c>
      <c r="AH38" s="29">
        <f>'KEMAMPUAN PRAKTIKUM'!R38</f>
        <v>90</v>
      </c>
      <c r="AI38" s="29">
        <f>'KEMAMPUAN PRAKTIKUM'!W38</f>
        <v>90</v>
      </c>
      <c r="AJ38" s="29">
        <f>'KEMAMPUAN PRAKTIKUM'!AB38</f>
        <v>75</v>
      </c>
      <c r="AK38" s="29">
        <f>'KEMAMPUAN PRAKTIKUM'!AG38</f>
        <v>52.5</v>
      </c>
      <c r="AL38" s="29">
        <f>'KEMAMPUAN PRAKTIKUM'!AL38</f>
        <v>87.000000000000014</v>
      </c>
      <c r="AM38" s="29">
        <f>'KEMAMPUAN PRAKTIKUM'!AQ38</f>
        <v>69</v>
      </c>
      <c r="AN38" s="14">
        <f t="shared" si="3"/>
        <v>74.8125</v>
      </c>
    </row>
    <row r="39" spans="1:40">
      <c r="A39" s="4">
        <f>'INPUT DAFTAR PESERTA'!A37</f>
        <v>34</v>
      </c>
      <c r="B39" s="4">
        <f>'INPUT DAFTAR PESERTA'!B37</f>
        <v>2509076033</v>
      </c>
      <c r="C39" s="6" t="str">
        <f>'INPUT DAFTAR PESERTA'!C37</f>
        <v>Ilham Pratama</v>
      </c>
      <c r="D39" s="4">
        <v>100</v>
      </c>
      <c r="E39" s="4">
        <v>100</v>
      </c>
      <c r="F39" s="4">
        <v>100</v>
      </c>
      <c r="G39" s="4">
        <v>100</v>
      </c>
      <c r="H39" s="4">
        <v>100</v>
      </c>
      <c r="I39" s="4">
        <v>100</v>
      </c>
      <c r="J39" s="4">
        <v>100</v>
      </c>
      <c r="K39" s="4">
        <v>100</v>
      </c>
      <c r="L39" s="33">
        <f t="shared" si="0"/>
        <v>100</v>
      </c>
      <c r="M39" s="14">
        <f>'PENULISAN LAPORAN'!N38</f>
        <v>74.2</v>
      </c>
      <c r="N39" s="35">
        <v>72</v>
      </c>
      <c r="O39" s="35">
        <v>72</v>
      </c>
      <c r="P39" s="35">
        <v>72</v>
      </c>
      <c r="Q39" s="35">
        <v>72</v>
      </c>
      <c r="R39" s="35">
        <v>72</v>
      </c>
      <c r="S39" s="35">
        <v>72</v>
      </c>
      <c r="T39" s="35">
        <v>72</v>
      </c>
      <c r="U39" s="35">
        <v>72</v>
      </c>
      <c r="V39" s="14">
        <f t="shared" si="1"/>
        <v>72</v>
      </c>
      <c r="W39" s="4">
        <v>80</v>
      </c>
      <c r="X39" s="4">
        <v>70</v>
      </c>
      <c r="Y39" s="4">
        <v>80</v>
      </c>
      <c r="Z39" s="4">
        <v>70</v>
      </c>
      <c r="AA39" s="4">
        <v>70</v>
      </c>
      <c r="AB39" s="4">
        <v>30</v>
      </c>
      <c r="AC39" s="4">
        <v>60</v>
      </c>
      <c r="AD39" s="4">
        <v>30</v>
      </c>
      <c r="AE39" s="4">
        <f t="shared" si="2"/>
        <v>61.25</v>
      </c>
      <c r="AF39" s="29">
        <f>'KEMAMPUAN PRAKTIKUM'!H39</f>
        <v>60.000000000000007</v>
      </c>
      <c r="AG39" s="29">
        <f>'KEMAMPUAN PRAKTIKUM'!M39</f>
        <v>60.000000000000007</v>
      </c>
      <c r="AH39" s="29">
        <f>'KEMAMPUAN PRAKTIKUM'!R39</f>
        <v>90</v>
      </c>
      <c r="AI39" s="29">
        <f>'KEMAMPUAN PRAKTIKUM'!W39</f>
        <v>90</v>
      </c>
      <c r="AJ39" s="29">
        <f>'KEMAMPUAN PRAKTIKUM'!AB39</f>
        <v>75</v>
      </c>
      <c r="AK39" s="29">
        <f>'KEMAMPUAN PRAKTIKUM'!AG39</f>
        <v>45</v>
      </c>
      <c r="AL39" s="29">
        <f>'KEMAMPUAN PRAKTIKUM'!AL39</f>
        <v>72</v>
      </c>
      <c r="AM39" s="29">
        <f>'KEMAMPUAN PRAKTIKUM'!AQ39</f>
        <v>54</v>
      </c>
      <c r="AN39" s="14">
        <f t="shared" si="3"/>
        <v>68.25</v>
      </c>
    </row>
    <row r="40" spans="1:40">
      <c r="A40" s="4">
        <f>'INPUT DAFTAR PESERTA'!A38</f>
        <v>35</v>
      </c>
      <c r="B40" s="4">
        <f>'INPUT DAFTAR PESERTA'!B38</f>
        <v>2509076034</v>
      </c>
      <c r="C40" s="6" t="str">
        <f>'INPUT DAFTAR PESERTA'!C38</f>
        <v>Muhammad Azwa Brilianto</v>
      </c>
      <c r="D40" s="4">
        <v>100</v>
      </c>
      <c r="E40" s="4">
        <v>100</v>
      </c>
      <c r="F40" s="4">
        <v>100</v>
      </c>
      <c r="G40" s="4">
        <v>100</v>
      </c>
      <c r="H40" s="4">
        <v>100</v>
      </c>
      <c r="I40" s="4">
        <v>100</v>
      </c>
      <c r="J40" s="4">
        <v>100</v>
      </c>
      <c r="K40" s="4">
        <v>100</v>
      </c>
      <c r="L40" s="33">
        <f t="shared" si="0"/>
        <v>100</v>
      </c>
      <c r="M40" s="14">
        <f>'PENULISAN LAPORAN'!N39</f>
        <v>83.043750000000003</v>
      </c>
      <c r="N40" s="35">
        <v>84</v>
      </c>
      <c r="O40" s="35">
        <v>84</v>
      </c>
      <c r="P40" s="35">
        <v>84</v>
      </c>
      <c r="Q40" s="35">
        <v>84</v>
      </c>
      <c r="R40" s="35">
        <v>84</v>
      </c>
      <c r="S40" s="35">
        <v>84</v>
      </c>
      <c r="T40" s="35">
        <v>84</v>
      </c>
      <c r="U40" s="35">
        <v>84</v>
      </c>
      <c r="V40" s="14">
        <f t="shared" si="1"/>
        <v>84</v>
      </c>
      <c r="W40" s="4">
        <v>80</v>
      </c>
      <c r="X40" s="4">
        <v>70</v>
      </c>
      <c r="Y40" s="4">
        <v>70</v>
      </c>
      <c r="Z40" s="4">
        <v>80</v>
      </c>
      <c r="AA40" s="4">
        <v>70</v>
      </c>
      <c r="AB40" s="4">
        <v>70</v>
      </c>
      <c r="AC40" s="4">
        <v>30</v>
      </c>
      <c r="AD40" s="4">
        <v>60</v>
      </c>
      <c r="AE40" s="4">
        <f t="shared" si="2"/>
        <v>66.25</v>
      </c>
      <c r="AF40" s="29">
        <f>'KEMAMPUAN PRAKTIKUM'!H40</f>
        <v>90</v>
      </c>
      <c r="AG40" s="29">
        <f>'KEMAMPUAN PRAKTIKUM'!M40</f>
        <v>90</v>
      </c>
      <c r="AH40" s="29">
        <f>'KEMAMPUAN PRAKTIKUM'!R40</f>
        <v>90</v>
      </c>
      <c r="AI40" s="29">
        <f>'KEMAMPUAN PRAKTIKUM'!W40</f>
        <v>87.000000000000014</v>
      </c>
      <c r="AJ40" s="29">
        <f>'KEMAMPUAN PRAKTIKUM'!AB40</f>
        <v>78</v>
      </c>
      <c r="AK40" s="29">
        <f>'KEMAMPUAN PRAKTIKUM'!AG40</f>
        <v>45</v>
      </c>
      <c r="AL40" s="29">
        <f>'KEMAMPUAN PRAKTIKUM'!AL40</f>
        <v>60.000000000000007</v>
      </c>
      <c r="AM40" s="29">
        <f>'KEMAMPUAN PRAKTIKUM'!AQ40</f>
        <v>54</v>
      </c>
      <c r="AN40" s="14">
        <f t="shared" si="3"/>
        <v>74.25</v>
      </c>
    </row>
    <row r="41" spans="1:40">
      <c r="A41" s="4">
        <f>'INPUT DAFTAR PESERTA'!A39</f>
        <v>36</v>
      </c>
      <c r="B41" s="4">
        <f>'INPUT DAFTAR PESERTA'!B39</f>
        <v>2509076035</v>
      </c>
      <c r="C41" s="6" t="str">
        <f>'INPUT DAFTAR PESERTA'!C39</f>
        <v>Mario Renhard Simanullang</v>
      </c>
      <c r="D41" s="4">
        <v>100</v>
      </c>
      <c r="E41" s="4">
        <v>100</v>
      </c>
      <c r="F41" s="4">
        <v>100</v>
      </c>
      <c r="G41" s="4">
        <v>100</v>
      </c>
      <c r="H41" s="4">
        <v>100</v>
      </c>
      <c r="I41" s="4">
        <v>100</v>
      </c>
      <c r="J41" s="4">
        <v>100</v>
      </c>
      <c r="K41" s="4">
        <v>100</v>
      </c>
      <c r="L41" s="33">
        <f t="shared" si="0"/>
        <v>100</v>
      </c>
      <c r="M41" s="14">
        <f>'PENULISAN LAPORAN'!N40</f>
        <v>78.512500000000003</v>
      </c>
      <c r="N41" s="35">
        <v>92</v>
      </c>
      <c r="O41" s="35">
        <v>92</v>
      </c>
      <c r="P41" s="35">
        <v>92</v>
      </c>
      <c r="Q41" s="35">
        <v>92</v>
      </c>
      <c r="R41" s="35">
        <v>92</v>
      </c>
      <c r="S41" s="35">
        <v>92</v>
      </c>
      <c r="T41" s="35">
        <v>92</v>
      </c>
      <c r="U41" s="35">
        <v>92</v>
      </c>
      <c r="V41" s="14">
        <f t="shared" si="1"/>
        <v>92</v>
      </c>
      <c r="W41" s="4">
        <v>80</v>
      </c>
      <c r="X41" s="4">
        <v>80</v>
      </c>
      <c r="Y41" s="4">
        <v>70</v>
      </c>
      <c r="Z41" s="4">
        <v>80</v>
      </c>
      <c r="AA41" s="4">
        <v>70</v>
      </c>
      <c r="AB41" s="4">
        <v>70</v>
      </c>
      <c r="AC41" s="4">
        <v>30</v>
      </c>
      <c r="AD41" s="4">
        <v>60</v>
      </c>
      <c r="AE41" s="4">
        <f t="shared" si="2"/>
        <v>67.5</v>
      </c>
      <c r="AF41" s="29">
        <f>'KEMAMPUAN PRAKTIKUM'!H41</f>
        <v>90</v>
      </c>
      <c r="AG41" s="29">
        <f>'KEMAMPUAN PRAKTIKUM'!M41</f>
        <v>60.000000000000007</v>
      </c>
      <c r="AH41" s="29">
        <f>'KEMAMPUAN PRAKTIKUM'!R41</f>
        <v>90</v>
      </c>
      <c r="AI41" s="29">
        <f>'KEMAMPUAN PRAKTIKUM'!W41</f>
        <v>87.000000000000014</v>
      </c>
      <c r="AJ41" s="29">
        <f>'KEMAMPUAN PRAKTIKUM'!AB41</f>
        <v>75</v>
      </c>
      <c r="AK41" s="29">
        <f>'KEMAMPUAN PRAKTIKUM'!AG41</f>
        <v>52.5</v>
      </c>
      <c r="AL41" s="29">
        <f>'KEMAMPUAN PRAKTIKUM'!AL41</f>
        <v>48</v>
      </c>
      <c r="AM41" s="29">
        <f>'KEMAMPUAN PRAKTIKUM'!AQ41</f>
        <v>54</v>
      </c>
      <c r="AN41" s="14">
        <f t="shared" si="3"/>
        <v>69.5625</v>
      </c>
    </row>
    <row r="42" spans="1:40">
      <c r="A42" s="4">
        <f>'INPUT DAFTAR PESERTA'!A40</f>
        <v>37</v>
      </c>
      <c r="B42" s="4">
        <f>'INPUT DAFTAR PESERTA'!B40</f>
        <v>2509076036</v>
      </c>
      <c r="C42" s="6" t="str">
        <f>'INPUT DAFTAR PESERTA'!C40</f>
        <v>Andhika Ananda Gusthy</v>
      </c>
      <c r="D42" s="4">
        <v>100</v>
      </c>
      <c r="E42" s="4">
        <v>100</v>
      </c>
      <c r="F42" s="4">
        <v>100</v>
      </c>
      <c r="G42" s="4">
        <v>100</v>
      </c>
      <c r="H42" s="4">
        <v>100</v>
      </c>
      <c r="I42" s="4">
        <v>100</v>
      </c>
      <c r="J42" s="4">
        <v>100</v>
      </c>
      <c r="K42" s="4">
        <v>100</v>
      </c>
      <c r="L42" s="33">
        <f t="shared" si="0"/>
        <v>100</v>
      </c>
      <c r="M42" s="14">
        <f>'PENULISAN LAPORAN'!N41</f>
        <v>87.681250000000006</v>
      </c>
      <c r="N42" s="35">
        <v>82</v>
      </c>
      <c r="O42" s="35">
        <v>82</v>
      </c>
      <c r="P42" s="35">
        <v>82</v>
      </c>
      <c r="Q42" s="35">
        <v>82</v>
      </c>
      <c r="R42" s="35">
        <v>82</v>
      </c>
      <c r="S42" s="35">
        <v>82</v>
      </c>
      <c r="T42" s="35">
        <v>82</v>
      </c>
      <c r="U42" s="35">
        <v>82</v>
      </c>
      <c r="V42" s="14">
        <f t="shared" si="1"/>
        <v>82</v>
      </c>
      <c r="W42" s="4">
        <v>80</v>
      </c>
      <c r="X42" s="4">
        <v>80</v>
      </c>
      <c r="Y42" s="4">
        <v>70</v>
      </c>
      <c r="Z42" s="4">
        <v>70</v>
      </c>
      <c r="AA42" s="4">
        <v>70</v>
      </c>
      <c r="AB42" s="4">
        <v>80</v>
      </c>
      <c r="AC42" s="4">
        <v>80</v>
      </c>
      <c r="AD42" s="4">
        <v>80</v>
      </c>
      <c r="AE42" s="4">
        <f t="shared" si="2"/>
        <v>76.25</v>
      </c>
      <c r="AF42" s="29">
        <f>'KEMAMPUAN PRAKTIKUM'!H42</f>
        <v>90</v>
      </c>
      <c r="AG42" s="29">
        <f>'KEMAMPUAN PRAKTIKUM'!M42</f>
        <v>90</v>
      </c>
      <c r="AH42" s="29">
        <f>'KEMAMPUAN PRAKTIKUM'!R42</f>
        <v>90</v>
      </c>
      <c r="AI42" s="29">
        <f>'KEMAMPUAN PRAKTIKUM'!W42</f>
        <v>87.000000000000014</v>
      </c>
      <c r="AJ42" s="29">
        <f>'KEMAMPUAN PRAKTIKUM'!AB42</f>
        <v>75</v>
      </c>
      <c r="AK42" s="29">
        <f>'KEMAMPUAN PRAKTIKUM'!AG42</f>
        <v>52.5</v>
      </c>
      <c r="AL42" s="29">
        <f>'KEMAMPUAN PRAKTIKUM'!AL42</f>
        <v>72</v>
      </c>
      <c r="AM42" s="29">
        <f>'KEMAMPUAN PRAKTIKUM'!AQ42</f>
        <v>54</v>
      </c>
      <c r="AN42" s="14">
        <f t="shared" si="3"/>
        <v>76.3125</v>
      </c>
    </row>
    <row r="43" spans="1:40">
      <c r="A43" s="4">
        <f>'INPUT DAFTAR PESERTA'!A41</f>
        <v>38</v>
      </c>
      <c r="B43" s="4">
        <f>'INPUT DAFTAR PESERTA'!B41</f>
        <v>2509076037</v>
      </c>
      <c r="C43" s="6" t="str">
        <f>'INPUT DAFTAR PESERTA'!C41</f>
        <v>Zherfaqih Al Barki</v>
      </c>
      <c r="D43" s="4">
        <v>100</v>
      </c>
      <c r="E43" s="4">
        <v>100</v>
      </c>
      <c r="F43" s="4">
        <v>100</v>
      </c>
      <c r="G43" s="4">
        <v>100</v>
      </c>
      <c r="H43" s="4">
        <v>100</v>
      </c>
      <c r="I43" s="4">
        <v>100</v>
      </c>
      <c r="J43" s="4"/>
      <c r="K43" s="4">
        <v>100</v>
      </c>
      <c r="L43" s="33">
        <f t="shared" si="0"/>
        <v>87.5</v>
      </c>
      <c r="M43" s="14">
        <f>'PENULISAN LAPORAN'!N42</f>
        <v>63.96875</v>
      </c>
      <c r="N43" s="35">
        <v>92</v>
      </c>
      <c r="O43" s="35">
        <v>92</v>
      </c>
      <c r="P43" s="35">
        <v>92</v>
      </c>
      <c r="Q43" s="35">
        <v>92</v>
      </c>
      <c r="R43" s="35">
        <v>92</v>
      </c>
      <c r="S43" s="35">
        <v>92</v>
      </c>
      <c r="T43" s="35">
        <v>92</v>
      </c>
      <c r="U43" s="35">
        <v>92</v>
      </c>
      <c r="V43" s="14">
        <f t="shared" si="1"/>
        <v>92</v>
      </c>
      <c r="W43" s="4">
        <v>70</v>
      </c>
      <c r="X43" s="4">
        <v>60</v>
      </c>
      <c r="Y43" s="4">
        <v>80</v>
      </c>
      <c r="Z43" s="4">
        <v>70</v>
      </c>
      <c r="AA43" s="4">
        <v>70</v>
      </c>
      <c r="AB43" s="4">
        <v>70</v>
      </c>
      <c r="AC43" s="4">
        <v>30</v>
      </c>
      <c r="AD43" s="4">
        <v>70</v>
      </c>
      <c r="AE43" s="4">
        <f t="shared" si="2"/>
        <v>65</v>
      </c>
      <c r="AF43" s="29">
        <f>'KEMAMPUAN PRAKTIKUM'!H43</f>
        <v>75.000000000000014</v>
      </c>
      <c r="AG43" s="29">
        <f>'KEMAMPUAN PRAKTIKUM'!M43</f>
        <v>75.000000000000014</v>
      </c>
      <c r="AH43" s="29">
        <f>'KEMAMPUAN PRAKTIKUM'!R43</f>
        <v>60.000000000000007</v>
      </c>
      <c r="AI43" s="29">
        <f>'KEMAMPUAN PRAKTIKUM'!W43</f>
        <v>87.000000000000014</v>
      </c>
      <c r="AJ43" s="29">
        <f>'KEMAMPUAN PRAKTIKUM'!AB43</f>
        <v>75</v>
      </c>
      <c r="AK43" s="29">
        <f>'KEMAMPUAN PRAKTIKUM'!AG43</f>
        <v>45</v>
      </c>
      <c r="AL43" s="29">
        <f>'KEMAMPUAN PRAKTIKUM'!AL43</f>
        <v>0</v>
      </c>
      <c r="AM43" s="29">
        <f>'KEMAMPUAN PRAKTIKUM'!AQ43</f>
        <v>54</v>
      </c>
      <c r="AN43" s="14">
        <f t="shared" si="3"/>
        <v>58.875000000000007</v>
      </c>
    </row>
    <row r="44" spans="1:40">
      <c r="A44" s="4">
        <f>'INPUT DAFTAR PESERTA'!A42</f>
        <v>39</v>
      </c>
      <c r="B44" s="4">
        <f>'INPUT DAFTAR PESERTA'!B42</f>
        <v>2509076038</v>
      </c>
      <c r="C44" s="6" t="str">
        <f>'INPUT DAFTAR PESERTA'!C42</f>
        <v>Reihan Aidil Adha</v>
      </c>
      <c r="D44" s="4">
        <v>100</v>
      </c>
      <c r="E44" s="4">
        <v>100</v>
      </c>
      <c r="F44" s="4">
        <v>100</v>
      </c>
      <c r="G44" s="4">
        <v>100</v>
      </c>
      <c r="H44" s="4">
        <v>100</v>
      </c>
      <c r="I44" s="4">
        <v>100</v>
      </c>
      <c r="J44" s="4">
        <v>100</v>
      </c>
      <c r="K44" s="4">
        <v>100</v>
      </c>
      <c r="L44" s="33">
        <f t="shared" si="0"/>
        <v>100</v>
      </c>
      <c r="M44" s="14">
        <f>'PENULISAN LAPORAN'!N43</f>
        <v>61.46875</v>
      </c>
      <c r="N44" s="35">
        <v>80</v>
      </c>
      <c r="O44" s="35">
        <v>80</v>
      </c>
      <c r="P44" s="35">
        <v>80</v>
      </c>
      <c r="Q44" s="35">
        <v>80</v>
      </c>
      <c r="R44" s="35">
        <v>80</v>
      </c>
      <c r="S44" s="35">
        <v>80</v>
      </c>
      <c r="T44" s="35">
        <v>80</v>
      </c>
      <c r="U44" s="35">
        <v>80</v>
      </c>
      <c r="V44" s="14">
        <f t="shared" si="1"/>
        <v>80</v>
      </c>
      <c r="W44" s="4">
        <v>70</v>
      </c>
      <c r="X44" s="4">
        <v>70</v>
      </c>
      <c r="Y44" s="4">
        <v>70</v>
      </c>
      <c r="Z44" s="4">
        <v>30</v>
      </c>
      <c r="AA44" s="4">
        <v>70</v>
      </c>
      <c r="AB44" s="4">
        <v>30</v>
      </c>
      <c r="AC44" s="4">
        <v>38</v>
      </c>
      <c r="AD44" s="4">
        <v>30</v>
      </c>
      <c r="AE44" s="4">
        <f t="shared" si="2"/>
        <v>51</v>
      </c>
      <c r="AF44" s="29">
        <f>'KEMAMPUAN PRAKTIKUM'!H44</f>
        <v>75.000000000000014</v>
      </c>
      <c r="AG44" s="29">
        <f>'KEMAMPUAN PRAKTIKUM'!M44</f>
        <v>69</v>
      </c>
      <c r="AH44" s="29">
        <f>'KEMAMPUAN PRAKTIKUM'!R44</f>
        <v>90</v>
      </c>
      <c r="AI44" s="29">
        <f>'KEMAMPUAN PRAKTIKUM'!W44</f>
        <v>60.000000000000007</v>
      </c>
      <c r="AJ44" s="29">
        <f>'KEMAMPUAN PRAKTIKUM'!AB44</f>
        <v>45</v>
      </c>
      <c r="AK44" s="29">
        <f>'KEMAMPUAN PRAKTIKUM'!AG44</f>
        <v>45</v>
      </c>
      <c r="AL44" s="29">
        <f>'KEMAMPUAN PRAKTIKUM'!AL44</f>
        <v>51</v>
      </c>
      <c r="AM44" s="29">
        <f>'KEMAMPUAN PRAKTIKUM'!AQ44</f>
        <v>45</v>
      </c>
      <c r="AN44" s="14">
        <f t="shared" si="3"/>
        <v>60</v>
      </c>
    </row>
    <row r="45" spans="1:40">
      <c r="A45" s="4">
        <f>'INPUT DAFTAR PESERTA'!A43</f>
        <v>40</v>
      </c>
      <c r="B45" s="4">
        <f>'INPUT DAFTAR PESERTA'!B43</f>
        <v>2509076039</v>
      </c>
      <c r="C45" s="6" t="str">
        <f>'INPUT DAFTAR PESERTA'!C43</f>
        <v>Baso Syamsurya</v>
      </c>
      <c r="D45" s="4">
        <v>100</v>
      </c>
      <c r="E45" s="4">
        <v>100</v>
      </c>
      <c r="F45" s="4">
        <v>100</v>
      </c>
      <c r="G45" s="4">
        <v>100</v>
      </c>
      <c r="H45" s="4">
        <v>100</v>
      </c>
      <c r="I45" s="4">
        <v>100</v>
      </c>
      <c r="J45" s="4">
        <v>100</v>
      </c>
      <c r="K45" s="4">
        <v>100</v>
      </c>
      <c r="L45" s="33">
        <f t="shared" si="0"/>
        <v>100</v>
      </c>
      <c r="M45" s="14">
        <f>'PENULISAN LAPORAN'!N44</f>
        <v>73.34375</v>
      </c>
      <c r="N45" s="35">
        <v>90</v>
      </c>
      <c r="O45" s="35">
        <v>90</v>
      </c>
      <c r="P45" s="35">
        <v>90</v>
      </c>
      <c r="Q45" s="35">
        <v>90</v>
      </c>
      <c r="R45" s="35">
        <v>90</v>
      </c>
      <c r="S45" s="35">
        <v>90</v>
      </c>
      <c r="T45" s="35">
        <v>90</v>
      </c>
      <c r="U45" s="35">
        <v>90</v>
      </c>
      <c r="V45" s="14">
        <f t="shared" si="1"/>
        <v>90</v>
      </c>
      <c r="W45" s="4">
        <v>70</v>
      </c>
      <c r="X45" s="4">
        <v>80</v>
      </c>
      <c r="Y45" s="4">
        <v>70</v>
      </c>
      <c r="Z45" s="4">
        <v>70</v>
      </c>
      <c r="AA45" s="4">
        <v>70</v>
      </c>
      <c r="AB45" s="4">
        <v>60</v>
      </c>
      <c r="AC45" s="4">
        <v>60</v>
      </c>
      <c r="AD45" s="4">
        <v>70</v>
      </c>
      <c r="AE45" s="4">
        <f t="shared" si="2"/>
        <v>68.75</v>
      </c>
      <c r="AF45" s="29">
        <f>'KEMAMPUAN PRAKTIKUM'!H45</f>
        <v>75.000000000000014</v>
      </c>
      <c r="AG45" s="29">
        <f>'KEMAMPUAN PRAKTIKUM'!M45</f>
        <v>84</v>
      </c>
      <c r="AH45" s="29">
        <f>'KEMAMPUAN PRAKTIKUM'!R45</f>
        <v>75.000000000000014</v>
      </c>
      <c r="AI45" s="29">
        <f>'KEMAMPUAN PRAKTIKUM'!W45</f>
        <v>60.000000000000007</v>
      </c>
      <c r="AJ45" s="29">
        <f>'KEMAMPUAN PRAKTIKUM'!AB45</f>
        <v>78</v>
      </c>
      <c r="AK45" s="29">
        <f>'KEMAMPUAN PRAKTIKUM'!AG45</f>
        <v>45</v>
      </c>
      <c r="AL45" s="29">
        <f>'KEMAMPUAN PRAKTIKUM'!AL45</f>
        <v>81</v>
      </c>
      <c r="AM45" s="29">
        <f>'KEMAMPUAN PRAKTIKUM'!AQ45</f>
        <v>45</v>
      </c>
      <c r="AN45" s="14">
        <f t="shared" si="3"/>
        <v>67.875</v>
      </c>
    </row>
    <row r="46" spans="1:40">
      <c r="A46" s="4">
        <f>'INPUT DAFTAR PESERTA'!A44</f>
        <v>41</v>
      </c>
      <c r="B46" s="4">
        <f>'INPUT DAFTAR PESERTA'!B44</f>
        <v>2509076040</v>
      </c>
      <c r="C46" s="6" t="str">
        <f>'INPUT DAFTAR PESERTA'!C44</f>
        <v>Andriadi Supardi</v>
      </c>
      <c r="D46" s="4">
        <v>100</v>
      </c>
      <c r="E46" s="4">
        <v>100</v>
      </c>
      <c r="F46" s="4">
        <v>100</v>
      </c>
      <c r="G46" s="4">
        <v>100</v>
      </c>
      <c r="H46" s="4">
        <v>100</v>
      </c>
      <c r="I46" s="4">
        <v>100</v>
      </c>
      <c r="J46" s="4">
        <v>100</v>
      </c>
      <c r="K46" s="4">
        <v>100</v>
      </c>
      <c r="L46" s="33">
        <f t="shared" si="0"/>
        <v>100</v>
      </c>
      <c r="M46" s="14">
        <f>'PENULISAN LAPORAN'!N45</f>
        <v>88.793750000000003</v>
      </c>
      <c r="N46" s="35">
        <v>76</v>
      </c>
      <c r="O46" s="35">
        <v>76</v>
      </c>
      <c r="P46" s="35">
        <v>76</v>
      </c>
      <c r="Q46" s="35">
        <v>76</v>
      </c>
      <c r="R46" s="35">
        <v>76</v>
      </c>
      <c r="S46" s="35">
        <v>76</v>
      </c>
      <c r="T46" s="35">
        <v>76</v>
      </c>
      <c r="U46" s="35">
        <v>76</v>
      </c>
      <c r="V46" s="14">
        <f t="shared" si="1"/>
        <v>76</v>
      </c>
      <c r="W46" s="4">
        <v>70</v>
      </c>
      <c r="X46" s="4">
        <v>80</v>
      </c>
      <c r="Y46" s="4">
        <v>80</v>
      </c>
      <c r="Z46" s="4">
        <v>70</v>
      </c>
      <c r="AA46" s="4">
        <v>70</v>
      </c>
      <c r="AB46" s="4">
        <v>70</v>
      </c>
      <c r="AC46" s="4">
        <v>80</v>
      </c>
      <c r="AD46" s="4">
        <v>80</v>
      </c>
      <c r="AE46" s="4">
        <f t="shared" si="2"/>
        <v>75</v>
      </c>
      <c r="AF46" s="29">
        <f>'KEMAMPUAN PRAKTIKUM'!H46</f>
        <v>90</v>
      </c>
      <c r="AG46" s="29">
        <f>'KEMAMPUAN PRAKTIKUM'!M46</f>
        <v>84</v>
      </c>
      <c r="AH46" s="29">
        <f>'KEMAMPUAN PRAKTIKUM'!R46</f>
        <v>90</v>
      </c>
      <c r="AI46" s="29">
        <f>'KEMAMPUAN PRAKTIKUM'!W46</f>
        <v>90</v>
      </c>
      <c r="AJ46" s="29">
        <f>'KEMAMPUAN PRAKTIKUM'!AB46</f>
        <v>78</v>
      </c>
      <c r="AK46" s="29">
        <f>'KEMAMPUAN PRAKTIKUM'!AG46</f>
        <v>45</v>
      </c>
      <c r="AL46" s="29">
        <f>'KEMAMPUAN PRAKTIKUM'!AL46</f>
        <v>81</v>
      </c>
      <c r="AM46" s="29">
        <f>'KEMAMPUAN PRAKTIKUM'!AQ46</f>
        <v>60.000000000000007</v>
      </c>
      <c r="AN46" s="14">
        <f t="shared" si="3"/>
        <v>77.25</v>
      </c>
    </row>
    <row r="47" spans="1:40">
      <c r="A47" s="4">
        <f>'INPUT DAFTAR PESERTA'!A45</f>
        <v>42</v>
      </c>
      <c r="B47" s="4">
        <f>'INPUT DAFTAR PESERTA'!B45</f>
        <v>2509076041</v>
      </c>
      <c r="C47" s="6" t="str">
        <f>'INPUT DAFTAR PESERTA'!C45</f>
        <v>Achmad Fahri Kurniawan</v>
      </c>
      <c r="D47" s="4">
        <v>100</v>
      </c>
      <c r="E47" s="4">
        <v>100</v>
      </c>
      <c r="F47" s="4">
        <v>100</v>
      </c>
      <c r="G47" s="4">
        <v>100</v>
      </c>
      <c r="H47" s="4">
        <v>100</v>
      </c>
      <c r="I47" s="4">
        <v>100</v>
      </c>
      <c r="J47" s="4">
        <v>100</v>
      </c>
      <c r="K47" s="4">
        <v>100</v>
      </c>
      <c r="L47" s="33">
        <f t="shared" si="0"/>
        <v>100</v>
      </c>
      <c r="M47" s="14">
        <f>'PENULISAN LAPORAN'!N46</f>
        <v>70.7</v>
      </c>
      <c r="N47" s="35">
        <v>94</v>
      </c>
      <c r="O47" s="35">
        <v>94</v>
      </c>
      <c r="P47" s="35">
        <v>94</v>
      </c>
      <c r="Q47" s="35">
        <v>94</v>
      </c>
      <c r="R47" s="35">
        <v>94</v>
      </c>
      <c r="S47" s="35">
        <v>94</v>
      </c>
      <c r="T47" s="35">
        <v>94</v>
      </c>
      <c r="U47" s="35">
        <v>94</v>
      </c>
      <c r="V47" s="14">
        <f t="shared" si="1"/>
        <v>94</v>
      </c>
      <c r="W47" s="4">
        <v>70</v>
      </c>
      <c r="X47" s="4">
        <v>70</v>
      </c>
      <c r="Y47" s="4">
        <v>70</v>
      </c>
      <c r="Z47" s="4">
        <v>70</v>
      </c>
      <c r="AA47" s="4">
        <v>80</v>
      </c>
      <c r="AB47" s="4">
        <v>70</v>
      </c>
      <c r="AC47" s="4">
        <v>60</v>
      </c>
      <c r="AD47" s="4">
        <v>70</v>
      </c>
      <c r="AE47" s="4">
        <f t="shared" si="2"/>
        <v>70</v>
      </c>
      <c r="AF47" s="29">
        <f>'KEMAMPUAN PRAKTIKUM'!H47</f>
        <v>54.000000000000007</v>
      </c>
      <c r="AG47" s="29">
        <f>'KEMAMPUAN PRAKTIKUM'!M47</f>
        <v>57.000000000000007</v>
      </c>
      <c r="AH47" s="29">
        <f>'KEMAMPUAN PRAKTIKUM'!R47</f>
        <v>72</v>
      </c>
      <c r="AI47" s="29">
        <f>'KEMAMPUAN PRAKTIKUM'!W47</f>
        <v>90</v>
      </c>
      <c r="AJ47" s="29">
        <f>'KEMAMPUAN PRAKTIKUM'!AB47</f>
        <v>78</v>
      </c>
      <c r="AK47" s="29">
        <f>'KEMAMPUAN PRAKTIKUM'!AG47</f>
        <v>45</v>
      </c>
      <c r="AL47" s="29">
        <f>'KEMAMPUAN PRAKTIKUM'!AL47</f>
        <v>75</v>
      </c>
      <c r="AM47" s="29">
        <f>'KEMAMPUAN PRAKTIKUM'!AQ47</f>
        <v>60.000000000000007</v>
      </c>
      <c r="AN47" s="14">
        <f t="shared" si="3"/>
        <v>66.375</v>
      </c>
    </row>
    <row r="48" spans="1:40">
      <c r="A48" s="4">
        <f>'INPUT DAFTAR PESERTA'!A46</f>
        <v>43</v>
      </c>
      <c r="B48" s="4">
        <f>'INPUT DAFTAR PESERTA'!B46</f>
        <v>2509076042</v>
      </c>
      <c r="C48" s="6" t="str">
        <f>'INPUT DAFTAR PESERTA'!C46</f>
        <v>Saktianata Eja Assami</v>
      </c>
      <c r="D48" s="4">
        <v>100</v>
      </c>
      <c r="E48" s="4">
        <v>100</v>
      </c>
      <c r="F48" s="4">
        <v>100</v>
      </c>
      <c r="G48" s="4">
        <v>100</v>
      </c>
      <c r="H48" s="4">
        <v>100</v>
      </c>
      <c r="I48" s="4">
        <v>100</v>
      </c>
      <c r="J48" s="4">
        <v>100</v>
      </c>
      <c r="K48" s="4">
        <v>100</v>
      </c>
      <c r="L48" s="33">
        <f t="shared" si="0"/>
        <v>100</v>
      </c>
      <c r="M48" s="14">
        <f>'PENULISAN LAPORAN'!N47</f>
        <v>71.606250000000003</v>
      </c>
      <c r="N48" s="35">
        <v>96</v>
      </c>
      <c r="O48" s="35">
        <v>96</v>
      </c>
      <c r="P48" s="35">
        <v>96</v>
      </c>
      <c r="Q48" s="35">
        <v>96</v>
      </c>
      <c r="R48" s="35">
        <v>96</v>
      </c>
      <c r="S48" s="35">
        <v>96</v>
      </c>
      <c r="T48" s="35">
        <v>96</v>
      </c>
      <c r="U48" s="35">
        <v>96</v>
      </c>
      <c r="V48" s="14">
        <f t="shared" si="1"/>
        <v>96</v>
      </c>
      <c r="W48" s="4">
        <v>30</v>
      </c>
      <c r="X48" s="4">
        <v>70</v>
      </c>
      <c r="Y48" s="4">
        <v>70</v>
      </c>
      <c r="Z48" s="4">
        <v>70</v>
      </c>
      <c r="AA48" s="4">
        <v>70</v>
      </c>
      <c r="AB48" s="4">
        <v>60</v>
      </c>
      <c r="AC48" s="4">
        <v>30</v>
      </c>
      <c r="AD48" s="4">
        <v>30</v>
      </c>
      <c r="AE48" s="4">
        <f t="shared" si="2"/>
        <v>53.75</v>
      </c>
      <c r="AF48" s="29">
        <f>'KEMAMPUAN PRAKTIKUM'!H48</f>
        <v>69</v>
      </c>
      <c r="AG48" s="29">
        <f>'KEMAMPUAN PRAKTIKUM'!M48</f>
        <v>72</v>
      </c>
      <c r="AH48" s="29">
        <f>'KEMAMPUAN PRAKTIKUM'!R48</f>
        <v>72</v>
      </c>
      <c r="AI48" s="29">
        <f>'KEMAMPUAN PRAKTIKUM'!W48</f>
        <v>90</v>
      </c>
      <c r="AJ48" s="29">
        <f>'KEMAMPUAN PRAKTIKUM'!AB48</f>
        <v>78</v>
      </c>
      <c r="AK48" s="29">
        <f>'KEMAMPUAN PRAKTIKUM'!AG48</f>
        <v>52.5</v>
      </c>
      <c r="AL48" s="29">
        <f>'KEMAMPUAN PRAKTIKUM'!AL48</f>
        <v>60.000000000000007</v>
      </c>
      <c r="AM48" s="29">
        <f>'KEMAMPUAN PRAKTIKUM'!AQ48</f>
        <v>60.000000000000007</v>
      </c>
      <c r="AN48" s="14">
        <f t="shared" si="3"/>
        <v>69.1875</v>
      </c>
    </row>
    <row r="49" spans="1:40">
      <c r="A49" s="4">
        <f>'INPUT DAFTAR PESERTA'!A47</f>
        <v>44</v>
      </c>
      <c r="B49" s="4">
        <f>'INPUT DAFTAR PESERTA'!B47</f>
        <v>2509076043</v>
      </c>
      <c r="C49" s="6" t="str">
        <f>'INPUT DAFTAR PESERTA'!C47</f>
        <v>Zhafanya Maydeline Robert</v>
      </c>
      <c r="D49" s="4">
        <v>100</v>
      </c>
      <c r="E49" s="4">
        <v>100</v>
      </c>
      <c r="F49" s="4">
        <v>100</v>
      </c>
      <c r="G49" s="4">
        <v>100</v>
      </c>
      <c r="H49" s="4">
        <v>100</v>
      </c>
      <c r="I49" s="4">
        <v>100</v>
      </c>
      <c r="J49" s="4">
        <v>100</v>
      </c>
      <c r="K49" s="4">
        <v>100</v>
      </c>
      <c r="L49" s="33">
        <f t="shared" si="0"/>
        <v>100</v>
      </c>
      <c r="M49" s="14">
        <f>'PENULISAN LAPORAN'!N48</f>
        <v>72.762500000000003</v>
      </c>
      <c r="N49" s="35">
        <v>42</v>
      </c>
      <c r="O49" s="35">
        <v>42</v>
      </c>
      <c r="P49" s="35">
        <v>42</v>
      </c>
      <c r="Q49" s="35">
        <v>42</v>
      </c>
      <c r="R49" s="35">
        <v>42</v>
      </c>
      <c r="S49" s="35">
        <v>42</v>
      </c>
      <c r="T49" s="35">
        <v>42</v>
      </c>
      <c r="U49" s="35">
        <v>42</v>
      </c>
      <c r="V49" s="14">
        <f t="shared" si="1"/>
        <v>42</v>
      </c>
      <c r="W49" s="4">
        <v>70</v>
      </c>
      <c r="X49" s="4">
        <v>70</v>
      </c>
      <c r="Y49" s="4">
        <v>70</v>
      </c>
      <c r="Z49" s="4">
        <v>70</v>
      </c>
      <c r="AA49" s="4">
        <v>70</v>
      </c>
      <c r="AB49" s="4">
        <v>70</v>
      </c>
      <c r="AC49" s="4">
        <v>80</v>
      </c>
      <c r="AD49" s="4">
        <v>70</v>
      </c>
      <c r="AE49" s="4">
        <f t="shared" si="2"/>
        <v>71.25</v>
      </c>
      <c r="AF49" s="29">
        <f>'KEMAMPUAN PRAKTIKUM'!H49</f>
        <v>57.000000000000007</v>
      </c>
      <c r="AG49" s="29">
        <f>'KEMAMPUAN PRAKTIKUM'!M49</f>
        <v>57.000000000000007</v>
      </c>
      <c r="AH49" s="29">
        <f>'KEMAMPUAN PRAKTIKUM'!R49</f>
        <v>75.000000000000014</v>
      </c>
      <c r="AI49" s="29">
        <f>'KEMAMPUAN PRAKTIKUM'!W49</f>
        <v>90</v>
      </c>
      <c r="AJ49" s="29">
        <f>'KEMAMPUAN PRAKTIKUM'!AB49</f>
        <v>62.999999999999993</v>
      </c>
      <c r="AK49" s="29">
        <f>'KEMAMPUAN PRAKTIKUM'!AG49</f>
        <v>45</v>
      </c>
      <c r="AL49" s="29">
        <f>'KEMAMPUAN PRAKTIKUM'!AL49</f>
        <v>75.000000000000014</v>
      </c>
      <c r="AM49" s="29">
        <f>'KEMAMPUAN PRAKTIKUM'!AQ49</f>
        <v>51</v>
      </c>
      <c r="AN49" s="14">
        <f t="shared" si="3"/>
        <v>64.125</v>
      </c>
    </row>
    <row r="50" spans="1:40">
      <c r="A50" s="4">
        <f>'INPUT DAFTAR PESERTA'!A48</f>
        <v>45</v>
      </c>
      <c r="B50" s="4">
        <f>'INPUT DAFTAR PESERTA'!B48</f>
        <v>2509076044</v>
      </c>
      <c r="C50" s="6" t="str">
        <f>'INPUT DAFTAR PESERTA'!C48</f>
        <v>Dhifan Rangga Purwanto</v>
      </c>
      <c r="D50" s="4">
        <v>100</v>
      </c>
      <c r="E50" s="4">
        <v>100</v>
      </c>
      <c r="F50" s="4">
        <v>100</v>
      </c>
      <c r="G50" s="4">
        <v>100</v>
      </c>
      <c r="H50" s="4">
        <v>100</v>
      </c>
      <c r="I50" s="4">
        <v>100</v>
      </c>
      <c r="J50" s="4">
        <v>100</v>
      </c>
      <c r="K50" s="4">
        <v>100</v>
      </c>
      <c r="L50" s="33">
        <f t="shared" si="0"/>
        <v>100</v>
      </c>
      <c r="M50" s="14">
        <f>'PENULISAN LAPORAN'!N49</f>
        <v>70.762500000000003</v>
      </c>
      <c r="N50" s="35">
        <v>92</v>
      </c>
      <c r="O50" s="35">
        <v>92</v>
      </c>
      <c r="P50" s="35">
        <v>92</v>
      </c>
      <c r="Q50" s="35">
        <v>92</v>
      </c>
      <c r="R50" s="35">
        <v>92</v>
      </c>
      <c r="S50" s="35">
        <v>92</v>
      </c>
      <c r="T50" s="35">
        <v>92</v>
      </c>
      <c r="U50" s="35">
        <v>92</v>
      </c>
      <c r="V50" s="14">
        <f t="shared" si="1"/>
        <v>92</v>
      </c>
      <c r="W50" s="4">
        <v>70</v>
      </c>
      <c r="X50" s="4">
        <v>70</v>
      </c>
      <c r="Y50" s="4">
        <v>70</v>
      </c>
      <c r="Z50" s="4">
        <v>70</v>
      </c>
      <c r="AA50" s="4">
        <v>80</v>
      </c>
      <c r="AB50" s="4">
        <v>70</v>
      </c>
      <c r="AC50" s="4">
        <v>80</v>
      </c>
      <c r="AD50" s="4">
        <v>70</v>
      </c>
      <c r="AE50" s="4">
        <f t="shared" si="2"/>
        <v>72.5</v>
      </c>
      <c r="AF50" s="29">
        <f>'KEMAMPUAN PRAKTIKUM'!H50</f>
        <v>57.000000000000007</v>
      </c>
      <c r="AG50" s="29">
        <f>'KEMAMPUAN PRAKTIKUM'!M50</f>
        <v>57.000000000000007</v>
      </c>
      <c r="AH50" s="29">
        <f>'KEMAMPUAN PRAKTIKUM'!R50</f>
        <v>75.000000000000014</v>
      </c>
      <c r="AI50" s="29">
        <f>'KEMAMPUAN PRAKTIKUM'!W50</f>
        <v>90</v>
      </c>
      <c r="AJ50" s="29">
        <f>'KEMAMPUAN PRAKTIKUM'!AB50</f>
        <v>75</v>
      </c>
      <c r="AK50" s="29">
        <f>'KEMAMPUAN PRAKTIKUM'!AG50</f>
        <v>45</v>
      </c>
      <c r="AL50" s="29">
        <f>'KEMAMPUAN PRAKTIKUM'!AL50</f>
        <v>60.000000000000007</v>
      </c>
      <c r="AM50" s="29">
        <f>'KEMAMPUAN PRAKTIKUM'!AQ50</f>
        <v>72</v>
      </c>
      <c r="AN50" s="14">
        <f t="shared" si="3"/>
        <v>66.375</v>
      </c>
    </row>
    <row r="51" spans="1:40">
      <c r="A51" s="4">
        <f>'INPUT DAFTAR PESERTA'!A49</f>
        <v>46</v>
      </c>
      <c r="B51" s="4">
        <f>'INPUT DAFTAR PESERTA'!B49</f>
        <v>2509076046</v>
      </c>
      <c r="C51" s="6" t="str">
        <f>'INPUT DAFTAR PESERTA'!C49</f>
        <v>Mohamad Hafid</v>
      </c>
      <c r="D51" s="4">
        <v>100</v>
      </c>
      <c r="E51" s="4">
        <v>100</v>
      </c>
      <c r="F51" s="4">
        <v>100</v>
      </c>
      <c r="G51" s="4">
        <v>100</v>
      </c>
      <c r="H51" s="4">
        <v>100</v>
      </c>
      <c r="I51" s="4">
        <v>100</v>
      </c>
      <c r="J51" s="4">
        <v>100</v>
      </c>
      <c r="K51" s="4">
        <v>100</v>
      </c>
      <c r="L51" s="33">
        <f t="shared" si="0"/>
        <v>100</v>
      </c>
      <c r="M51" s="14">
        <f>'PENULISAN LAPORAN'!N50</f>
        <v>66.375</v>
      </c>
      <c r="N51" s="35">
        <v>92</v>
      </c>
      <c r="O51" s="35">
        <v>92</v>
      </c>
      <c r="P51" s="35">
        <v>92</v>
      </c>
      <c r="Q51" s="35">
        <v>92</v>
      </c>
      <c r="R51" s="35">
        <v>92</v>
      </c>
      <c r="S51" s="35">
        <v>92</v>
      </c>
      <c r="T51" s="35">
        <v>92</v>
      </c>
      <c r="U51" s="35">
        <v>92</v>
      </c>
      <c r="V51" s="14">
        <f t="shared" si="1"/>
        <v>92</v>
      </c>
      <c r="W51" s="4">
        <v>30</v>
      </c>
      <c r="X51" s="4">
        <v>80</v>
      </c>
      <c r="Y51" s="4">
        <v>80</v>
      </c>
      <c r="Z51" s="4">
        <v>70</v>
      </c>
      <c r="AA51" s="4">
        <v>70</v>
      </c>
      <c r="AB51" s="4">
        <v>30</v>
      </c>
      <c r="AC51" s="4">
        <v>30</v>
      </c>
      <c r="AD51" s="4">
        <v>0</v>
      </c>
      <c r="AE51" s="4">
        <f t="shared" si="2"/>
        <v>48.75</v>
      </c>
      <c r="AF51" s="29">
        <f>'KEMAMPUAN PRAKTIKUM'!H51</f>
        <v>54.000000000000007</v>
      </c>
      <c r="AG51" s="29">
        <f>'KEMAMPUAN PRAKTIKUM'!M51</f>
        <v>84</v>
      </c>
      <c r="AH51" s="29">
        <f>'KEMAMPUAN PRAKTIKUM'!R51</f>
        <v>48</v>
      </c>
      <c r="AI51" s="29">
        <f>'KEMAMPUAN PRAKTIKUM'!W51</f>
        <v>87.000000000000014</v>
      </c>
      <c r="AJ51" s="29">
        <f>'KEMAMPUAN PRAKTIKUM'!AB51</f>
        <v>75</v>
      </c>
      <c r="AK51" s="29">
        <f>'KEMAMPUAN PRAKTIKUM'!AG51</f>
        <v>55.5</v>
      </c>
      <c r="AL51" s="29">
        <f>'KEMAMPUAN PRAKTIKUM'!AL51</f>
        <v>87.000000000000014</v>
      </c>
      <c r="AM51" s="29">
        <f>'KEMAMPUAN PRAKTIKUM'!AQ51</f>
        <v>45</v>
      </c>
      <c r="AN51" s="14">
        <f t="shared" si="3"/>
        <v>66.9375</v>
      </c>
    </row>
    <row r="52" spans="1:40">
      <c r="A52" s="4">
        <f>'INPUT DAFTAR PESERTA'!A50</f>
        <v>47</v>
      </c>
      <c r="B52" s="4">
        <f>'INPUT DAFTAR PESERTA'!B50</f>
        <v>2509076047</v>
      </c>
      <c r="C52" s="6" t="str">
        <f>'INPUT DAFTAR PESERTA'!C50</f>
        <v>Rifky Prasetya</v>
      </c>
      <c r="D52" s="4">
        <v>100</v>
      </c>
      <c r="E52" s="4">
        <v>100</v>
      </c>
      <c r="F52" s="4">
        <v>100</v>
      </c>
      <c r="G52" s="4">
        <v>100</v>
      </c>
      <c r="H52" s="4">
        <v>100</v>
      </c>
      <c r="I52" s="4">
        <v>100</v>
      </c>
      <c r="J52" s="4">
        <v>100</v>
      </c>
      <c r="K52" s="4">
        <v>100</v>
      </c>
      <c r="L52" s="33">
        <f t="shared" si="0"/>
        <v>100</v>
      </c>
      <c r="M52" s="14">
        <f>'PENULISAN LAPORAN'!N51</f>
        <v>73</v>
      </c>
      <c r="N52" s="35">
        <v>90</v>
      </c>
      <c r="O52" s="35">
        <v>90</v>
      </c>
      <c r="P52" s="35">
        <v>90</v>
      </c>
      <c r="Q52" s="35">
        <v>90</v>
      </c>
      <c r="R52" s="35">
        <v>90</v>
      </c>
      <c r="S52" s="35">
        <v>90</v>
      </c>
      <c r="T52" s="35">
        <v>90</v>
      </c>
      <c r="U52" s="35">
        <v>90</v>
      </c>
      <c r="V52" s="14">
        <f t="shared" si="1"/>
        <v>90</v>
      </c>
      <c r="W52" s="4">
        <v>70</v>
      </c>
      <c r="X52" s="4">
        <v>80</v>
      </c>
      <c r="Y52" s="4">
        <v>80</v>
      </c>
      <c r="Z52" s="4">
        <v>70</v>
      </c>
      <c r="AA52" s="4">
        <v>70</v>
      </c>
      <c r="AB52" s="4">
        <v>30</v>
      </c>
      <c r="AC52" s="4">
        <v>30</v>
      </c>
      <c r="AD52" s="4">
        <v>0</v>
      </c>
      <c r="AE52" s="4">
        <f t="shared" si="2"/>
        <v>53.75</v>
      </c>
      <c r="AF52" s="29">
        <f>'KEMAMPUAN PRAKTIKUM'!H52</f>
        <v>69</v>
      </c>
      <c r="AG52" s="29">
        <f>'KEMAMPUAN PRAKTIKUM'!M52</f>
        <v>84</v>
      </c>
      <c r="AH52" s="29">
        <f>'KEMAMPUAN PRAKTIKUM'!R52</f>
        <v>72</v>
      </c>
      <c r="AI52" s="29">
        <f>'KEMAMPUAN PRAKTIKUM'!W52</f>
        <v>87.000000000000014</v>
      </c>
      <c r="AJ52" s="29">
        <f>'KEMAMPUAN PRAKTIKUM'!AB52</f>
        <v>90</v>
      </c>
      <c r="AK52" s="29">
        <f>'KEMAMPUAN PRAKTIKUM'!AG52</f>
        <v>55.5</v>
      </c>
      <c r="AL52" s="29">
        <f>'KEMAMPUAN PRAKTIKUM'!AL52</f>
        <v>87.000000000000014</v>
      </c>
      <c r="AM52" s="29">
        <f>'KEMAMPUAN PRAKTIKUM'!AQ52</f>
        <v>42</v>
      </c>
      <c r="AN52" s="14">
        <f t="shared" si="3"/>
        <v>73.3125</v>
      </c>
    </row>
    <row r="53" spans="1:40">
      <c r="A53" s="4">
        <f>'INPUT DAFTAR PESERTA'!A51</f>
        <v>48</v>
      </c>
      <c r="B53" s="4">
        <f>'INPUT DAFTAR PESERTA'!B51</f>
        <v>2509076048</v>
      </c>
      <c r="C53" s="6" t="str">
        <f>'INPUT DAFTAR PESERTA'!C51</f>
        <v>Yusriel Ramadhan</v>
      </c>
      <c r="D53" s="4">
        <v>100</v>
      </c>
      <c r="E53" s="4">
        <v>100</v>
      </c>
      <c r="F53" s="4">
        <v>100</v>
      </c>
      <c r="G53" s="4">
        <v>100</v>
      </c>
      <c r="H53" s="4">
        <v>100</v>
      </c>
      <c r="I53" s="4">
        <v>100</v>
      </c>
      <c r="J53" s="4">
        <v>100</v>
      </c>
      <c r="K53" s="4">
        <v>100</v>
      </c>
      <c r="L53" s="33">
        <f t="shared" si="0"/>
        <v>100</v>
      </c>
      <c r="M53" s="14">
        <f>'PENULISAN LAPORAN'!N52</f>
        <v>48.25</v>
      </c>
      <c r="N53" s="35">
        <v>82</v>
      </c>
      <c r="O53" s="35">
        <v>82</v>
      </c>
      <c r="P53" s="35">
        <v>82</v>
      </c>
      <c r="Q53" s="35">
        <v>82</v>
      </c>
      <c r="R53" s="35">
        <v>82</v>
      </c>
      <c r="S53" s="35">
        <v>82</v>
      </c>
      <c r="T53" s="35">
        <v>82</v>
      </c>
      <c r="U53" s="35">
        <v>82</v>
      </c>
      <c r="V53" s="14">
        <f t="shared" si="1"/>
        <v>82</v>
      </c>
      <c r="W53" s="4">
        <v>30</v>
      </c>
      <c r="X53" s="4">
        <v>70</v>
      </c>
      <c r="Y53" s="4">
        <v>30</v>
      </c>
      <c r="Z53" s="4">
        <v>70</v>
      </c>
      <c r="AA53" s="4">
        <v>40</v>
      </c>
      <c r="AB53" s="4">
        <v>30</v>
      </c>
      <c r="AC53" s="4">
        <v>30</v>
      </c>
      <c r="AD53" s="4">
        <v>0</v>
      </c>
      <c r="AE53" s="4">
        <f t="shared" si="2"/>
        <v>37.5</v>
      </c>
      <c r="AF53" s="29">
        <f>'KEMAMPUAN PRAKTIKUM'!H53</f>
        <v>57</v>
      </c>
      <c r="AG53" s="29">
        <f>'KEMAMPUAN PRAKTIKUM'!M53</f>
        <v>54</v>
      </c>
      <c r="AH53" s="29">
        <f>'KEMAMPUAN PRAKTIKUM'!R53</f>
        <v>60.000000000000007</v>
      </c>
      <c r="AI53" s="29">
        <f>'KEMAMPUAN PRAKTIKUM'!W53</f>
        <v>57.000000000000007</v>
      </c>
      <c r="AJ53" s="29">
        <f>'KEMAMPUAN PRAKTIKUM'!AB53</f>
        <v>30.000000000000004</v>
      </c>
      <c r="AK53" s="29">
        <f>'KEMAMPUAN PRAKTIKUM'!AG53</f>
        <v>45</v>
      </c>
      <c r="AL53" s="29">
        <f>'KEMAMPUAN PRAKTIKUM'!AL53</f>
        <v>72</v>
      </c>
      <c r="AM53" s="29">
        <f>'KEMAMPUAN PRAKTIKUM'!AQ53</f>
        <v>57</v>
      </c>
      <c r="AN53" s="14">
        <f t="shared" si="3"/>
        <v>54</v>
      </c>
    </row>
    <row r="54" spans="1:40">
      <c r="A54" s="4">
        <f>'INPUT DAFTAR PESERTA'!A52</f>
        <v>49</v>
      </c>
      <c r="B54" s="4">
        <f>'INPUT DAFTAR PESERTA'!B52</f>
        <v>2509076049</v>
      </c>
      <c r="C54" s="6" t="str">
        <f>'INPUT DAFTAR PESERTA'!C52</f>
        <v>Jiyad Prasetyo Abimanyu</v>
      </c>
      <c r="D54" s="4">
        <v>100</v>
      </c>
      <c r="E54" s="4">
        <v>100</v>
      </c>
      <c r="F54" s="4">
        <v>100</v>
      </c>
      <c r="G54" s="4">
        <v>100</v>
      </c>
      <c r="H54" s="4">
        <v>100</v>
      </c>
      <c r="I54" s="4">
        <v>100</v>
      </c>
      <c r="J54" s="4"/>
      <c r="K54" s="4">
        <v>100</v>
      </c>
      <c r="L54" s="33">
        <f t="shared" si="0"/>
        <v>87.5</v>
      </c>
      <c r="M54" s="14">
        <f>'PENULISAN LAPORAN'!N53</f>
        <v>63.8</v>
      </c>
      <c r="N54" s="35">
        <v>96</v>
      </c>
      <c r="O54" s="35">
        <v>96</v>
      </c>
      <c r="P54" s="35">
        <v>96</v>
      </c>
      <c r="Q54" s="35">
        <v>96</v>
      </c>
      <c r="R54" s="35">
        <v>96</v>
      </c>
      <c r="S54" s="35">
        <v>96</v>
      </c>
      <c r="T54" s="35">
        <v>96</v>
      </c>
      <c r="U54" s="35">
        <v>96</v>
      </c>
      <c r="V54" s="14">
        <f t="shared" si="1"/>
        <v>96</v>
      </c>
      <c r="W54" s="4">
        <v>30</v>
      </c>
      <c r="X54" s="4">
        <v>70</v>
      </c>
      <c r="Y54" s="4">
        <v>30</v>
      </c>
      <c r="Z54" s="4">
        <v>70</v>
      </c>
      <c r="AA54" s="4">
        <v>60</v>
      </c>
      <c r="AB54" s="4">
        <v>30</v>
      </c>
      <c r="AC54" s="4">
        <v>0</v>
      </c>
      <c r="AD54" s="4">
        <v>70</v>
      </c>
      <c r="AE54" s="4">
        <f t="shared" si="2"/>
        <v>45</v>
      </c>
      <c r="AF54" s="29">
        <f>'KEMAMPUAN PRAKTIKUM'!H54</f>
        <v>75.000000000000014</v>
      </c>
      <c r="AG54" s="29">
        <f>'KEMAMPUAN PRAKTIKUM'!M54</f>
        <v>69</v>
      </c>
      <c r="AH54" s="29">
        <f>'KEMAMPUAN PRAKTIKUM'!R54</f>
        <v>90</v>
      </c>
      <c r="AI54" s="29">
        <f>'KEMAMPUAN PRAKTIKUM'!W54</f>
        <v>45</v>
      </c>
      <c r="AJ54" s="29">
        <f>'KEMAMPUAN PRAKTIKUM'!AB54</f>
        <v>75</v>
      </c>
      <c r="AK54" s="29">
        <f>'KEMAMPUAN PRAKTIKUM'!AG54</f>
        <v>45</v>
      </c>
      <c r="AL54" s="29">
        <f>'KEMAMPUAN PRAKTIKUM'!AL54</f>
        <v>57.000000000000007</v>
      </c>
      <c r="AM54" s="29">
        <f>'KEMAMPUAN PRAKTIKUM'!AQ54</f>
        <v>57</v>
      </c>
      <c r="AN54" s="14">
        <f t="shared" si="3"/>
        <v>64.125</v>
      </c>
    </row>
    <row r="55" spans="1:40">
      <c r="A55" s="4">
        <f>'INPUT DAFTAR PESERTA'!A53</f>
        <v>50</v>
      </c>
      <c r="B55" s="4">
        <f>'INPUT DAFTAR PESERTA'!B53</f>
        <v>2509076050</v>
      </c>
      <c r="C55" s="6" t="str">
        <f>'INPUT DAFTAR PESERTA'!C53</f>
        <v>Muhammad Alfin Al Hakim</v>
      </c>
      <c r="D55" s="4">
        <v>100</v>
      </c>
      <c r="E55" s="4">
        <v>100</v>
      </c>
      <c r="F55" s="4">
        <v>100</v>
      </c>
      <c r="G55" s="4">
        <v>100</v>
      </c>
      <c r="H55" s="4">
        <v>100</v>
      </c>
      <c r="I55" s="4">
        <v>100</v>
      </c>
      <c r="J55" s="4">
        <v>100</v>
      </c>
      <c r="K55" s="4">
        <v>100</v>
      </c>
      <c r="L55" s="33">
        <f t="shared" si="0"/>
        <v>100</v>
      </c>
      <c r="M55" s="14">
        <f>'PENULISAN LAPORAN'!N54</f>
        <v>62.5625</v>
      </c>
      <c r="N55" s="35">
        <v>84</v>
      </c>
      <c r="O55" s="35">
        <v>84</v>
      </c>
      <c r="P55" s="35">
        <v>84</v>
      </c>
      <c r="Q55" s="35">
        <v>84</v>
      </c>
      <c r="R55" s="35">
        <v>84</v>
      </c>
      <c r="S55" s="35">
        <v>84</v>
      </c>
      <c r="T55" s="35">
        <v>84</v>
      </c>
      <c r="U55" s="35">
        <v>84</v>
      </c>
      <c r="V55" s="14">
        <f t="shared" si="1"/>
        <v>84</v>
      </c>
      <c r="W55" s="4">
        <v>30</v>
      </c>
      <c r="X55" s="4">
        <v>70</v>
      </c>
      <c r="Y55" s="4">
        <v>30</v>
      </c>
      <c r="Z55" s="4">
        <v>70</v>
      </c>
      <c r="AA55" s="4">
        <v>30</v>
      </c>
      <c r="AB55" s="4">
        <v>60</v>
      </c>
      <c r="AC55" s="4">
        <v>60</v>
      </c>
      <c r="AD55" s="4">
        <v>60</v>
      </c>
      <c r="AE55" s="4">
        <f t="shared" si="2"/>
        <v>51.25</v>
      </c>
      <c r="AF55" s="29">
        <f>'KEMAMPUAN PRAKTIKUM'!H55</f>
        <v>69</v>
      </c>
      <c r="AG55" s="29">
        <f>'KEMAMPUAN PRAKTIKUM'!M55</f>
        <v>69</v>
      </c>
      <c r="AH55" s="29">
        <f>'KEMAMPUAN PRAKTIKUM'!R55</f>
        <v>90</v>
      </c>
      <c r="AI55" s="29">
        <f>'KEMAMPUAN PRAKTIKUM'!W55</f>
        <v>72</v>
      </c>
      <c r="AJ55" s="29">
        <f>'KEMAMPUAN PRAKTIKUM'!AB55</f>
        <v>75</v>
      </c>
      <c r="AK55" s="29">
        <f>'KEMAMPUAN PRAKTIKUM'!AG55</f>
        <v>45</v>
      </c>
      <c r="AL55" s="29">
        <f>'KEMAMPUAN PRAKTIKUM'!AL55</f>
        <v>72</v>
      </c>
      <c r="AM55" s="29">
        <f>'KEMAMPUAN PRAKTIKUM'!AQ55</f>
        <v>42</v>
      </c>
      <c r="AN55" s="14">
        <f t="shared" si="3"/>
        <v>66.75</v>
      </c>
    </row>
    <row r="56" spans="1:40">
      <c r="A56" s="4">
        <f>'INPUT DAFTAR PESERTA'!A54</f>
        <v>51</v>
      </c>
      <c r="B56" s="4">
        <f>'INPUT DAFTAR PESERTA'!B54</f>
        <v>2509076051</v>
      </c>
      <c r="C56" s="6" t="str">
        <f>'INPUT DAFTAR PESERTA'!C54</f>
        <v>Naufal Kurniawan</v>
      </c>
      <c r="D56" s="4">
        <v>100</v>
      </c>
      <c r="E56" s="4">
        <v>100</v>
      </c>
      <c r="F56" s="4">
        <v>100</v>
      </c>
      <c r="G56" s="4">
        <v>100</v>
      </c>
      <c r="H56" s="4">
        <v>100</v>
      </c>
      <c r="I56" s="4">
        <v>100</v>
      </c>
      <c r="J56" s="4">
        <v>100</v>
      </c>
      <c r="K56" s="4">
        <v>100</v>
      </c>
      <c r="L56" s="33">
        <f t="shared" si="0"/>
        <v>100</v>
      </c>
      <c r="M56" s="14">
        <f>'PENULISAN LAPORAN'!N55</f>
        <v>62.8125</v>
      </c>
      <c r="N56" s="35">
        <v>94</v>
      </c>
      <c r="O56" s="35">
        <v>94</v>
      </c>
      <c r="P56" s="35">
        <v>94</v>
      </c>
      <c r="Q56" s="35">
        <v>94</v>
      </c>
      <c r="R56" s="35">
        <v>94</v>
      </c>
      <c r="S56" s="35">
        <v>94</v>
      </c>
      <c r="T56" s="35">
        <v>94</v>
      </c>
      <c r="U56" s="35">
        <v>94</v>
      </c>
      <c r="V56" s="14">
        <f t="shared" si="1"/>
        <v>94</v>
      </c>
      <c r="W56" s="4">
        <v>30</v>
      </c>
      <c r="X56" s="4">
        <v>70</v>
      </c>
      <c r="Y56" s="4">
        <v>80</v>
      </c>
      <c r="Z56" s="4">
        <v>70</v>
      </c>
      <c r="AA56" s="4">
        <v>60</v>
      </c>
      <c r="AB56" s="4">
        <v>30</v>
      </c>
      <c r="AC56" s="4">
        <v>30</v>
      </c>
      <c r="AD56" s="4">
        <v>60</v>
      </c>
      <c r="AE56" s="4">
        <f t="shared" si="2"/>
        <v>53.75</v>
      </c>
      <c r="AF56" s="29">
        <f>'KEMAMPUAN PRAKTIKUM'!H56</f>
        <v>69</v>
      </c>
      <c r="AG56" s="29">
        <f>'KEMAMPUAN PRAKTIKUM'!M56</f>
        <v>69</v>
      </c>
      <c r="AH56" s="29">
        <f>'KEMAMPUAN PRAKTIKUM'!R56</f>
        <v>87.000000000000014</v>
      </c>
      <c r="AI56" s="29">
        <f>'KEMAMPUAN PRAKTIKUM'!W56</f>
        <v>72</v>
      </c>
      <c r="AJ56" s="29">
        <f>'KEMAMPUAN PRAKTIKUM'!AB56</f>
        <v>45</v>
      </c>
      <c r="AK56" s="29">
        <f>'KEMAMPUAN PRAKTIKUM'!AG56</f>
        <v>45</v>
      </c>
      <c r="AL56" s="29">
        <f>'KEMAMPUAN PRAKTIKUM'!AL56</f>
        <v>72</v>
      </c>
      <c r="AM56" s="29">
        <f>'KEMAMPUAN PRAKTIKUM'!AQ56</f>
        <v>42</v>
      </c>
      <c r="AN56" s="14">
        <f t="shared" si="3"/>
        <v>62.625</v>
      </c>
    </row>
    <row r="57" spans="1:40">
      <c r="A57" s="4">
        <f>'INPUT DAFTAR PESERTA'!A55</f>
        <v>52</v>
      </c>
      <c r="B57" s="4">
        <f>'INPUT DAFTAR PESERTA'!B55</f>
        <v>2509076052</v>
      </c>
      <c r="C57" s="6" t="str">
        <f>'INPUT DAFTAR PESERTA'!C55</f>
        <v>Rifky Maulana Ilham</v>
      </c>
      <c r="D57" s="4">
        <v>100</v>
      </c>
      <c r="E57" s="4">
        <v>100</v>
      </c>
      <c r="F57" s="4">
        <v>100</v>
      </c>
      <c r="G57" s="4">
        <v>100</v>
      </c>
      <c r="H57" s="4">
        <v>100</v>
      </c>
      <c r="I57" s="4">
        <v>100</v>
      </c>
      <c r="J57" s="4">
        <v>100</v>
      </c>
      <c r="K57" s="4">
        <v>100</v>
      </c>
      <c r="L57" s="33">
        <f t="shared" si="0"/>
        <v>100</v>
      </c>
      <c r="M57" s="14">
        <f>'PENULISAN LAPORAN'!N56</f>
        <v>77.55</v>
      </c>
      <c r="N57" s="35">
        <v>94</v>
      </c>
      <c r="O57" s="35">
        <v>94</v>
      </c>
      <c r="P57" s="35">
        <v>94</v>
      </c>
      <c r="Q57" s="35">
        <v>94</v>
      </c>
      <c r="R57" s="35">
        <v>94</v>
      </c>
      <c r="S57" s="35">
        <v>94</v>
      </c>
      <c r="T57" s="35">
        <v>94</v>
      </c>
      <c r="U57" s="35">
        <v>94</v>
      </c>
      <c r="V57" s="14">
        <f t="shared" si="1"/>
        <v>94</v>
      </c>
      <c r="W57" s="4">
        <v>70</v>
      </c>
      <c r="X57" s="4">
        <v>80</v>
      </c>
      <c r="Y57" s="4">
        <v>80</v>
      </c>
      <c r="Z57" s="4">
        <v>70</v>
      </c>
      <c r="AA57" s="4">
        <v>70</v>
      </c>
      <c r="AB57" s="4">
        <v>30</v>
      </c>
      <c r="AC57" s="4">
        <v>60</v>
      </c>
      <c r="AD57" s="4">
        <v>70</v>
      </c>
      <c r="AE57" s="4">
        <f t="shared" si="2"/>
        <v>66.25</v>
      </c>
      <c r="AF57" s="29">
        <f>'KEMAMPUAN PRAKTIKUM'!H57</f>
        <v>90</v>
      </c>
      <c r="AG57" s="29">
        <f>'KEMAMPUAN PRAKTIKUM'!M57</f>
        <v>84</v>
      </c>
      <c r="AH57" s="29">
        <f>'KEMAMPUAN PRAKTIKUM'!R57</f>
        <v>87.000000000000014</v>
      </c>
      <c r="AI57" s="29">
        <f>'KEMAMPUAN PRAKTIKUM'!W57</f>
        <v>87.000000000000014</v>
      </c>
      <c r="AJ57" s="29">
        <f>'KEMAMPUAN PRAKTIKUM'!AB57</f>
        <v>75</v>
      </c>
      <c r="AK57" s="29">
        <f>'KEMAMPUAN PRAKTIKUM'!AG57</f>
        <v>60.000000000000007</v>
      </c>
      <c r="AL57" s="29">
        <f>'KEMAMPUAN PRAKTIKUM'!AL57</f>
        <v>0</v>
      </c>
      <c r="AM57" s="29">
        <f>'KEMAMPUAN PRAKTIKUM'!AQ57</f>
        <v>57</v>
      </c>
      <c r="AN57" s="14">
        <f t="shared" si="3"/>
        <v>67.5</v>
      </c>
    </row>
    <row r="58" spans="1:40">
      <c r="A58" s="4">
        <f>'INPUT DAFTAR PESERTA'!A56</f>
        <v>53</v>
      </c>
      <c r="B58" s="4">
        <f>'INPUT DAFTAR PESERTA'!B56</f>
        <v>2509076053</v>
      </c>
      <c r="C58" s="6" t="str">
        <f>'INPUT DAFTAR PESERTA'!C56</f>
        <v>Aditia Prayoga</v>
      </c>
      <c r="D58" s="4">
        <v>100</v>
      </c>
      <c r="E58" s="4">
        <v>100</v>
      </c>
      <c r="F58" s="4">
        <v>100</v>
      </c>
      <c r="G58" s="4">
        <v>100</v>
      </c>
      <c r="H58" s="4">
        <v>100</v>
      </c>
      <c r="I58" s="4">
        <v>100</v>
      </c>
      <c r="J58" s="4"/>
      <c r="K58" s="4">
        <v>100</v>
      </c>
      <c r="L58" s="33">
        <f t="shared" si="0"/>
        <v>87.5</v>
      </c>
      <c r="M58" s="14">
        <f>'PENULISAN LAPORAN'!N57</f>
        <v>55.5</v>
      </c>
      <c r="N58" s="35">
        <v>56</v>
      </c>
      <c r="O58" s="35">
        <v>56</v>
      </c>
      <c r="P58" s="35">
        <v>56</v>
      </c>
      <c r="Q58" s="35">
        <v>56</v>
      </c>
      <c r="R58" s="35">
        <v>56</v>
      </c>
      <c r="S58" s="35">
        <v>56</v>
      </c>
      <c r="T58" s="35">
        <v>56</v>
      </c>
      <c r="U58" s="35">
        <v>56</v>
      </c>
      <c r="V58" s="14">
        <f t="shared" si="1"/>
        <v>56</v>
      </c>
      <c r="W58" s="4">
        <v>30</v>
      </c>
      <c r="X58" s="4">
        <v>30</v>
      </c>
      <c r="Y58" s="4">
        <v>70</v>
      </c>
      <c r="Z58" s="4">
        <v>70</v>
      </c>
      <c r="AA58" s="4">
        <v>70</v>
      </c>
      <c r="AB58" s="4">
        <v>30</v>
      </c>
      <c r="AC58" s="4">
        <v>0</v>
      </c>
      <c r="AD58" s="4">
        <v>30</v>
      </c>
      <c r="AE58" s="4">
        <f t="shared" si="2"/>
        <v>41.25</v>
      </c>
      <c r="AF58" s="29">
        <f>'KEMAMPUAN PRAKTIKUM'!H58</f>
        <v>45</v>
      </c>
      <c r="AG58" s="29">
        <f>'KEMAMPUAN PRAKTIKUM'!M58</f>
        <v>60.000000000000007</v>
      </c>
      <c r="AH58" s="29">
        <f>'KEMAMPUAN PRAKTIKUM'!R58</f>
        <v>72</v>
      </c>
      <c r="AI58" s="29">
        <f>'KEMAMPUAN PRAKTIKUM'!W58</f>
        <v>72</v>
      </c>
      <c r="AJ58" s="29">
        <f>'KEMAMPUAN PRAKTIKUM'!AB58</f>
        <v>75</v>
      </c>
      <c r="AK58" s="29">
        <f>'KEMAMPUAN PRAKTIKUM'!AG58</f>
        <v>15</v>
      </c>
      <c r="AL58" s="29">
        <f>'KEMAMPUAN PRAKTIKUM'!AL58</f>
        <v>57.000000000000007</v>
      </c>
      <c r="AM58" s="29">
        <f>'KEMAMPUAN PRAKTIKUM'!AQ58</f>
        <v>72</v>
      </c>
      <c r="AN58" s="14">
        <f t="shared" si="3"/>
        <v>58.5</v>
      </c>
    </row>
    <row r="59" spans="1:40">
      <c r="A59" s="4">
        <f>'INPUT DAFTAR PESERTA'!A57</f>
        <v>54</v>
      </c>
      <c r="B59" s="4">
        <f>'INPUT DAFTAR PESERTA'!B57</f>
        <v>2509076054</v>
      </c>
      <c r="C59" s="6" t="str">
        <f>'INPUT DAFTAR PESERTA'!C57</f>
        <v>Muhammad Andi Faris De'mozart</v>
      </c>
      <c r="D59" s="4">
        <v>100</v>
      </c>
      <c r="E59" s="4">
        <v>100</v>
      </c>
      <c r="F59" s="4">
        <v>100</v>
      </c>
      <c r="G59" s="4">
        <v>100</v>
      </c>
      <c r="H59" s="4">
        <v>100</v>
      </c>
      <c r="I59" s="4">
        <v>100</v>
      </c>
      <c r="J59" s="4">
        <v>100</v>
      </c>
      <c r="K59" s="4">
        <v>100</v>
      </c>
      <c r="L59" s="33">
        <f t="shared" si="0"/>
        <v>100</v>
      </c>
      <c r="M59" s="14">
        <f>'PENULISAN LAPORAN'!N58</f>
        <v>60.3125</v>
      </c>
      <c r="N59" s="35">
        <v>52</v>
      </c>
      <c r="O59" s="35">
        <v>52</v>
      </c>
      <c r="P59" s="35">
        <v>52</v>
      </c>
      <c r="Q59" s="35">
        <v>52</v>
      </c>
      <c r="R59" s="35">
        <v>52</v>
      </c>
      <c r="S59" s="35">
        <v>52</v>
      </c>
      <c r="T59" s="35">
        <v>52</v>
      </c>
      <c r="U59" s="35">
        <v>52</v>
      </c>
      <c r="V59" s="14">
        <f t="shared" si="1"/>
        <v>52</v>
      </c>
      <c r="W59" s="4">
        <v>30</v>
      </c>
      <c r="X59" s="4">
        <v>70</v>
      </c>
      <c r="Y59" s="4">
        <v>80</v>
      </c>
      <c r="Z59" s="4">
        <v>70</v>
      </c>
      <c r="AA59" s="4">
        <v>70</v>
      </c>
      <c r="AB59" s="4">
        <v>30</v>
      </c>
      <c r="AC59" s="4">
        <v>30</v>
      </c>
      <c r="AD59" s="4">
        <v>80</v>
      </c>
      <c r="AE59" s="4">
        <f t="shared" si="2"/>
        <v>57.5</v>
      </c>
      <c r="AF59" s="29">
        <f>'KEMAMPUAN PRAKTIKUM'!H59</f>
        <v>57.000000000000007</v>
      </c>
      <c r="AG59" s="29">
        <f>'KEMAMPUAN PRAKTIKUM'!M59</f>
        <v>60.000000000000007</v>
      </c>
      <c r="AH59" s="29">
        <f>'KEMAMPUAN PRAKTIKUM'!R59</f>
        <v>87.000000000000014</v>
      </c>
      <c r="AI59" s="29">
        <f>'KEMAMPUAN PRAKTIKUM'!W59</f>
        <v>87.000000000000014</v>
      </c>
      <c r="AJ59" s="29">
        <f>'KEMAMPUAN PRAKTIKUM'!AB59</f>
        <v>75</v>
      </c>
      <c r="AK59" s="29">
        <f>'KEMAMPUAN PRAKTIKUM'!AG59</f>
        <v>45</v>
      </c>
      <c r="AL59" s="29">
        <f>'KEMAMPUAN PRAKTIKUM'!AL59</f>
        <v>0</v>
      </c>
      <c r="AM59" s="29">
        <f>'KEMAMPUAN PRAKTIKUM'!AQ59</f>
        <v>72</v>
      </c>
      <c r="AN59" s="14">
        <f t="shared" si="3"/>
        <v>60.375000000000007</v>
      </c>
    </row>
    <row r="60" spans="1:40">
      <c r="A60" s="4">
        <f>'INPUT DAFTAR PESERTA'!A58</f>
        <v>55</v>
      </c>
      <c r="B60" s="4">
        <f>'INPUT DAFTAR PESERTA'!B58</f>
        <v>2509076055</v>
      </c>
      <c r="C60" s="6" t="str">
        <f>'INPUT DAFTAR PESERTA'!C58</f>
        <v>Faiq Ramadhan Firdaus</v>
      </c>
      <c r="D60" s="4">
        <v>100</v>
      </c>
      <c r="E60" s="4">
        <v>100</v>
      </c>
      <c r="F60" s="4">
        <v>100</v>
      </c>
      <c r="G60" s="4">
        <v>100</v>
      </c>
      <c r="H60" s="4">
        <v>100</v>
      </c>
      <c r="I60" s="4">
        <v>100</v>
      </c>
      <c r="J60" s="4"/>
      <c r="K60" s="4">
        <v>100</v>
      </c>
      <c r="L60" s="33">
        <f t="shared" si="0"/>
        <v>87.5</v>
      </c>
      <c r="M60" s="14">
        <f>'PENULISAN LAPORAN'!N59</f>
        <v>18.9375</v>
      </c>
      <c r="N60" s="35">
        <v>82</v>
      </c>
      <c r="O60" s="35">
        <v>82</v>
      </c>
      <c r="P60" s="35">
        <v>82</v>
      </c>
      <c r="Q60" s="35">
        <v>82</v>
      </c>
      <c r="R60" s="35">
        <v>82</v>
      </c>
      <c r="S60" s="35">
        <v>82</v>
      </c>
      <c r="T60" s="35">
        <v>82</v>
      </c>
      <c r="U60" s="35">
        <v>82</v>
      </c>
      <c r="V60" s="14">
        <f t="shared" si="1"/>
        <v>82</v>
      </c>
      <c r="W60" s="4">
        <v>70</v>
      </c>
      <c r="X60" s="4">
        <v>0</v>
      </c>
      <c r="Y60" s="4"/>
      <c r="Z60" s="4"/>
      <c r="AA60" s="4">
        <v>0</v>
      </c>
      <c r="AB60" s="4"/>
      <c r="AC60" s="4"/>
      <c r="AD60" s="4"/>
      <c r="AE60" s="4">
        <f t="shared" si="2"/>
        <v>8.75</v>
      </c>
      <c r="AF60" s="29">
        <f>'KEMAMPUAN PRAKTIKUM'!H60</f>
        <v>54</v>
      </c>
      <c r="AG60" s="29">
        <f>'KEMAMPUAN PRAKTIKUM'!M60</f>
        <v>45</v>
      </c>
      <c r="AH60" s="29">
        <f>'KEMAMPUAN PRAKTIKUM'!R60</f>
        <v>57.000000000000007</v>
      </c>
      <c r="AI60" s="29">
        <f>'KEMAMPUAN PRAKTIKUM'!W60</f>
        <v>0</v>
      </c>
      <c r="AJ60" s="29">
        <f>'KEMAMPUAN PRAKTIKUM'!AB60</f>
        <v>75</v>
      </c>
      <c r="AK60" s="29">
        <f>'KEMAMPUAN PRAKTIKUM'!AG60</f>
        <v>57.000000000000007</v>
      </c>
      <c r="AL60" s="29">
        <f>'KEMAMPUAN PRAKTIKUM'!AL60</f>
        <v>57.000000000000007</v>
      </c>
      <c r="AM60" s="29">
        <f>'KEMAMPUAN PRAKTIKUM'!AQ60</f>
        <v>72</v>
      </c>
      <c r="AN60" s="14">
        <f t="shared" si="3"/>
        <v>52.125</v>
      </c>
    </row>
    <row r="61" spans="1:40">
      <c r="A61" s="4">
        <f>'INPUT DAFTAR PESERTA'!A59</f>
        <v>56</v>
      </c>
      <c r="B61" s="4">
        <f>'INPUT DAFTAR PESERTA'!B59</f>
        <v>2509076056</v>
      </c>
      <c r="C61" s="6" t="str">
        <f>'INPUT DAFTAR PESERTA'!C59</f>
        <v>Fachry Nazrul Ramadhan</v>
      </c>
      <c r="D61" s="4">
        <v>100</v>
      </c>
      <c r="E61" s="4">
        <v>100</v>
      </c>
      <c r="F61" s="4">
        <v>100</v>
      </c>
      <c r="G61" s="4">
        <v>100</v>
      </c>
      <c r="H61" s="4">
        <v>100</v>
      </c>
      <c r="I61" s="4">
        <v>100</v>
      </c>
      <c r="J61" s="4">
        <v>100</v>
      </c>
      <c r="K61" s="4">
        <v>100</v>
      </c>
      <c r="L61" s="33">
        <f t="shared" si="0"/>
        <v>100</v>
      </c>
      <c r="M61" s="14">
        <f>'PENULISAN LAPORAN'!N60</f>
        <v>79.53125</v>
      </c>
      <c r="N61" s="35">
        <v>62</v>
      </c>
      <c r="O61" s="35">
        <v>62</v>
      </c>
      <c r="P61" s="35">
        <v>62</v>
      </c>
      <c r="Q61" s="35">
        <v>62</v>
      </c>
      <c r="R61" s="35">
        <v>62</v>
      </c>
      <c r="S61" s="35">
        <v>62</v>
      </c>
      <c r="T61" s="35">
        <v>62</v>
      </c>
      <c r="U61" s="35">
        <v>62</v>
      </c>
      <c r="V61" s="14">
        <f t="shared" si="1"/>
        <v>62</v>
      </c>
      <c r="W61" s="4">
        <v>70</v>
      </c>
      <c r="X61" s="4">
        <v>70</v>
      </c>
      <c r="Y61" s="4">
        <v>80</v>
      </c>
      <c r="Z61" s="4">
        <v>70</v>
      </c>
      <c r="AA61" s="4">
        <v>70</v>
      </c>
      <c r="AB61" s="4">
        <v>70</v>
      </c>
      <c r="AC61" s="4">
        <v>30</v>
      </c>
      <c r="AD61" s="4">
        <v>80</v>
      </c>
      <c r="AE61" s="4">
        <f t="shared" si="2"/>
        <v>67.5</v>
      </c>
      <c r="AF61" s="29">
        <f>'KEMAMPUAN PRAKTIKUM'!H61</f>
        <v>90</v>
      </c>
      <c r="AG61" s="29">
        <f>'KEMAMPUAN PRAKTIKUM'!M61</f>
        <v>75</v>
      </c>
      <c r="AH61" s="29">
        <f>'KEMAMPUAN PRAKTIKUM'!R61</f>
        <v>90</v>
      </c>
      <c r="AI61" s="29">
        <f>'KEMAMPUAN PRAKTIKUM'!W61</f>
        <v>87.000000000000014</v>
      </c>
      <c r="AJ61" s="29">
        <f>'KEMAMPUAN PRAKTIKUM'!AB61</f>
        <v>75</v>
      </c>
      <c r="AK61" s="29">
        <f>'KEMAMPUAN PRAKTIKUM'!AG61</f>
        <v>64.500000000000014</v>
      </c>
      <c r="AL61" s="29">
        <f>'KEMAMPUAN PRAKTIKUM'!AL61</f>
        <v>57.000000000000007</v>
      </c>
      <c r="AM61" s="29">
        <f>'KEMAMPUAN PRAKTIKUM'!AQ61</f>
        <v>72</v>
      </c>
      <c r="AN61" s="14">
        <f t="shared" si="3"/>
        <v>76.3125</v>
      </c>
    </row>
    <row r="62" spans="1:40">
      <c r="A62" s="4">
        <f>'INPUT DAFTAR PESERTA'!A60</f>
        <v>57</v>
      </c>
      <c r="B62" s="4">
        <f>'INPUT DAFTAR PESERTA'!B60</f>
        <v>2509076057</v>
      </c>
      <c r="C62" s="6" t="str">
        <f>'INPUT DAFTAR PESERTA'!C60</f>
        <v>Bagas Sudidi</v>
      </c>
      <c r="D62" s="4">
        <v>100</v>
      </c>
      <c r="E62" s="4">
        <v>100</v>
      </c>
      <c r="F62" s="4"/>
      <c r="G62" s="4">
        <v>100</v>
      </c>
      <c r="H62" s="4">
        <v>100</v>
      </c>
      <c r="I62" s="4">
        <v>100</v>
      </c>
      <c r="J62" s="4">
        <v>100</v>
      </c>
      <c r="K62" s="4">
        <v>100</v>
      </c>
      <c r="L62" s="33">
        <f t="shared" si="0"/>
        <v>87.5</v>
      </c>
      <c r="M62" s="14">
        <f>'PENULISAN LAPORAN'!N61</f>
        <v>50.625</v>
      </c>
      <c r="N62" s="35">
        <v>68</v>
      </c>
      <c r="O62" s="35">
        <v>68</v>
      </c>
      <c r="P62" s="35">
        <v>68</v>
      </c>
      <c r="Q62" s="35">
        <v>68</v>
      </c>
      <c r="R62" s="35">
        <v>68</v>
      </c>
      <c r="S62" s="35">
        <v>68</v>
      </c>
      <c r="T62" s="35">
        <v>68</v>
      </c>
      <c r="U62" s="35">
        <v>68</v>
      </c>
      <c r="V62" s="14">
        <f t="shared" si="1"/>
        <v>68</v>
      </c>
      <c r="W62" s="4">
        <v>30</v>
      </c>
      <c r="X62" s="4">
        <v>30</v>
      </c>
      <c r="Y62" s="4">
        <v>30</v>
      </c>
      <c r="Z62" s="4">
        <v>30</v>
      </c>
      <c r="AA62" s="4">
        <v>70</v>
      </c>
      <c r="AB62" s="4">
        <v>60</v>
      </c>
      <c r="AC62" s="4">
        <v>60</v>
      </c>
      <c r="AD62" s="4">
        <v>30</v>
      </c>
      <c r="AE62" s="4">
        <f t="shared" si="2"/>
        <v>42.5</v>
      </c>
      <c r="AF62" s="29">
        <f>'KEMAMPUAN PRAKTIKUM'!H62</f>
        <v>60.000000000000007</v>
      </c>
      <c r="AG62" s="29">
        <f>'KEMAMPUAN PRAKTIKUM'!M62</f>
        <v>75.000000000000014</v>
      </c>
      <c r="AH62" s="29">
        <f>'KEMAMPUAN PRAKTIKUM'!R62</f>
        <v>75.000000000000014</v>
      </c>
      <c r="AI62" s="29">
        <f>'KEMAMPUAN PRAKTIKUM'!W62</f>
        <v>60.000000000000007</v>
      </c>
      <c r="AJ62" s="29">
        <f>'KEMAMPUAN PRAKTIKUM'!AB62</f>
        <v>75</v>
      </c>
      <c r="AK62" s="29">
        <f>'KEMAMPUAN PRAKTIKUM'!AG62</f>
        <v>45</v>
      </c>
      <c r="AL62" s="29">
        <f>'KEMAMPUAN PRAKTIKUM'!AL62</f>
        <v>72</v>
      </c>
      <c r="AM62" s="29">
        <f>'KEMAMPUAN PRAKTIKUM'!AQ62</f>
        <v>72</v>
      </c>
      <c r="AN62" s="14">
        <f t="shared" si="3"/>
        <v>66.75</v>
      </c>
    </row>
    <row r="63" spans="1:40">
      <c r="A63" s="4">
        <f>'INPUT DAFTAR PESERTA'!A61</f>
        <v>58</v>
      </c>
      <c r="B63" s="4">
        <f>'INPUT DAFTAR PESERTA'!B61</f>
        <v>2509106133</v>
      </c>
      <c r="C63" s="6" t="str">
        <f>'INPUT DAFTAR PESERTA'!C61</f>
        <v>Ridho Putra Darma</v>
      </c>
      <c r="D63" s="4">
        <v>100</v>
      </c>
      <c r="E63" s="4">
        <v>0</v>
      </c>
      <c r="F63" s="4"/>
      <c r="G63" s="4">
        <v>100</v>
      </c>
      <c r="H63" s="4">
        <v>100</v>
      </c>
      <c r="I63" s="4">
        <v>100</v>
      </c>
      <c r="J63" s="4"/>
      <c r="K63" s="4">
        <v>100</v>
      </c>
      <c r="L63" s="33">
        <f t="shared" si="0"/>
        <v>62.5</v>
      </c>
      <c r="M63" s="14">
        <f>'PENULISAN LAPORAN'!N62</f>
        <v>7.875</v>
      </c>
      <c r="N63" s="35">
        <v>66</v>
      </c>
      <c r="O63" s="35">
        <v>66</v>
      </c>
      <c r="P63" s="35">
        <v>66</v>
      </c>
      <c r="Q63" s="35">
        <v>66</v>
      </c>
      <c r="R63" s="35">
        <v>66</v>
      </c>
      <c r="S63" s="35">
        <v>66</v>
      </c>
      <c r="T63" s="35">
        <v>66</v>
      </c>
      <c r="U63" s="35">
        <v>66</v>
      </c>
      <c r="V63" s="14">
        <f t="shared" si="1"/>
        <v>66</v>
      </c>
      <c r="W63" s="4">
        <v>30</v>
      </c>
      <c r="X63" s="4">
        <v>30</v>
      </c>
      <c r="Y63" s="4">
        <v>30</v>
      </c>
      <c r="Z63" s="4">
        <v>30</v>
      </c>
      <c r="AA63" s="4">
        <v>30</v>
      </c>
      <c r="AB63" s="4">
        <v>30</v>
      </c>
      <c r="AC63" s="4">
        <v>30</v>
      </c>
      <c r="AD63" s="4">
        <v>30</v>
      </c>
      <c r="AE63" s="4">
        <v>30</v>
      </c>
      <c r="AF63" s="29">
        <f>'KEMAMPUAN PRAKTIKUM'!H63</f>
        <v>60.000000000000007</v>
      </c>
      <c r="AG63" s="29">
        <f>'KEMAMPUAN PRAKTIKUM'!M63</f>
        <v>0</v>
      </c>
      <c r="AH63" s="29">
        <f>'KEMAMPUAN PRAKTIKUM'!R63</f>
        <v>0</v>
      </c>
      <c r="AI63" s="29">
        <f>'KEMAMPUAN PRAKTIKUM'!W63</f>
        <v>60.000000000000007</v>
      </c>
      <c r="AJ63" s="29">
        <f>'KEMAMPUAN PRAKTIKUM'!AB63</f>
        <v>45</v>
      </c>
      <c r="AK63" s="29">
        <f>'KEMAMPUAN PRAKTIKUM'!AG63</f>
        <v>45</v>
      </c>
      <c r="AL63" s="29">
        <f>'KEMAMPUAN PRAKTIKUM'!AL63</f>
        <v>0</v>
      </c>
      <c r="AM63" s="29">
        <f>'KEMAMPUAN PRAKTIKUM'!AQ63</f>
        <v>72</v>
      </c>
      <c r="AN63" s="14">
        <f t="shared" si="3"/>
        <v>35.25</v>
      </c>
    </row>
    <row r="64" spans="1:40">
      <c r="A64" s="4">
        <f>'INPUT DAFTAR PESERTA'!A62</f>
        <v>59</v>
      </c>
      <c r="B64" s="4">
        <f>'INPUT DAFTAR PESERTA'!B62</f>
        <v>2509106134</v>
      </c>
      <c r="C64" s="6" t="str">
        <f>'INPUT DAFTAR PESERTA'!C62</f>
        <v>Syarif Hidayat</v>
      </c>
      <c r="D64" s="4">
        <v>100</v>
      </c>
      <c r="E64" s="4">
        <v>0</v>
      </c>
      <c r="F64" s="4"/>
      <c r="G64" s="4">
        <v>100</v>
      </c>
      <c r="H64" s="4">
        <v>100</v>
      </c>
      <c r="I64" s="4">
        <v>100</v>
      </c>
      <c r="J64" s="4"/>
      <c r="K64" s="4">
        <v>100</v>
      </c>
      <c r="L64" s="33">
        <f t="shared" si="0"/>
        <v>62.5</v>
      </c>
      <c r="M64" s="14">
        <f>'PENULISAN LAPORAN'!N63</f>
        <v>7.0625</v>
      </c>
      <c r="N64" s="35">
        <v>78</v>
      </c>
      <c r="O64" s="35">
        <v>78</v>
      </c>
      <c r="P64" s="35">
        <v>78</v>
      </c>
      <c r="Q64" s="35">
        <v>78</v>
      </c>
      <c r="R64" s="35">
        <v>78</v>
      </c>
      <c r="S64" s="35">
        <v>78</v>
      </c>
      <c r="T64" s="35">
        <v>78</v>
      </c>
      <c r="U64" s="35">
        <v>78</v>
      </c>
      <c r="V64" s="14">
        <f t="shared" si="1"/>
        <v>78</v>
      </c>
      <c r="W64" s="4">
        <v>30</v>
      </c>
      <c r="X64" s="4">
        <v>30</v>
      </c>
      <c r="Y64" s="4">
        <v>30</v>
      </c>
      <c r="Z64" s="4">
        <v>30</v>
      </c>
      <c r="AA64" s="4">
        <v>30</v>
      </c>
      <c r="AB64" s="4">
        <v>30</v>
      </c>
      <c r="AC64" s="4">
        <v>30</v>
      </c>
      <c r="AD64" s="4">
        <v>30</v>
      </c>
      <c r="AE64" s="4">
        <f t="shared" ref="AE64:AE65" si="4">(W64+X64+Y64+Z64+AA64+AB64+AC64+AD64)/8</f>
        <v>30</v>
      </c>
      <c r="AF64" s="29">
        <f>'KEMAMPUAN PRAKTIKUM'!H64</f>
        <v>60.000000000000007</v>
      </c>
      <c r="AG64" s="29">
        <f>'KEMAMPUAN PRAKTIKUM'!M64</f>
        <v>0</v>
      </c>
      <c r="AH64" s="29">
        <f>'KEMAMPUAN PRAKTIKUM'!R64</f>
        <v>0</v>
      </c>
      <c r="AI64" s="29">
        <f>'KEMAMPUAN PRAKTIKUM'!W64</f>
        <v>30.000000000000004</v>
      </c>
      <c r="AJ64" s="29">
        <f>'KEMAMPUAN PRAKTIKUM'!AB64</f>
        <v>45</v>
      </c>
      <c r="AK64" s="29">
        <f>'KEMAMPUAN PRAKTIKUM'!AG64</f>
        <v>45</v>
      </c>
      <c r="AL64" s="29">
        <f>'KEMAMPUAN PRAKTIKUM'!AL64</f>
        <v>0</v>
      </c>
      <c r="AM64" s="29">
        <f>'KEMAMPUAN PRAKTIKUM'!AQ64</f>
        <v>72</v>
      </c>
      <c r="AN64" s="14">
        <f t="shared" si="3"/>
        <v>31.5</v>
      </c>
    </row>
    <row r="65" spans="1:40">
      <c r="A65" s="4">
        <f>'INPUT DAFTAR PESERTA'!A63</f>
        <v>60</v>
      </c>
      <c r="B65" s="4">
        <f>'INPUT DAFTAR PESERTA'!B63</f>
        <v>2509106135</v>
      </c>
      <c r="C65" s="6" t="str">
        <f>'INPUT DAFTAR PESERTA'!C63</f>
        <v>Muhammad Dzaky Syachraini</v>
      </c>
      <c r="D65" s="4">
        <v>100</v>
      </c>
      <c r="E65" s="4">
        <v>0</v>
      </c>
      <c r="F65" s="4">
        <v>100</v>
      </c>
      <c r="G65" s="4">
        <v>100</v>
      </c>
      <c r="H65" s="4">
        <v>100</v>
      </c>
      <c r="I65" s="4">
        <v>100</v>
      </c>
      <c r="J65" s="4"/>
      <c r="K65" s="4">
        <v>100</v>
      </c>
      <c r="L65" s="33">
        <f t="shared" si="0"/>
        <v>75</v>
      </c>
      <c r="M65" s="14">
        <f>'PENULISAN LAPORAN'!N64</f>
        <v>7.625</v>
      </c>
      <c r="N65" s="35">
        <v>88</v>
      </c>
      <c r="O65" s="35">
        <v>88</v>
      </c>
      <c r="P65" s="35">
        <v>88</v>
      </c>
      <c r="Q65" s="35">
        <v>88</v>
      </c>
      <c r="R65" s="35">
        <v>88</v>
      </c>
      <c r="S65" s="35">
        <v>88</v>
      </c>
      <c r="T65" s="35">
        <v>88</v>
      </c>
      <c r="U65" s="35">
        <v>88</v>
      </c>
      <c r="V65" s="14">
        <f t="shared" si="1"/>
        <v>88</v>
      </c>
      <c r="W65" s="4">
        <v>30</v>
      </c>
      <c r="X65" s="4">
        <v>30</v>
      </c>
      <c r="Y65" s="4">
        <v>30</v>
      </c>
      <c r="Z65" s="4">
        <v>30</v>
      </c>
      <c r="AA65" s="4">
        <v>30</v>
      </c>
      <c r="AB65" s="4">
        <v>30</v>
      </c>
      <c r="AC65" s="4">
        <v>30</v>
      </c>
      <c r="AD65" s="4">
        <v>30</v>
      </c>
      <c r="AE65" s="4">
        <f t="shared" si="4"/>
        <v>30</v>
      </c>
      <c r="AF65" s="29">
        <f>'KEMAMPUAN PRAKTIKUM'!H65</f>
        <v>60.000000000000007</v>
      </c>
      <c r="AG65" s="29">
        <f>'KEMAMPUAN PRAKTIKUM'!M65</f>
        <v>0</v>
      </c>
      <c r="AH65" s="29">
        <f>'KEMAMPUAN PRAKTIKUM'!R65</f>
        <v>0</v>
      </c>
      <c r="AI65" s="29">
        <f>'KEMAMPUAN PRAKTIKUM'!W65</f>
        <v>30.000000000000004</v>
      </c>
      <c r="AJ65" s="29">
        <f>'KEMAMPUAN PRAKTIKUM'!AB65</f>
        <v>75</v>
      </c>
      <c r="AK65" s="29">
        <f>'KEMAMPUAN PRAKTIKUM'!AG65</f>
        <v>45</v>
      </c>
      <c r="AL65" s="29">
        <f>'KEMAMPUAN PRAKTIKUM'!AL65</f>
        <v>0</v>
      </c>
      <c r="AM65" s="29">
        <f>'KEMAMPUAN PRAKTIKUM'!AQ65</f>
        <v>72</v>
      </c>
      <c r="AN65" s="14">
        <f t="shared" si="3"/>
        <v>35.25</v>
      </c>
    </row>
    <row r="66" spans="1:40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27"/>
    </row>
    <row r="67" spans="1:40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27"/>
    </row>
    <row r="68" spans="1:40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27"/>
    </row>
    <row r="69" spans="1:40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27"/>
    </row>
    <row r="70" spans="1:4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27"/>
    </row>
    <row r="71" spans="1:40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27"/>
    </row>
    <row r="72" spans="1:40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27"/>
    </row>
    <row r="73" spans="1:40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27"/>
    </row>
    <row r="74" spans="1:40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27"/>
    </row>
    <row r="75" spans="1:40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27"/>
    </row>
    <row r="76" spans="1:40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27"/>
    </row>
    <row r="77" spans="1:40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27"/>
    </row>
    <row r="78" spans="1:40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27"/>
    </row>
    <row r="79" spans="1:40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27"/>
    </row>
    <row r="80" spans="1:4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27"/>
    </row>
    <row r="81" spans="1:40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27"/>
    </row>
    <row r="82" spans="1:40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27"/>
    </row>
    <row r="83" spans="1:40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27"/>
    </row>
    <row r="84" spans="1:40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27"/>
    </row>
    <row r="85" spans="1:40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27"/>
    </row>
    <row r="86" spans="1:40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27"/>
    </row>
    <row r="87" spans="1:40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27"/>
    </row>
    <row r="88" spans="1:40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27"/>
    </row>
    <row r="89" spans="1:40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27"/>
    </row>
    <row r="90" spans="1:40"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27"/>
    </row>
    <row r="91" spans="1:40"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27"/>
    </row>
    <row r="92" spans="1:40"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27"/>
    </row>
    <row r="93" spans="1:40"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27"/>
    </row>
    <row r="94" spans="1:40"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27"/>
    </row>
    <row r="95" spans="1:40"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27"/>
    </row>
    <row r="96" spans="1:40"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27"/>
    </row>
    <row r="97" spans="4:40"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27"/>
    </row>
    <row r="98" spans="4:40"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27"/>
    </row>
    <row r="99" spans="4:40"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27"/>
    </row>
    <row r="100" spans="4:40"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27"/>
    </row>
    <row r="101" spans="4:40">
      <c r="N101" s="11"/>
      <c r="O101" s="11"/>
      <c r="P101" s="11"/>
      <c r="Q101" s="11"/>
      <c r="R101" s="11"/>
      <c r="S101" s="11"/>
      <c r="T101" s="11"/>
      <c r="U101" s="11"/>
      <c r="AN101" s="30"/>
    </row>
    <row r="102" spans="4:40">
      <c r="N102" s="11"/>
      <c r="O102" s="11"/>
      <c r="P102" s="11"/>
      <c r="Q102" s="11"/>
      <c r="R102" s="11"/>
      <c r="S102" s="11"/>
      <c r="T102" s="11"/>
      <c r="U102" s="11"/>
      <c r="AN102" s="30"/>
    </row>
    <row r="103" spans="4:40">
      <c r="N103" s="11"/>
      <c r="O103" s="11"/>
      <c r="P103" s="11"/>
      <c r="Q103" s="11"/>
      <c r="R103" s="11"/>
      <c r="S103" s="11"/>
      <c r="T103" s="11"/>
      <c r="U103" s="11"/>
      <c r="AN103" s="30"/>
    </row>
    <row r="104" spans="4:40">
      <c r="N104" s="11"/>
      <c r="O104" s="11"/>
      <c r="P104" s="11"/>
      <c r="Q104" s="11"/>
      <c r="R104" s="11"/>
      <c r="S104" s="11"/>
      <c r="T104" s="11"/>
      <c r="U104" s="11"/>
      <c r="AN104" s="30"/>
    </row>
    <row r="105" spans="4:40">
      <c r="N105" s="11"/>
      <c r="O105" s="11"/>
      <c r="P105" s="11"/>
      <c r="Q105" s="11"/>
      <c r="R105" s="11"/>
      <c r="S105" s="11"/>
      <c r="T105" s="11"/>
      <c r="U105" s="11"/>
      <c r="AN105" s="30"/>
    </row>
    <row r="106" spans="4:40">
      <c r="N106" s="11"/>
      <c r="O106" s="11"/>
      <c r="P106" s="11"/>
      <c r="Q106" s="11"/>
      <c r="R106" s="11"/>
      <c r="S106" s="11"/>
      <c r="T106" s="11"/>
      <c r="U106" s="11"/>
      <c r="AN106" s="30"/>
    </row>
    <row r="107" spans="4:40">
      <c r="N107" s="11"/>
      <c r="O107" s="11"/>
      <c r="P107" s="11"/>
      <c r="Q107" s="11"/>
      <c r="R107" s="11"/>
      <c r="S107" s="11"/>
      <c r="T107" s="11"/>
      <c r="U107" s="11"/>
      <c r="AN107" s="30"/>
    </row>
    <row r="108" spans="4:40">
      <c r="N108" s="11"/>
      <c r="O108" s="11"/>
      <c r="P108" s="11"/>
      <c r="Q108" s="11"/>
      <c r="R108" s="11"/>
      <c r="S108" s="11"/>
      <c r="T108" s="11"/>
      <c r="U108" s="11"/>
      <c r="AN108" s="30"/>
    </row>
    <row r="109" spans="4:40">
      <c r="N109" s="11"/>
      <c r="O109" s="11"/>
      <c r="P109" s="11"/>
      <c r="Q109" s="11"/>
      <c r="R109" s="11"/>
      <c r="S109" s="11"/>
      <c r="T109" s="11"/>
      <c r="U109" s="11"/>
      <c r="AN109" s="30"/>
    </row>
    <row r="110" spans="4:40">
      <c r="N110" s="11"/>
      <c r="O110" s="11"/>
      <c r="P110" s="11"/>
      <c r="Q110" s="11"/>
      <c r="R110" s="11"/>
      <c r="S110" s="11"/>
      <c r="T110" s="11"/>
      <c r="U110" s="11"/>
      <c r="AN110" s="30"/>
    </row>
    <row r="111" spans="4:40">
      <c r="N111" s="11"/>
      <c r="O111" s="11"/>
      <c r="P111" s="11"/>
      <c r="Q111" s="11"/>
      <c r="R111" s="11"/>
      <c r="S111" s="11"/>
      <c r="T111" s="11"/>
      <c r="U111" s="11"/>
      <c r="AN111" s="30"/>
    </row>
    <row r="112" spans="4:40">
      <c r="N112" s="11"/>
      <c r="O112" s="11"/>
      <c r="P112" s="11"/>
      <c r="Q112" s="11"/>
      <c r="R112" s="11"/>
      <c r="S112" s="11"/>
      <c r="T112" s="11"/>
      <c r="U112" s="11"/>
      <c r="AN112" s="30"/>
    </row>
    <row r="113" spans="14:40">
      <c r="N113" s="11"/>
      <c r="O113" s="11"/>
      <c r="P113" s="11"/>
      <c r="Q113" s="11"/>
      <c r="R113" s="11"/>
      <c r="S113" s="11"/>
      <c r="T113" s="11"/>
      <c r="U113" s="11"/>
      <c r="AN113" s="30"/>
    </row>
    <row r="114" spans="14:40">
      <c r="N114" s="11"/>
      <c r="O114" s="11"/>
      <c r="P114" s="11"/>
      <c r="Q114" s="11"/>
      <c r="R114" s="11"/>
      <c r="S114" s="11"/>
      <c r="T114" s="11"/>
      <c r="U114" s="11"/>
      <c r="AN114" s="30"/>
    </row>
    <row r="115" spans="14:40">
      <c r="N115" s="11"/>
      <c r="O115" s="11"/>
      <c r="P115" s="11"/>
      <c r="Q115" s="11"/>
      <c r="R115" s="11"/>
      <c r="S115" s="11"/>
      <c r="T115" s="11"/>
      <c r="U115" s="11"/>
      <c r="AN115" s="30"/>
    </row>
    <row r="116" spans="14:40">
      <c r="N116" s="11"/>
      <c r="O116" s="11"/>
      <c r="P116" s="11"/>
      <c r="Q116" s="11"/>
      <c r="R116" s="11"/>
      <c r="S116" s="11"/>
      <c r="T116" s="11"/>
      <c r="U116" s="11"/>
      <c r="AN116" s="30"/>
    </row>
    <row r="117" spans="14:40">
      <c r="N117" s="11"/>
      <c r="O117" s="11"/>
      <c r="P117" s="11"/>
      <c r="Q117" s="11"/>
      <c r="R117" s="11"/>
      <c r="S117" s="11"/>
      <c r="T117" s="11"/>
      <c r="U117" s="11"/>
      <c r="AN117" s="30"/>
    </row>
    <row r="118" spans="14:40">
      <c r="N118" s="11"/>
      <c r="O118" s="11"/>
      <c r="P118" s="11"/>
      <c r="Q118" s="11"/>
      <c r="R118" s="11"/>
      <c r="S118" s="11"/>
      <c r="T118" s="11"/>
      <c r="U118" s="11"/>
      <c r="AN118" s="30"/>
    </row>
    <row r="119" spans="14:40">
      <c r="N119" s="11"/>
      <c r="O119" s="11"/>
      <c r="P119" s="11"/>
      <c r="Q119" s="11"/>
      <c r="R119" s="11"/>
      <c r="S119" s="11"/>
      <c r="T119" s="11"/>
      <c r="U119" s="11"/>
      <c r="AN119" s="30"/>
    </row>
    <row r="120" spans="14:40">
      <c r="N120" s="11"/>
      <c r="O120" s="11"/>
      <c r="P120" s="11"/>
      <c r="Q120" s="11"/>
      <c r="R120" s="11"/>
      <c r="S120" s="11"/>
      <c r="T120" s="11"/>
      <c r="U120" s="11"/>
      <c r="AN120" s="30"/>
    </row>
    <row r="121" spans="14:40">
      <c r="N121" s="11"/>
      <c r="O121" s="11"/>
      <c r="P121" s="11"/>
      <c r="Q121" s="11"/>
      <c r="R121" s="11"/>
      <c r="S121" s="11"/>
      <c r="T121" s="11"/>
      <c r="U121" s="11"/>
      <c r="AN121" s="30"/>
    </row>
    <row r="122" spans="14:40">
      <c r="N122" s="11"/>
      <c r="O122" s="11"/>
      <c r="P122" s="11"/>
      <c r="Q122" s="11"/>
      <c r="R122" s="11"/>
      <c r="S122" s="11"/>
      <c r="T122" s="11"/>
      <c r="U122" s="11"/>
      <c r="AN122" s="30"/>
    </row>
    <row r="123" spans="14:40">
      <c r="N123" s="11"/>
      <c r="O123" s="11"/>
      <c r="P123" s="11"/>
      <c r="Q123" s="11"/>
      <c r="R123" s="11"/>
      <c r="S123" s="11"/>
      <c r="T123" s="11"/>
      <c r="U123" s="11"/>
      <c r="AN123" s="30"/>
    </row>
    <row r="124" spans="14:40">
      <c r="N124" s="11"/>
      <c r="O124" s="11"/>
      <c r="P124" s="11"/>
      <c r="Q124" s="11"/>
      <c r="R124" s="11"/>
      <c r="S124" s="11"/>
      <c r="T124" s="11"/>
      <c r="U124" s="11"/>
      <c r="AN124" s="30"/>
    </row>
    <row r="125" spans="14:40">
      <c r="N125" s="11"/>
      <c r="O125" s="11"/>
      <c r="P125" s="11"/>
      <c r="Q125" s="11"/>
      <c r="R125" s="11"/>
      <c r="S125" s="11"/>
      <c r="T125" s="11"/>
      <c r="U125" s="11"/>
      <c r="AN125" s="30"/>
    </row>
    <row r="126" spans="14:40">
      <c r="N126" s="11"/>
      <c r="O126" s="11"/>
      <c r="P126" s="11"/>
      <c r="Q126" s="11"/>
      <c r="R126" s="11"/>
      <c r="S126" s="11"/>
      <c r="T126" s="11"/>
      <c r="U126" s="11"/>
      <c r="AN126" s="30"/>
    </row>
    <row r="127" spans="14:40">
      <c r="N127" s="11"/>
      <c r="O127" s="11"/>
      <c r="P127" s="11"/>
      <c r="Q127" s="11"/>
      <c r="R127" s="11"/>
      <c r="S127" s="11"/>
      <c r="T127" s="11"/>
      <c r="U127" s="11"/>
      <c r="AN127" s="30"/>
    </row>
    <row r="128" spans="14:40">
      <c r="N128" s="11"/>
      <c r="O128" s="11"/>
      <c r="P128" s="11"/>
      <c r="Q128" s="11"/>
      <c r="R128" s="11"/>
      <c r="S128" s="11"/>
      <c r="T128" s="11"/>
      <c r="U128" s="11"/>
      <c r="AN128" s="30"/>
    </row>
    <row r="129" spans="14:40">
      <c r="N129" s="11"/>
      <c r="O129" s="11"/>
      <c r="P129" s="11"/>
      <c r="Q129" s="11"/>
      <c r="R129" s="11"/>
      <c r="S129" s="11"/>
      <c r="T129" s="11"/>
      <c r="U129" s="11"/>
      <c r="AN129" s="30"/>
    </row>
    <row r="130" spans="14:40">
      <c r="N130" s="11"/>
      <c r="O130" s="11"/>
      <c r="P130" s="11"/>
      <c r="Q130" s="11"/>
      <c r="R130" s="11"/>
      <c r="S130" s="11"/>
      <c r="T130" s="11"/>
      <c r="U130" s="11"/>
      <c r="AN130" s="30"/>
    </row>
    <row r="131" spans="14:40">
      <c r="N131" s="11"/>
      <c r="O131" s="11"/>
      <c r="P131" s="11"/>
      <c r="Q131" s="11"/>
      <c r="R131" s="11"/>
      <c r="S131" s="11"/>
      <c r="T131" s="11"/>
      <c r="U131" s="11"/>
      <c r="AN131" s="30"/>
    </row>
    <row r="132" spans="14:40">
      <c r="N132" s="11"/>
      <c r="O132" s="11"/>
      <c r="P132" s="11"/>
      <c r="Q132" s="11"/>
      <c r="R132" s="11"/>
      <c r="S132" s="11"/>
      <c r="T132" s="11"/>
      <c r="U132" s="11"/>
      <c r="AN132" s="30"/>
    </row>
    <row r="133" spans="14:40">
      <c r="N133" s="11"/>
      <c r="O133" s="11"/>
      <c r="P133" s="11"/>
      <c r="Q133" s="11"/>
      <c r="R133" s="11"/>
      <c r="S133" s="11"/>
      <c r="T133" s="11"/>
      <c r="U133" s="11"/>
      <c r="AN133" s="30"/>
    </row>
    <row r="134" spans="14:40">
      <c r="N134" s="11"/>
      <c r="O134" s="11"/>
      <c r="P134" s="11"/>
      <c r="Q134" s="11"/>
      <c r="R134" s="11"/>
      <c r="S134" s="11"/>
      <c r="T134" s="11"/>
      <c r="U134" s="11"/>
      <c r="AN134" s="30"/>
    </row>
    <row r="135" spans="14:40">
      <c r="N135" s="11"/>
      <c r="O135" s="11"/>
      <c r="P135" s="11"/>
      <c r="Q135" s="11"/>
      <c r="R135" s="11"/>
      <c r="S135" s="11"/>
      <c r="T135" s="11"/>
      <c r="U135" s="11"/>
      <c r="AN135" s="30"/>
    </row>
    <row r="136" spans="14:40">
      <c r="N136" s="11"/>
      <c r="O136" s="11"/>
      <c r="P136" s="11"/>
      <c r="Q136" s="11"/>
      <c r="R136" s="11"/>
      <c r="S136" s="11"/>
      <c r="T136" s="11"/>
      <c r="U136" s="11"/>
      <c r="AN136" s="30"/>
    </row>
    <row r="137" spans="14:40">
      <c r="N137" s="11"/>
      <c r="O137" s="11"/>
      <c r="P137" s="11"/>
      <c r="Q137" s="11"/>
      <c r="R137" s="11"/>
      <c r="S137" s="11"/>
      <c r="T137" s="11"/>
      <c r="U137" s="11"/>
      <c r="AN137" s="30"/>
    </row>
    <row r="138" spans="14:40">
      <c r="N138" s="11"/>
      <c r="O138" s="11"/>
      <c r="P138" s="11"/>
      <c r="Q138" s="11"/>
      <c r="R138" s="11"/>
      <c r="S138" s="11"/>
      <c r="T138" s="11"/>
      <c r="U138" s="11"/>
      <c r="AN138" s="30"/>
    </row>
    <row r="139" spans="14:40">
      <c r="N139" s="11"/>
      <c r="O139" s="11"/>
      <c r="P139" s="11"/>
      <c r="Q139" s="11"/>
      <c r="R139" s="11"/>
      <c r="S139" s="11"/>
      <c r="T139" s="11"/>
      <c r="U139" s="11"/>
      <c r="AN139" s="30"/>
    </row>
    <row r="140" spans="14:40">
      <c r="N140" s="11"/>
      <c r="O140" s="11"/>
      <c r="P140" s="11"/>
      <c r="Q140" s="11"/>
      <c r="R140" s="11"/>
      <c r="S140" s="11"/>
      <c r="T140" s="11"/>
      <c r="U140" s="11"/>
      <c r="AN140" s="30"/>
    </row>
    <row r="141" spans="14:40">
      <c r="N141" s="11"/>
      <c r="O141" s="11"/>
      <c r="P141" s="11"/>
      <c r="Q141" s="11"/>
      <c r="R141" s="11"/>
      <c r="S141" s="11"/>
      <c r="T141" s="11"/>
      <c r="U141" s="11"/>
      <c r="AN141" s="30"/>
    </row>
    <row r="142" spans="14:40">
      <c r="N142" s="11"/>
      <c r="O142" s="11"/>
      <c r="P142" s="11"/>
      <c r="Q142" s="11"/>
      <c r="R142" s="11"/>
      <c r="S142" s="11"/>
      <c r="T142" s="11"/>
      <c r="U142" s="11"/>
      <c r="AN142" s="30"/>
    </row>
    <row r="143" spans="14:40">
      <c r="N143" s="11"/>
      <c r="O143" s="11"/>
      <c r="P143" s="11"/>
      <c r="Q143" s="11"/>
      <c r="R143" s="11"/>
      <c r="S143" s="11"/>
      <c r="T143" s="11"/>
      <c r="U143" s="11"/>
      <c r="AN143" s="30"/>
    </row>
    <row r="144" spans="14:40">
      <c r="N144" s="11"/>
      <c r="O144" s="11"/>
      <c r="P144" s="11"/>
      <c r="Q144" s="11"/>
      <c r="R144" s="11"/>
      <c r="S144" s="11"/>
      <c r="T144" s="11"/>
      <c r="U144" s="11"/>
      <c r="AN144" s="30"/>
    </row>
    <row r="145" spans="14:40">
      <c r="N145" s="11"/>
      <c r="O145" s="11"/>
      <c r="P145" s="11"/>
      <c r="Q145" s="11"/>
      <c r="R145" s="11"/>
      <c r="S145" s="11"/>
      <c r="T145" s="11"/>
      <c r="U145" s="11"/>
      <c r="AN145" s="30"/>
    </row>
    <row r="146" spans="14:40">
      <c r="N146" s="11"/>
      <c r="O146" s="11"/>
      <c r="P146" s="11"/>
      <c r="Q146" s="11"/>
      <c r="R146" s="11"/>
      <c r="S146" s="11"/>
      <c r="T146" s="11"/>
      <c r="U146" s="11"/>
      <c r="AN146" s="30"/>
    </row>
    <row r="147" spans="14:40">
      <c r="N147" s="11"/>
      <c r="O147" s="11"/>
      <c r="P147" s="11"/>
      <c r="Q147" s="11"/>
      <c r="R147" s="11"/>
      <c r="S147" s="11"/>
      <c r="T147" s="11"/>
      <c r="U147" s="11"/>
      <c r="AN147" s="30"/>
    </row>
    <row r="148" spans="14:40">
      <c r="N148" s="11"/>
      <c r="O148" s="11"/>
      <c r="P148" s="11"/>
      <c r="Q148" s="11"/>
      <c r="R148" s="11"/>
      <c r="S148" s="11"/>
      <c r="T148" s="11"/>
      <c r="U148" s="11"/>
      <c r="AN148" s="30"/>
    </row>
    <row r="149" spans="14:40">
      <c r="N149" s="11"/>
      <c r="O149" s="11"/>
      <c r="P149" s="11"/>
      <c r="Q149" s="11"/>
      <c r="R149" s="11"/>
      <c r="S149" s="11"/>
      <c r="T149" s="11"/>
      <c r="U149" s="11"/>
      <c r="AN149" s="30"/>
    </row>
    <row r="150" spans="14:40">
      <c r="N150" s="11"/>
      <c r="O150" s="11"/>
      <c r="P150" s="11"/>
      <c r="Q150" s="11"/>
      <c r="R150" s="11"/>
      <c r="S150" s="11"/>
      <c r="T150" s="11"/>
      <c r="U150" s="11"/>
      <c r="AN150" s="30"/>
    </row>
    <row r="151" spans="14:40">
      <c r="N151" s="11"/>
      <c r="O151" s="11"/>
      <c r="P151" s="11"/>
      <c r="Q151" s="11"/>
      <c r="R151" s="11"/>
      <c r="S151" s="11"/>
      <c r="T151" s="11"/>
      <c r="U151" s="11"/>
      <c r="AN151" s="30"/>
    </row>
    <row r="152" spans="14:40">
      <c r="N152" s="11"/>
      <c r="O152" s="11"/>
      <c r="P152" s="11"/>
      <c r="Q152" s="11"/>
      <c r="R152" s="11"/>
      <c r="S152" s="11"/>
      <c r="T152" s="11"/>
      <c r="U152" s="11"/>
      <c r="AN152" s="30"/>
    </row>
    <row r="153" spans="14:40">
      <c r="N153" s="11"/>
      <c r="O153" s="11"/>
      <c r="P153" s="11"/>
      <c r="Q153" s="11"/>
      <c r="R153" s="11"/>
      <c r="S153" s="11"/>
      <c r="T153" s="11"/>
      <c r="U153" s="11"/>
      <c r="AN153" s="30"/>
    </row>
    <row r="154" spans="14:40">
      <c r="N154" s="11"/>
      <c r="O154" s="11"/>
      <c r="P154" s="11"/>
      <c r="Q154" s="11"/>
      <c r="R154" s="11"/>
      <c r="S154" s="11"/>
      <c r="T154" s="11"/>
      <c r="U154" s="11"/>
      <c r="AN154" s="30"/>
    </row>
    <row r="155" spans="14:40">
      <c r="N155" s="11"/>
      <c r="O155" s="11"/>
      <c r="P155" s="11"/>
      <c r="Q155" s="11"/>
      <c r="R155" s="11"/>
      <c r="S155" s="11"/>
      <c r="T155" s="11"/>
      <c r="U155" s="11"/>
      <c r="AN155" s="30"/>
    </row>
    <row r="156" spans="14:40">
      <c r="N156" s="11"/>
      <c r="O156" s="11"/>
      <c r="P156" s="11"/>
      <c r="Q156" s="11"/>
      <c r="R156" s="11"/>
      <c r="S156" s="11"/>
      <c r="T156" s="11"/>
      <c r="U156" s="11"/>
      <c r="AN156" s="30"/>
    </row>
    <row r="157" spans="14:40">
      <c r="N157" s="11"/>
      <c r="O157" s="11"/>
      <c r="P157" s="11"/>
      <c r="Q157" s="11"/>
      <c r="R157" s="11"/>
      <c r="S157" s="11"/>
      <c r="T157" s="11"/>
      <c r="U157" s="11"/>
      <c r="AN157" s="30"/>
    </row>
    <row r="158" spans="14:40">
      <c r="N158" s="11"/>
      <c r="O158" s="11"/>
      <c r="P158" s="11"/>
      <c r="Q158" s="11"/>
      <c r="R158" s="11"/>
      <c r="S158" s="11"/>
      <c r="T158" s="11"/>
      <c r="U158" s="11"/>
      <c r="AN158" s="30"/>
    </row>
    <row r="159" spans="14:40">
      <c r="N159" s="11"/>
      <c r="O159" s="11"/>
      <c r="P159" s="11"/>
      <c r="Q159" s="11"/>
      <c r="R159" s="11"/>
      <c r="S159" s="11"/>
      <c r="T159" s="11"/>
      <c r="U159" s="11"/>
      <c r="AN159" s="30"/>
    </row>
    <row r="160" spans="14:40">
      <c r="N160" s="11"/>
      <c r="O160" s="11"/>
      <c r="P160" s="11"/>
      <c r="Q160" s="11"/>
      <c r="R160" s="11"/>
      <c r="S160" s="11"/>
      <c r="T160" s="11"/>
      <c r="U160" s="11"/>
      <c r="AN160" s="30"/>
    </row>
    <row r="161" spans="14:40">
      <c r="N161" s="11"/>
      <c r="O161" s="11"/>
      <c r="P161" s="11"/>
      <c r="Q161" s="11"/>
      <c r="R161" s="11"/>
      <c r="S161" s="11"/>
      <c r="T161" s="11"/>
      <c r="U161" s="11"/>
      <c r="AN161" s="30"/>
    </row>
    <row r="162" spans="14:40">
      <c r="N162" s="11"/>
      <c r="O162" s="11"/>
      <c r="P162" s="11"/>
      <c r="Q162" s="11"/>
      <c r="R162" s="11"/>
      <c r="S162" s="11"/>
      <c r="T162" s="11"/>
      <c r="U162" s="11"/>
      <c r="AN162" s="30"/>
    </row>
    <row r="163" spans="14:40">
      <c r="N163" s="11"/>
      <c r="O163" s="11"/>
      <c r="P163" s="11"/>
      <c r="Q163" s="11"/>
      <c r="R163" s="11"/>
      <c r="S163" s="11"/>
      <c r="T163" s="11"/>
      <c r="U163" s="11"/>
      <c r="AN163" s="30"/>
    </row>
    <row r="164" spans="14:40">
      <c r="N164" s="11"/>
      <c r="O164" s="11"/>
      <c r="P164" s="11"/>
      <c r="Q164" s="11"/>
      <c r="R164" s="11"/>
      <c r="S164" s="11"/>
      <c r="T164" s="11"/>
      <c r="U164" s="11"/>
      <c r="AN164" s="30"/>
    </row>
    <row r="165" spans="14:40">
      <c r="N165" s="11"/>
      <c r="O165" s="11"/>
      <c r="P165" s="11"/>
      <c r="Q165" s="11"/>
      <c r="R165" s="11"/>
      <c r="S165" s="11"/>
      <c r="T165" s="11"/>
      <c r="U165" s="11"/>
      <c r="AN165" s="30"/>
    </row>
    <row r="166" spans="14:40">
      <c r="N166" s="11"/>
      <c r="O166" s="11"/>
      <c r="P166" s="11"/>
      <c r="Q166" s="11"/>
      <c r="R166" s="11"/>
      <c r="S166" s="11"/>
      <c r="T166" s="11"/>
      <c r="U166" s="11"/>
      <c r="AN166" s="30"/>
    </row>
    <row r="167" spans="14:40">
      <c r="N167" s="11"/>
      <c r="O167" s="11"/>
      <c r="P167" s="11"/>
      <c r="Q167" s="11"/>
      <c r="R167" s="11"/>
      <c r="S167" s="11"/>
      <c r="T167" s="11"/>
      <c r="U167" s="11"/>
      <c r="AN167" s="30"/>
    </row>
    <row r="168" spans="14:40">
      <c r="N168" s="11"/>
      <c r="O168" s="11"/>
      <c r="P168" s="11"/>
      <c r="Q168" s="11"/>
      <c r="R168" s="11"/>
      <c r="S168" s="11"/>
      <c r="T168" s="11"/>
      <c r="U168" s="11"/>
      <c r="AN168" s="30"/>
    </row>
    <row r="169" spans="14:40">
      <c r="N169" s="11"/>
      <c r="O169" s="11"/>
      <c r="P169" s="11"/>
      <c r="Q169" s="11"/>
      <c r="R169" s="11"/>
      <c r="S169" s="11"/>
      <c r="T169" s="11"/>
      <c r="U169" s="11"/>
      <c r="AN169" s="30"/>
    </row>
    <row r="170" spans="14:40">
      <c r="N170" s="11"/>
      <c r="O170" s="11"/>
      <c r="P170" s="11"/>
      <c r="Q170" s="11"/>
      <c r="R170" s="11"/>
      <c r="S170" s="11"/>
      <c r="T170" s="11"/>
      <c r="U170" s="11"/>
      <c r="AN170" s="30"/>
    </row>
    <row r="171" spans="14:40">
      <c r="N171" s="11"/>
      <c r="O171" s="11"/>
      <c r="P171" s="11"/>
      <c r="Q171" s="11"/>
      <c r="R171" s="11"/>
      <c r="S171" s="11"/>
      <c r="T171" s="11"/>
      <c r="U171" s="11"/>
      <c r="AN171" s="30"/>
    </row>
    <row r="172" spans="14:40">
      <c r="N172" s="11"/>
      <c r="O172" s="11"/>
      <c r="P172" s="11"/>
      <c r="Q172" s="11"/>
      <c r="R172" s="11"/>
      <c r="S172" s="11"/>
      <c r="T172" s="11"/>
      <c r="U172" s="11"/>
      <c r="AN172" s="30"/>
    </row>
    <row r="173" spans="14:40">
      <c r="N173" s="11"/>
      <c r="O173" s="11"/>
      <c r="P173" s="11"/>
      <c r="Q173" s="11"/>
      <c r="R173" s="11"/>
      <c r="S173" s="11"/>
      <c r="T173" s="11"/>
      <c r="U173" s="11"/>
      <c r="AN173" s="30"/>
    </row>
    <row r="174" spans="14:40">
      <c r="N174" s="11"/>
      <c r="O174" s="11"/>
      <c r="P174" s="11"/>
      <c r="Q174" s="11"/>
      <c r="R174" s="11"/>
      <c r="S174" s="11"/>
      <c r="T174" s="11"/>
      <c r="U174" s="11"/>
      <c r="AN174" s="30"/>
    </row>
    <row r="175" spans="14:40">
      <c r="N175" s="11"/>
      <c r="O175" s="11"/>
      <c r="P175" s="11"/>
      <c r="Q175" s="11"/>
      <c r="R175" s="11"/>
      <c r="S175" s="11"/>
      <c r="T175" s="11"/>
      <c r="U175" s="11"/>
      <c r="AN175" s="30"/>
    </row>
    <row r="176" spans="14:40">
      <c r="N176" s="11"/>
      <c r="O176" s="11"/>
      <c r="P176" s="11"/>
      <c r="Q176" s="11"/>
      <c r="R176" s="11"/>
      <c r="S176" s="11"/>
      <c r="T176" s="11"/>
      <c r="U176" s="11"/>
      <c r="AN176" s="30"/>
    </row>
    <row r="177" spans="14:40">
      <c r="N177" s="11"/>
      <c r="O177" s="11"/>
      <c r="P177" s="11"/>
      <c r="Q177" s="11"/>
      <c r="R177" s="11"/>
      <c r="S177" s="11"/>
      <c r="T177" s="11"/>
      <c r="U177" s="11"/>
      <c r="AN177" s="30"/>
    </row>
    <row r="178" spans="14:40">
      <c r="N178" s="11"/>
      <c r="O178" s="11"/>
      <c r="P178" s="11"/>
      <c r="Q178" s="11"/>
      <c r="R178" s="11"/>
      <c r="S178" s="11"/>
      <c r="T178" s="11"/>
      <c r="U178" s="11"/>
      <c r="AN178" s="30"/>
    </row>
    <row r="179" spans="14:40">
      <c r="N179" s="11"/>
      <c r="O179" s="11"/>
      <c r="P179" s="11"/>
      <c r="Q179" s="11"/>
      <c r="R179" s="11"/>
      <c r="S179" s="11"/>
      <c r="T179" s="11"/>
      <c r="U179" s="11"/>
      <c r="AN179" s="30"/>
    </row>
    <row r="180" spans="14:40">
      <c r="N180" s="11"/>
      <c r="O180" s="11"/>
      <c r="P180" s="11"/>
      <c r="Q180" s="11"/>
      <c r="R180" s="11"/>
      <c r="S180" s="11"/>
      <c r="T180" s="11"/>
      <c r="U180" s="11"/>
      <c r="AN180" s="30"/>
    </row>
    <row r="181" spans="14:40">
      <c r="N181" s="11"/>
      <c r="O181" s="11"/>
      <c r="P181" s="11"/>
      <c r="Q181" s="11"/>
      <c r="R181" s="11"/>
      <c r="S181" s="11"/>
      <c r="T181" s="11"/>
      <c r="U181" s="11"/>
      <c r="AN181" s="30"/>
    </row>
    <row r="182" spans="14:40">
      <c r="N182" s="11"/>
      <c r="O182" s="11"/>
      <c r="P182" s="11"/>
      <c r="Q182" s="11"/>
      <c r="R182" s="11"/>
      <c r="S182" s="11"/>
      <c r="T182" s="11"/>
      <c r="U182" s="11"/>
      <c r="AN182" s="30"/>
    </row>
    <row r="183" spans="14:40">
      <c r="N183" s="11"/>
      <c r="O183" s="11"/>
      <c r="P183" s="11"/>
      <c r="Q183" s="11"/>
      <c r="R183" s="11"/>
      <c r="S183" s="11"/>
      <c r="T183" s="11"/>
      <c r="U183" s="11"/>
      <c r="AN183" s="30"/>
    </row>
    <row r="184" spans="14:40">
      <c r="N184" s="11"/>
      <c r="O184" s="11"/>
      <c r="P184" s="11"/>
      <c r="Q184" s="11"/>
      <c r="R184" s="11"/>
      <c r="S184" s="11"/>
      <c r="T184" s="11"/>
      <c r="U184" s="11"/>
      <c r="AN184" s="30"/>
    </row>
    <row r="185" spans="14:40">
      <c r="N185" s="11"/>
      <c r="O185" s="11"/>
      <c r="P185" s="11"/>
      <c r="Q185" s="11"/>
      <c r="R185" s="11"/>
      <c r="S185" s="11"/>
      <c r="T185" s="11"/>
      <c r="U185" s="11"/>
      <c r="AN185" s="30"/>
    </row>
    <row r="186" spans="14:40">
      <c r="N186" s="11"/>
      <c r="O186" s="11"/>
      <c r="P186" s="11"/>
      <c r="Q186" s="11"/>
      <c r="R186" s="11"/>
      <c r="S186" s="11"/>
      <c r="T186" s="11"/>
      <c r="U186" s="11"/>
      <c r="AN186" s="30"/>
    </row>
    <row r="187" spans="14:40">
      <c r="N187" s="11"/>
      <c r="O187" s="11"/>
      <c r="P187" s="11"/>
      <c r="Q187" s="11"/>
      <c r="R187" s="11"/>
      <c r="S187" s="11"/>
      <c r="T187" s="11"/>
      <c r="U187" s="11"/>
      <c r="AN187" s="30"/>
    </row>
    <row r="188" spans="14:40">
      <c r="N188" s="11"/>
      <c r="O188" s="11"/>
      <c r="P188" s="11"/>
      <c r="Q188" s="11"/>
      <c r="R188" s="11"/>
      <c r="S188" s="11"/>
      <c r="T188" s="11"/>
      <c r="U188" s="11"/>
      <c r="AN188" s="30"/>
    </row>
    <row r="189" spans="14:40">
      <c r="N189" s="11"/>
      <c r="O189" s="11"/>
      <c r="P189" s="11"/>
      <c r="Q189" s="11"/>
      <c r="R189" s="11"/>
      <c r="S189" s="11"/>
      <c r="T189" s="11"/>
      <c r="U189" s="11"/>
      <c r="AN189" s="30"/>
    </row>
    <row r="190" spans="14:40">
      <c r="N190" s="11"/>
      <c r="O190" s="11"/>
      <c r="P190" s="11"/>
      <c r="Q190" s="11"/>
      <c r="R190" s="11"/>
      <c r="S190" s="11"/>
      <c r="T190" s="11"/>
      <c r="U190" s="11"/>
      <c r="AN190" s="30"/>
    </row>
    <row r="191" spans="14:40">
      <c r="N191" s="11"/>
      <c r="O191" s="11"/>
      <c r="P191" s="11"/>
      <c r="Q191" s="11"/>
      <c r="R191" s="11"/>
      <c r="S191" s="11"/>
      <c r="T191" s="11"/>
      <c r="U191" s="11"/>
      <c r="AN191" s="30"/>
    </row>
    <row r="192" spans="14:40">
      <c r="N192" s="11"/>
      <c r="O192" s="11"/>
      <c r="P192" s="11"/>
      <c r="Q192" s="11"/>
      <c r="R192" s="11"/>
      <c r="S192" s="11"/>
      <c r="T192" s="11"/>
      <c r="U192" s="11"/>
      <c r="AN192" s="30"/>
    </row>
    <row r="193" spans="14:40">
      <c r="N193" s="11"/>
      <c r="O193" s="11"/>
      <c r="P193" s="11"/>
      <c r="Q193" s="11"/>
      <c r="R193" s="11"/>
      <c r="S193" s="11"/>
      <c r="T193" s="11"/>
      <c r="U193" s="11"/>
      <c r="AN193" s="30"/>
    </row>
    <row r="194" spans="14:40">
      <c r="N194" s="11"/>
      <c r="O194" s="11"/>
      <c r="P194" s="11"/>
      <c r="Q194" s="11"/>
      <c r="R194" s="11"/>
      <c r="S194" s="11"/>
      <c r="T194" s="11"/>
      <c r="U194" s="11"/>
      <c r="AN194" s="30"/>
    </row>
    <row r="195" spans="14:40">
      <c r="N195" s="11"/>
      <c r="O195" s="11"/>
      <c r="P195" s="11"/>
      <c r="Q195" s="11"/>
      <c r="R195" s="11"/>
      <c r="S195" s="11"/>
      <c r="T195" s="11"/>
      <c r="U195" s="11"/>
      <c r="AN195" s="30"/>
    </row>
    <row r="196" spans="14:40">
      <c r="N196" s="11"/>
      <c r="O196" s="11"/>
      <c r="P196" s="11"/>
      <c r="Q196" s="11"/>
      <c r="R196" s="11"/>
      <c r="S196" s="11"/>
      <c r="T196" s="11"/>
      <c r="U196" s="11"/>
      <c r="AN196" s="30"/>
    </row>
    <row r="197" spans="14:40">
      <c r="N197" s="11"/>
      <c r="O197" s="11"/>
      <c r="P197" s="11"/>
      <c r="Q197" s="11"/>
      <c r="R197" s="11"/>
      <c r="S197" s="11"/>
      <c r="T197" s="11"/>
      <c r="U197" s="11"/>
      <c r="AN197" s="30"/>
    </row>
    <row r="198" spans="14:40">
      <c r="N198" s="11"/>
      <c r="O198" s="11"/>
      <c r="P198" s="11"/>
      <c r="Q198" s="11"/>
      <c r="R198" s="11"/>
      <c r="S198" s="11"/>
      <c r="T198" s="11"/>
      <c r="U198" s="11"/>
      <c r="AN198" s="30"/>
    </row>
    <row r="199" spans="14:40">
      <c r="N199" s="11"/>
      <c r="O199" s="11"/>
      <c r="P199" s="11"/>
      <c r="Q199" s="11"/>
      <c r="R199" s="11"/>
      <c r="S199" s="11"/>
      <c r="T199" s="11"/>
      <c r="U199" s="11"/>
      <c r="AN199" s="30"/>
    </row>
    <row r="200" spans="14:40">
      <c r="N200" s="11"/>
      <c r="O200" s="11"/>
      <c r="P200" s="11"/>
      <c r="Q200" s="11"/>
      <c r="R200" s="11"/>
      <c r="S200" s="11"/>
      <c r="T200" s="11"/>
      <c r="U200" s="11"/>
      <c r="AN200" s="30"/>
    </row>
    <row r="201" spans="14:40">
      <c r="N201" s="11"/>
      <c r="O201" s="11"/>
      <c r="P201" s="11"/>
      <c r="Q201" s="11"/>
      <c r="R201" s="11"/>
      <c r="S201" s="11"/>
      <c r="T201" s="11"/>
      <c r="U201" s="11"/>
      <c r="AN201" s="30"/>
    </row>
    <row r="202" spans="14:40">
      <c r="N202" s="11"/>
      <c r="O202" s="11"/>
      <c r="P202" s="11"/>
      <c r="Q202" s="11"/>
      <c r="R202" s="11"/>
      <c r="S202" s="11"/>
      <c r="T202" s="11"/>
      <c r="U202" s="11"/>
      <c r="AN202" s="30"/>
    </row>
    <row r="203" spans="14:40">
      <c r="N203" s="11"/>
      <c r="O203" s="11"/>
      <c r="P203" s="11"/>
      <c r="Q203" s="11"/>
      <c r="R203" s="11"/>
      <c r="S203" s="11"/>
      <c r="T203" s="11"/>
      <c r="U203" s="11"/>
      <c r="AN203" s="30"/>
    </row>
    <row r="204" spans="14:40">
      <c r="N204" s="11"/>
      <c r="O204" s="11"/>
      <c r="P204" s="11"/>
      <c r="Q204" s="11"/>
      <c r="R204" s="11"/>
      <c r="S204" s="11"/>
      <c r="T204" s="11"/>
      <c r="U204" s="11"/>
      <c r="AN204" s="30"/>
    </row>
    <row r="205" spans="14:40">
      <c r="N205" s="11"/>
      <c r="O205" s="11"/>
      <c r="P205" s="11"/>
      <c r="Q205" s="11"/>
      <c r="R205" s="11"/>
      <c r="S205" s="11"/>
      <c r="T205" s="11"/>
      <c r="U205" s="11"/>
      <c r="AN205" s="30"/>
    </row>
    <row r="206" spans="14:40">
      <c r="N206" s="11"/>
      <c r="O206" s="11"/>
      <c r="P206" s="11"/>
      <c r="Q206" s="11"/>
      <c r="R206" s="11"/>
      <c r="S206" s="11"/>
      <c r="T206" s="11"/>
      <c r="U206" s="11"/>
      <c r="AN206" s="30"/>
    </row>
    <row r="207" spans="14:40">
      <c r="N207" s="11"/>
      <c r="O207" s="11"/>
      <c r="P207" s="11"/>
      <c r="Q207" s="11"/>
      <c r="R207" s="11"/>
      <c r="S207" s="11"/>
      <c r="T207" s="11"/>
      <c r="U207" s="11"/>
      <c r="AN207" s="30"/>
    </row>
    <row r="208" spans="14:40">
      <c r="N208" s="11"/>
      <c r="O208" s="11"/>
      <c r="P208" s="11"/>
      <c r="Q208" s="11"/>
      <c r="R208" s="11"/>
      <c r="S208" s="11"/>
      <c r="T208" s="11"/>
      <c r="U208" s="11"/>
      <c r="AN208" s="30"/>
    </row>
    <row r="209" spans="14:40">
      <c r="N209" s="11"/>
      <c r="O209" s="11"/>
      <c r="P209" s="11"/>
      <c r="Q209" s="11"/>
      <c r="R209" s="11"/>
      <c r="S209" s="11"/>
      <c r="T209" s="11"/>
      <c r="U209" s="11"/>
      <c r="AN209" s="30"/>
    </row>
    <row r="210" spans="14:40">
      <c r="N210" s="11"/>
      <c r="O210" s="11"/>
      <c r="P210" s="11"/>
      <c r="Q210" s="11"/>
      <c r="R210" s="11"/>
      <c r="S210" s="11"/>
      <c r="T210" s="11"/>
      <c r="U210" s="11"/>
      <c r="AN210" s="30"/>
    </row>
    <row r="211" spans="14:40">
      <c r="N211" s="11"/>
      <c r="O211" s="11"/>
      <c r="P211" s="11"/>
      <c r="Q211" s="11"/>
      <c r="R211" s="11"/>
      <c r="S211" s="11"/>
      <c r="T211" s="11"/>
      <c r="U211" s="11"/>
      <c r="AN211" s="30"/>
    </row>
    <row r="212" spans="14:40">
      <c r="N212" s="11"/>
      <c r="O212" s="11"/>
      <c r="P212" s="11"/>
      <c r="Q212" s="11"/>
      <c r="R212" s="11"/>
      <c r="S212" s="11"/>
      <c r="T212" s="11"/>
      <c r="U212" s="11"/>
      <c r="AN212" s="30"/>
    </row>
    <row r="213" spans="14:40">
      <c r="N213" s="11"/>
      <c r="O213" s="11"/>
      <c r="P213" s="11"/>
      <c r="Q213" s="11"/>
      <c r="R213" s="11"/>
      <c r="S213" s="11"/>
      <c r="T213" s="11"/>
      <c r="U213" s="11"/>
      <c r="AN213" s="30"/>
    </row>
    <row r="214" spans="14:40">
      <c r="N214" s="11"/>
      <c r="O214" s="11"/>
      <c r="P214" s="11"/>
      <c r="Q214" s="11"/>
      <c r="R214" s="11"/>
      <c r="S214" s="11"/>
      <c r="T214" s="11"/>
      <c r="U214" s="11"/>
      <c r="AN214" s="30"/>
    </row>
    <row r="215" spans="14:40">
      <c r="N215" s="11"/>
      <c r="O215" s="11"/>
      <c r="P215" s="11"/>
      <c r="Q215" s="11"/>
      <c r="R215" s="11"/>
      <c r="S215" s="11"/>
      <c r="T215" s="11"/>
      <c r="U215" s="11"/>
      <c r="AN215" s="30"/>
    </row>
    <row r="216" spans="14:40">
      <c r="N216" s="11"/>
      <c r="O216" s="11"/>
      <c r="P216" s="11"/>
      <c r="Q216" s="11"/>
      <c r="R216" s="11"/>
      <c r="S216" s="11"/>
      <c r="T216" s="11"/>
      <c r="U216" s="11"/>
      <c r="AN216" s="30"/>
    </row>
    <row r="217" spans="14:40">
      <c r="N217" s="11"/>
      <c r="O217" s="11"/>
      <c r="P217" s="11"/>
      <c r="Q217" s="11"/>
      <c r="R217" s="11"/>
      <c r="S217" s="11"/>
      <c r="T217" s="11"/>
      <c r="U217" s="11"/>
      <c r="AN217" s="30"/>
    </row>
    <row r="218" spans="14:40">
      <c r="N218" s="11"/>
      <c r="O218" s="11"/>
      <c r="P218" s="11"/>
      <c r="Q218" s="11"/>
      <c r="R218" s="11"/>
      <c r="S218" s="11"/>
      <c r="T218" s="11"/>
      <c r="U218" s="11"/>
      <c r="AN218" s="30"/>
    </row>
    <row r="219" spans="14:40">
      <c r="N219" s="11"/>
      <c r="O219" s="11"/>
      <c r="P219" s="11"/>
      <c r="Q219" s="11"/>
      <c r="R219" s="11"/>
      <c r="S219" s="11"/>
      <c r="T219" s="11"/>
      <c r="U219" s="11"/>
      <c r="AN219" s="30"/>
    </row>
    <row r="220" spans="14:40">
      <c r="N220" s="11"/>
      <c r="O220" s="11"/>
      <c r="P220" s="11"/>
      <c r="Q220" s="11"/>
      <c r="R220" s="11"/>
      <c r="S220" s="11"/>
      <c r="T220" s="11"/>
      <c r="U220" s="11"/>
      <c r="AN220" s="30"/>
    </row>
    <row r="221" spans="14:40">
      <c r="N221" s="11"/>
      <c r="O221" s="11"/>
      <c r="P221" s="11"/>
      <c r="Q221" s="11"/>
      <c r="R221" s="11"/>
      <c r="S221" s="11"/>
      <c r="T221" s="11"/>
      <c r="U221" s="11"/>
      <c r="AN221" s="30"/>
    </row>
    <row r="222" spans="14:40">
      <c r="N222" s="11"/>
      <c r="O222" s="11"/>
      <c r="P222" s="11"/>
      <c r="Q222" s="11"/>
      <c r="R222" s="11"/>
      <c r="S222" s="11"/>
      <c r="T222" s="11"/>
      <c r="U222" s="11"/>
      <c r="AN222" s="30"/>
    </row>
    <row r="223" spans="14:40">
      <c r="N223" s="11"/>
      <c r="O223" s="11"/>
      <c r="P223" s="11"/>
      <c r="Q223" s="11"/>
      <c r="R223" s="11"/>
      <c r="S223" s="11"/>
      <c r="T223" s="11"/>
      <c r="U223" s="11"/>
      <c r="AN223" s="30"/>
    </row>
    <row r="224" spans="14:40">
      <c r="N224" s="11"/>
      <c r="O224" s="11"/>
      <c r="P224" s="11"/>
      <c r="Q224" s="11"/>
      <c r="R224" s="11"/>
      <c r="S224" s="11"/>
      <c r="T224" s="11"/>
      <c r="U224" s="11"/>
      <c r="AN224" s="30"/>
    </row>
    <row r="225" spans="14:40">
      <c r="N225" s="11"/>
      <c r="O225" s="11"/>
      <c r="P225" s="11"/>
      <c r="Q225" s="11"/>
      <c r="R225" s="11"/>
      <c r="S225" s="11"/>
      <c r="T225" s="11"/>
      <c r="U225" s="11"/>
      <c r="AN225" s="30"/>
    </row>
    <row r="226" spans="14:40">
      <c r="N226" s="11"/>
      <c r="O226" s="11"/>
      <c r="P226" s="11"/>
      <c r="Q226" s="11"/>
      <c r="R226" s="11"/>
      <c r="S226" s="11"/>
      <c r="T226" s="11"/>
      <c r="U226" s="11"/>
      <c r="AN226" s="30"/>
    </row>
    <row r="227" spans="14:40">
      <c r="N227" s="11"/>
      <c r="O227" s="11"/>
      <c r="P227" s="11"/>
      <c r="Q227" s="11"/>
      <c r="R227" s="11"/>
      <c r="S227" s="11"/>
      <c r="T227" s="11"/>
      <c r="U227" s="11"/>
      <c r="AN227" s="30"/>
    </row>
    <row r="228" spans="14:40">
      <c r="N228" s="11"/>
      <c r="O228" s="11"/>
      <c r="P228" s="11"/>
      <c r="Q228" s="11"/>
      <c r="R228" s="11"/>
      <c r="S228" s="11"/>
      <c r="T228" s="11"/>
      <c r="U228" s="11"/>
      <c r="AN228" s="30"/>
    </row>
    <row r="229" spans="14:40">
      <c r="N229" s="11"/>
      <c r="O229" s="11"/>
      <c r="P229" s="11"/>
      <c r="Q229" s="11"/>
      <c r="R229" s="11"/>
      <c r="S229" s="11"/>
      <c r="T229" s="11"/>
      <c r="U229" s="11"/>
      <c r="AN229" s="30"/>
    </row>
    <row r="230" spans="14:40">
      <c r="N230" s="11"/>
      <c r="O230" s="11"/>
      <c r="P230" s="11"/>
      <c r="Q230" s="11"/>
      <c r="R230" s="11"/>
      <c r="S230" s="11"/>
      <c r="T230" s="11"/>
      <c r="U230" s="11"/>
      <c r="AN230" s="30"/>
    </row>
    <row r="231" spans="14:40">
      <c r="N231" s="11"/>
      <c r="O231" s="11"/>
      <c r="P231" s="11"/>
      <c r="Q231" s="11"/>
      <c r="R231" s="11"/>
      <c r="S231" s="11"/>
      <c r="T231" s="11"/>
      <c r="U231" s="11"/>
      <c r="AN231" s="30"/>
    </row>
    <row r="232" spans="14:40">
      <c r="N232" s="11"/>
      <c r="O232" s="11"/>
      <c r="P232" s="11"/>
      <c r="Q232" s="11"/>
      <c r="R232" s="11"/>
      <c r="S232" s="11"/>
      <c r="T232" s="11"/>
      <c r="U232" s="11"/>
      <c r="AN232" s="30"/>
    </row>
    <row r="233" spans="14:40">
      <c r="N233" s="11"/>
      <c r="O233" s="11"/>
      <c r="P233" s="11"/>
      <c r="Q233" s="11"/>
      <c r="R233" s="11"/>
      <c r="S233" s="11"/>
      <c r="T233" s="11"/>
      <c r="U233" s="11"/>
      <c r="AN233" s="30"/>
    </row>
    <row r="234" spans="14:40">
      <c r="N234" s="11"/>
      <c r="O234" s="11"/>
      <c r="P234" s="11"/>
      <c r="Q234" s="11"/>
      <c r="R234" s="11"/>
      <c r="S234" s="11"/>
      <c r="T234" s="11"/>
      <c r="U234" s="11"/>
      <c r="AN234" s="30"/>
    </row>
    <row r="235" spans="14:40">
      <c r="N235" s="11"/>
      <c r="O235" s="11"/>
      <c r="P235" s="11"/>
      <c r="Q235" s="11"/>
      <c r="R235" s="11"/>
      <c r="S235" s="11"/>
      <c r="T235" s="11"/>
      <c r="U235" s="11"/>
      <c r="AN235" s="30"/>
    </row>
    <row r="236" spans="14:40">
      <c r="N236" s="11"/>
      <c r="O236" s="11"/>
      <c r="P236" s="11"/>
      <c r="Q236" s="11"/>
      <c r="R236" s="11"/>
      <c r="S236" s="11"/>
      <c r="T236" s="11"/>
      <c r="U236" s="11"/>
      <c r="AN236" s="30"/>
    </row>
    <row r="237" spans="14:40">
      <c r="N237" s="11"/>
      <c r="O237" s="11"/>
      <c r="P237" s="11"/>
      <c r="Q237" s="11"/>
      <c r="R237" s="11"/>
      <c r="S237" s="11"/>
      <c r="T237" s="11"/>
      <c r="U237" s="11"/>
      <c r="AN237" s="30"/>
    </row>
    <row r="238" spans="14:40">
      <c r="N238" s="11"/>
      <c r="O238" s="11"/>
      <c r="P238" s="11"/>
      <c r="Q238" s="11"/>
      <c r="R238" s="11"/>
      <c r="S238" s="11"/>
      <c r="T238" s="11"/>
      <c r="U238" s="11"/>
      <c r="AN238" s="30"/>
    </row>
    <row r="239" spans="14:40">
      <c r="N239" s="11"/>
      <c r="O239" s="11"/>
      <c r="P239" s="11"/>
      <c r="Q239" s="11"/>
      <c r="R239" s="11"/>
      <c r="S239" s="11"/>
      <c r="T239" s="11"/>
      <c r="U239" s="11"/>
      <c r="AN239" s="30"/>
    </row>
    <row r="240" spans="14:40">
      <c r="N240" s="11"/>
      <c r="O240" s="11"/>
      <c r="P240" s="11"/>
      <c r="Q240" s="11"/>
      <c r="R240" s="11"/>
      <c r="S240" s="11"/>
      <c r="T240" s="11"/>
      <c r="U240" s="11"/>
      <c r="AN240" s="30"/>
    </row>
    <row r="241" spans="14:40">
      <c r="N241" s="11"/>
      <c r="O241" s="11"/>
      <c r="P241" s="11"/>
      <c r="Q241" s="11"/>
      <c r="R241" s="11"/>
      <c r="S241" s="11"/>
      <c r="T241" s="11"/>
      <c r="U241" s="11"/>
      <c r="AN241" s="30"/>
    </row>
    <row r="242" spans="14:40">
      <c r="N242" s="11"/>
      <c r="O242" s="11"/>
      <c r="P242" s="11"/>
      <c r="Q242" s="11"/>
      <c r="R242" s="11"/>
      <c r="S242" s="11"/>
      <c r="T242" s="11"/>
      <c r="U242" s="11"/>
      <c r="AN242" s="30"/>
    </row>
    <row r="243" spans="14:40">
      <c r="N243" s="11"/>
      <c r="O243" s="11"/>
      <c r="P243" s="11"/>
      <c r="Q243" s="11"/>
      <c r="R243" s="11"/>
      <c r="S243" s="11"/>
      <c r="T243" s="11"/>
      <c r="U243" s="11"/>
      <c r="AN243" s="30"/>
    </row>
    <row r="244" spans="14:40">
      <c r="N244" s="11"/>
      <c r="O244" s="11"/>
      <c r="P244" s="11"/>
      <c r="Q244" s="11"/>
      <c r="R244" s="11"/>
      <c r="S244" s="11"/>
      <c r="T244" s="11"/>
      <c r="U244" s="11"/>
      <c r="AN244" s="30"/>
    </row>
    <row r="245" spans="14:40">
      <c r="N245" s="11"/>
      <c r="O245" s="11"/>
      <c r="P245" s="11"/>
      <c r="Q245" s="11"/>
      <c r="R245" s="11"/>
      <c r="S245" s="11"/>
      <c r="T245" s="11"/>
      <c r="U245" s="11"/>
      <c r="AN245" s="30"/>
    </row>
    <row r="246" spans="14:40">
      <c r="N246" s="11"/>
      <c r="O246" s="11"/>
      <c r="P246" s="11"/>
      <c r="Q246" s="11"/>
      <c r="R246" s="11"/>
      <c r="S246" s="11"/>
      <c r="T246" s="11"/>
      <c r="U246" s="11"/>
      <c r="AN246" s="30"/>
    </row>
    <row r="247" spans="14:40">
      <c r="N247" s="11"/>
      <c r="O247" s="11"/>
      <c r="P247" s="11"/>
      <c r="Q247" s="11"/>
      <c r="R247" s="11"/>
      <c r="S247" s="11"/>
      <c r="T247" s="11"/>
      <c r="U247" s="11"/>
      <c r="AN247" s="30"/>
    </row>
    <row r="248" spans="14:40">
      <c r="N248" s="11"/>
      <c r="O248" s="11"/>
      <c r="P248" s="11"/>
      <c r="Q248" s="11"/>
      <c r="R248" s="11"/>
      <c r="S248" s="11"/>
      <c r="T248" s="11"/>
      <c r="U248" s="11"/>
      <c r="AN248" s="30"/>
    </row>
    <row r="249" spans="14:40">
      <c r="N249" s="11"/>
      <c r="O249" s="11"/>
      <c r="P249" s="11"/>
      <c r="Q249" s="11"/>
      <c r="R249" s="11"/>
      <c r="S249" s="11"/>
      <c r="T249" s="11"/>
      <c r="U249" s="11"/>
      <c r="AN249" s="30"/>
    </row>
    <row r="250" spans="14:40">
      <c r="N250" s="11"/>
      <c r="O250" s="11"/>
      <c r="P250" s="11"/>
      <c r="Q250" s="11"/>
      <c r="R250" s="11"/>
      <c r="S250" s="11"/>
      <c r="T250" s="11"/>
      <c r="U250" s="11"/>
      <c r="AN250" s="30"/>
    </row>
    <row r="251" spans="14:40">
      <c r="N251" s="11"/>
      <c r="O251" s="11"/>
      <c r="P251" s="11"/>
      <c r="Q251" s="11"/>
      <c r="R251" s="11"/>
      <c r="S251" s="11"/>
      <c r="T251" s="11"/>
      <c r="U251" s="11"/>
      <c r="AN251" s="30"/>
    </row>
    <row r="252" spans="14:40">
      <c r="N252" s="11"/>
      <c r="O252" s="11"/>
      <c r="P252" s="11"/>
      <c r="Q252" s="11"/>
      <c r="R252" s="11"/>
      <c r="S252" s="11"/>
      <c r="T252" s="11"/>
      <c r="U252" s="11"/>
      <c r="AN252" s="30"/>
    </row>
    <row r="253" spans="14:40">
      <c r="N253" s="11"/>
      <c r="O253" s="11"/>
      <c r="P253" s="11"/>
      <c r="Q253" s="11"/>
      <c r="R253" s="11"/>
      <c r="S253" s="11"/>
      <c r="T253" s="11"/>
      <c r="U253" s="11"/>
      <c r="AN253" s="30"/>
    </row>
    <row r="254" spans="14:40">
      <c r="N254" s="11"/>
      <c r="O254" s="11"/>
      <c r="P254" s="11"/>
      <c r="Q254" s="11"/>
      <c r="R254" s="11"/>
      <c r="S254" s="11"/>
      <c r="T254" s="11"/>
      <c r="U254" s="11"/>
      <c r="AN254" s="30"/>
    </row>
    <row r="255" spans="14:40">
      <c r="N255" s="11"/>
      <c r="O255" s="11"/>
      <c r="P255" s="11"/>
      <c r="Q255" s="11"/>
      <c r="R255" s="11"/>
      <c r="S255" s="11"/>
      <c r="T255" s="11"/>
      <c r="U255" s="11"/>
      <c r="AN255" s="30"/>
    </row>
    <row r="256" spans="14:40">
      <c r="N256" s="11"/>
      <c r="O256" s="11"/>
      <c r="P256" s="11"/>
      <c r="Q256" s="11"/>
      <c r="R256" s="11"/>
      <c r="S256" s="11"/>
      <c r="T256" s="11"/>
      <c r="U256" s="11"/>
      <c r="AN256" s="30"/>
    </row>
    <row r="257" spans="14:40">
      <c r="N257" s="11"/>
      <c r="O257" s="11"/>
      <c r="P257" s="11"/>
      <c r="Q257" s="11"/>
      <c r="R257" s="11"/>
      <c r="S257" s="11"/>
      <c r="T257" s="11"/>
      <c r="U257" s="11"/>
      <c r="AN257" s="30"/>
    </row>
    <row r="258" spans="14:40">
      <c r="N258" s="11"/>
      <c r="O258" s="11"/>
      <c r="P258" s="11"/>
      <c r="Q258" s="11"/>
      <c r="R258" s="11"/>
      <c r="S258" s="11"/>
      <c r="T258" s="11"/>
      <c r="U258" s="11"/>
      <c r="AN258" s="30"/>
    </row>
    <row r="259" spans="14:40">
      <c r="N259" s="11"/>
      <c r="O259" s="11"/>
      <c r="P259" s="11"/>
      <c r="Q259" s="11"/>
      <c r="R259" s="11"/>
      <c r="S259" s="11"/>
      <c r="T259" s="11"/>
      <c r="U259" s="11"/>
      <c r="AN259" s="30"/>
    </row>
    <row r="260" spans="14:40">
      <c r="N260" s="11"/>
      <c r="O260" s="11"/>
      <c r="P260" s="11"/>
      <c r="Q260" s="11"/>
      <c r="R260" s="11"/>
      <c r="S260" s="11"/>
      <c r="T260" s="11"/>
      <c r="U260" s="11"/>
      <c r="AN260" s="30"/>
    </row>
    <row r="261" spans="14:40">
      <c r="N261" s="11"/>
      <c r="O261" s="11"/>
      <c r="P261" s="11"/>
      <c r="Q261" s="11"/>
      <c r="R261" s="11"/>
      <c r="S261" s="11"/>
      <c r="T261" s="11"/>
      <c r="U261" s="11"/>
      <c r="AN261" s="30"/>
    </row>
    <row r="262" spans="14:40">
      <c r="N262" s="11"/>
      <c r="O262" s="11"/>
      <c r="P262" s="11"/>
      <c r="Q262" s="11"/>
      <c r="R262" s="11"/>
      <c r="S262" s="11"/>
      <c r="T262" s="11"/>
      <c r="U262" s="11"/>
      <c r="AN262" s="30"/>
    </row>
    <row r="263" spans="14:40">
      <c r="N263" s="11"/>
      <c r="O263" s="11"/>
      <c r="P263" s="11"/>
      <c r="Q263" s="11"/>
      <c r="R263" s="11"/>
      <c r="S263" s="11"/>
      <c r="T263" s="11"/>
      <c r="U263" s="11"/>
      <c r="AN263" s="30"/>
    </row>
    <row r="264" spans="14:40">
      <c r="N264" s="11"/>
      <c r="O264" s="11"/>
      <c r="P264" s="11"/>
      <c r="Q264" s="11"/>
      <c r="R264" s="11"/>
      <c r="S264" s="11"/>
      <c r="T264" s="11"/>
      <c r="U264" s="11"/>
      <c r="AN264" s="30"/>
    </row>
    <row r="265" spans="14:40">
      <c r="N265" s="11"/>
      <c r="O265" s="11"/>
      <c r="P265" s="11"/>
      <c r="Q265" s="11"/>
      <c r="R265" s="11"/>
      <c r="S265" s="11"/>
      <c r="T265" s="11"/>
      <c r="U265" s="11"/>
      <c r="AN265" s="30"/>
    </row>
    <row r="266" spans="14:40">
      <c r="N266" s="11"/>
      <c r="O266" s="11"/>
      <c r="P266" s="11"/>
      <c r="Q266" s="11"/>
      <c r="R266" s="11"/>
      <c r="S266" s="11"/>
      <c r="T266" s="11"/>
      <c r="U266" s="11"/>
      <c r="AN266" s="30"/>
    </row>
    <row r="267" spans="14:40">
      <c r="N267" s="11"/>
      <c r="O267" s="11"/>
      <c r="P267" s="11"/>
      <c r="Q267" s="11"/>
      <c r="R267" s="11"/>
      <c r="S267" s="11"/>
      <c r="T267" s="11"/>
      <c r="U267" s="11"/>
      <c r="AN267" s="30"/>
    </row>
    <row r="268" spans="14:40">
      <c r="N268" s="11"/>
      <c r="O268" s="11"/>
      <c r="P268" s="11"/>
      <c r="Q268" s="11"/>
      <c r="R268" s="11"/>
      <c r="S268" s="11"/>
      <c r="T268" s="11"/>
      <c r="U268" s="11"/>
      <c r="AN268" s="30"/>
    </row>
    <row r="269" spans="14:40">
      <c r="N269" s="11"/>
      <c r="O269" s="11"/>
      <c r="P269" s="11"/>
      <c r="Q269" s="11"/>
      <c r="R269" s="11"/>
      <c r="S269" s="11"/>
      <c r="T269" s="11"/>
      <c r="U269" s="11"/>
      <c r="AN269" s="30"/>
    </row>
    <row r="270" spans="14:40">
      <c r="N270" s="11"/>
      <c r="O270" s="11"/>
      <c r="P270" s="11"/>
      <c r="Q270" s="11"/>
      <c r="R270" s="11"/>
      <c r="S270" s="11"/>
      <c r="T270" s="11"/>
      <c r="U270" s="11"/>
      <c r="AN270" s="30"/>
    </row>
    <row r="271" spans="14:40">
      <c r="N271" s="11"/>
      <c r="O271" s="11"/>
      <c r="P271" s="11"/>
      <c r="Q271" s="11"/>
      <c r="R271" s="11"/>
      <c r="S271" s="11"/>
      <c r="T271" s="11"/>
      <c r="U271" s="11"/>
      <c r="AN271" s="30"/>
    </row>
    <row r="272" spans="14:40">
      <c r="N272" s="11"/>
      <c r="O272" s="11"/>
      <c r="P272" s="11"/>
      <c r="Q272" s="11"/>
      <c r="R272" s="11"/>
      <c r="S272" s="11"/>
      <c r="T272" s="11"/>
      <c r="U272" s="11"/>
      <c r="AN272" s="30"/>
    </row>
    <row r="273" spans="14:40">
      <c r="N273" s="11"/>
      <c r="O273" s="11"/>
      <c r="P273" s="11"/>
      <c r="Q273" s="11"/>
      <c r="R273" s="11"/>
      <c r="S273" s="11"/>
      <c r="T273" s="11"/>
      <c r="U273" s="11"/>
      <c r="AN273" s="30"/>
    </row>
    <row r="274" spans="14:40">
      <c r="N274" s="11"/>
      <c r="O274" s="11"/>
      <c r="P274" s="11"/>
      <c r="Q274" s="11"/>
      <c r="R274" s="11"/>
      <c r="S274" s="11"/>
      <c r="T274" s="11"/>
      <c r="U274" s="11"/>
      <c r="AN274" s="30"/>
    </row>
    <row r="275" spans="14:40">
      <c r="N275" s="11"/>
      <c r="O275" s="11"/>
      <c r="P275" s="11"/>
      <c r="Q275" s="11"/>
      <c r="R275" s="11"/>
      <c r="S275" s="11"/>
      <c r="T275" s="11"/>
      <c r="U275" s="11"/>
      <c r="AN275" s="30"/>
    </row>
    <row r="276" spans="14:40">
      <c r="N276" s="11"/>
      <c r="O276" s="11"/>
      <c r="P276" s="11"/>
      <c r="Q276" s="11"/>
      <c r="R276" s="11"/>
      <c r="S276" s="11"/>
      <c r="T276" s="11"/>
      <c r="U276" s="11"/>
      <c r="AN276" s="30"/>
    </row>
    <row r="277" spans="14:40">
      <c r="N277" s="11"/>
      <c r="O277" s="11"/>
      <c r="P277" s="11"/>
      <c r="Q277" s="11"/>
      <c r="R277" s="11"/>
      <c r="S277" s="11"/>
      <c r="T277" s="11"/>
      <c r="U277" s="11"/>
      <c r="AN277" s="30"/>
    </row>
    <row r="278" spans="14:40">
      <c r="N278" s="11"/>
      <c r="O278" s="11"/>
      <c r="P278" s="11"/>
      <c r="Q278" s="11"/>
      <c r="R278" s="11"/>
      <c r="S278" s="11"/>
      <c r="T278" s="11"/>
      <c r="U278" s="11"/>
      <c r="AN278" s="30"/>
    </row>
    <row r="279" spans="14:40">
      <c r="N279" s="11"/>
      <c r="O279" s="11"/>
      <c r="P279" s="11"/>
      <c r="Q279" s="11"/>
      <c r="R279" s="11"/>
      <c r="S279" s="11"/>
      <c r="T279" s="11"/>
      <c r="U279" s="11"/>
      <c r="AN279" s="30"/>
    </row>
    <row r="280" spans="14:40">
      <c r="N280" s="11"/>
      <c r="O280" s="11"/>
      <c r="P280" s="11"/>
      <c r="Q280" s="11"/>
      <c r="R280" s="11"/>
      <c r="S280" s="11"/>
      <c r="T280" s="11"/>
      <c r="U280" s="11"/>
      <c r="AN280" s="30"/>
    </row>
    <row r="281" spans="14:40">
      <c r="N281" s="11"/>
      <c r="O281" s="11"/>
      <c r="P281" s="11"/>
      <c r="Q281" s="11"/>
      <c r="R281" s="11"/>
      <c r="S281" s="11"/>
      <c r="T281" s="11"/>
      <c r="U281" s="11"/>
      <c r="AN281" s="30"/>
    </row>
    <row r="282" spans="14:40">
      <c r="N282" s="11"/>
      <c r="O282" s="11"/>
      <c r="P282" s="11"/>
      <c r="Q282" s="11"/>
      <c r="R282" s="11"/>
      <c r="S282" s="11"/>
      <c r="T282" s="11"/>
      <c r="U282" s="11"/>
      <c r="AN282" s="30"/>
    </row>
    <row r="283" spans="14:40">
      <c r="N283" s="11"/>
      <c r="O283" s="11"/>
      <c r="P283" s="11"/>
      <c r="Q283" s="11"/>
      <c r="R283" s="11"/>
      <c r="S283" s="11"/>
      <c r="T283" s="11"/>
      <c r="U283" s="11"/>
      <c r="AN283" s="30"/>
    </row>
    <row r="284" spans="14:40">
      <c r="N284" s="11"/>
      <c r="O284" s="11"/>
      <c r="P284" s="11"/>
      <c r="Q284" s="11"/>
      <c r="R284" s="11"/>
      <c r="S284" s="11"/>
      <c r="T284" s="11"/>
      <c r="U284" s="11"/>
      <c r="AN284" s="30"/>
    </row>
    <row r="285" spans="14:40">
      <c r="N285" s="11"/>
      <c r="O285" s="11"/>
      <c r="P285" s="11"/>
      <c r="Q285" s="11"/>
      <c r="R285" s="11"/>
      <c r="S285" s="11"/>
      <c r="T285" s="11"/>
      <c r="U285" s="11"/>
      <c r="AN285" s="30"/>
    </row>
    <row r="286" spans="14:40">
      <c r="N286" s="11"/>
      <c r="O286" s="11"/>
      <c r="P286" s="11"/>
      <c r="Q286" s="11"/>
      <c r="R286" s="11"/>
      <c r="S286" s="11"/>
      <c r="T286" s="11"/>
      <c r="U286" s="11"/>
      <c r="AN286" s="30"/>
    </row>
    <row r="287" spans="14:40">
      <c r="N287" s="11"/>
      <c r="O287" s="11"/>
      <c r="P287" s="11"/>
      <c r="Q287" s="11"/>
      <c r="R287" s="11"/>
      <c r="S287" s="11"/>
      <c r="T287" s="11"/>
      <c r="U287" s="11"/>
      <c r="AN287" s="30"/>
    </row>
    <row r="288" spans="14:40">
      <c r="N288" s="11"/>
      <c r="O288" s="11"/>
      <c r="P288" s="11"/>
      <c r="Q288" s="11"/>
      <c r="R288" s="11"/>
      <c r="S288" s="11"/>
      <c r="T288" s="11"/>
      <c r="U288" s="11"/>
      <c r="AN288" s="30"/>
    </row>
    <row r="289" spans="14:40">
      <c r="N289" s="11"/>
      <c r="O289" s="11"/>
      <c r="P289" s="11"/>
      <c r="Q289" s="11"/>
      <c r="R289" s="11"/>
      <c r="S289" s="11"/>
      <c r="T289" s="11"/>
      <c r="U289" s="11"/>
      <c r="AN289" s="30"/>
    </row>
    <row r="290" spans="14:40">
      <c r="N290" s="11"/>
      <c r="O290" s="11"/>
      <c r="P290" s="11"/>
      <c r="Q290" s="11"/>
      <c r="R290" s="11"/>
      <c r="S290" s="11"/>
      <c r="T290" s="11"/>
      <c r="U290" s="11"/>
      <c r="AN290" s="30"/>
    </row>
    <row r="291" spans="14:40">
      <c r="N291" s="11"/>
      <c r="O291" s="11"/>
      <c r="P291" s="11"/>
      <c r="Q291" s="11"/>
      <c r="R291" s="11"/>
      <c r="S291" s="11"/>
      <c r="T291" s="11"/>
      <c r="U291" s="11"/>
      <c r="AN291" s="30"/>
    </row>
    <row r="292" spans="14:40">
      <c r="N292" s="11"/>
      <c r="O292" s="11"/>
      <c r="P292" s="11"/>
      <c r="Q292" s="11"/>
      <c r="R292" s="11"/>
      <c r="S292" s="11"/>
      <c r="T292" s="11"/>
      <c r="U292" s="11"/>
      <c r="AN292" s="30"/>
    </row>
    <row r="293" spans="14:40">
      <c r="N293" s="11"/>
      <c r="O293" s="11"/>
      <c r="P293" s="11"/>
      <c r="Q293" s="11"/>
      <c r="R293" s="11"/>
      <c r="S293" s="11"/>
      <c r="T293" s="11"/>
      <c r="U293" s="11"/>
      <c r="AN293" s="30"/>
    </row>
    <row r="294" spans="14:40">
      <c r="N294" s="11"/>
      <c r="O294" s="11"/>
      <c r="P294" s="11"/>
      <c r="Q294" s="11"/>
      <c r="R294" s="11"/>
      <c r="S294" s="11"/>
      <c r="T294" s="11"/>
      <c r="U294" s="11"/>
      <c r="AN294" s="30"/>
    </row>
    <row r="295" spans="14:40">
      <c r="N295" s="11"/>
      <c r="O295" s="11"/>
      <c r="P295" s="11"/>
      <c r="Q295" s="11"/>
      <c r="R295" s="11"/>
      <c r="S295" s="11"/>
      <c r="T295" s="11"/>
      <c r="U295" s="11"/>
      <c r="AN295" s="30"/>
    </row>
    <row r="296" spans="14:40">
      <c r="N296" s="11"/>
      <c r="O296" s="11"/>
      <c r="P296" s="11"/>
      <c r="Q296" s="11"/>
      <c r="R296" s="11"/>
      <c r="S296" s="11"/>
      <c r="T296" s="11"/>
      <c r="U296" s="11"/>
      <c r="AN296" s="30"/>
    </row>
    <row r="297" spans="14:40">
      <c r="N297" s="11"/>
      <c r="O297" s="11"/>
      <c r="P297" s="11"/>
      <c r="Q297" s="11"/>
      <c r="R297" s="11"/>
      <c r="S297" s="11"/>
      <c r="T297" s="11"/>
      <c r="U297" s="11"/>
      <c r="AN297" s="30"/>
    </row>
    <row r="298" spans="14:40">
      <c r="N298" s="11"/>
      <c r="O298" s="11"/>
      <c r="P298" s="11"/>
      <c r="Q298" s="11"/>
      <c r="R298" s="11"/>
      <c r="S298" s="11"/>
      <c r="T298" s="11"/>
      <c r="U298" s="11"/>
      <c r="AN298" s="30"/>
    </row>
    <row r="299" spans="14:40">
      <c r="N299" s="11"/>
      <c r="O299" s="11"/>
      <c r="P299" s="11"/>
      <c r="Q299" s="11"/>
      <c r="R299" s="11"/>
      <c r="S299" s="11"/>
      <c r="T299" s="11"/>
      <c r="U299" s="11"/>
      <c r="AN299" s="30"/>
    </row>
    <row r="300" spans="14:40">
      <c r="N300" s="11"/>
      <c r="O300" s="11"/>
      <c r="P300" s="11"/>
      <c r="Q300" s="11"/>
      <c r="R300" s="11"/>
      <c r="S300" s="11"/>
      <c r="T300" s="11"/>
      <c r="U300" s="11"/>
      <c r="AN300" s="30"/>
    </row>
    <row r="301" spans="14:40">
      <c r="N301" s="11"/>
      <c r="O301" s="11"/>
      <c r="P301" s="11"/>
      <c r="Q301" s="11"/>
      <c r="R301" s="11"/>
      <c r="S301" s="11"/>
      <c r="T301" s="11"/>
      <c r="U301" s="11"/>
      <c r="AN301" s="30"/>
    </row>
    <row r="302" spans="14:40">
      <c r="N302" s="11"/>
      <c r="O302" s="11"/>
      <c r="P302" s="11"/>
      <c r="Q302" s="11"/>
      <c r="R302" s="11"/>
      <c r="S302" s="11"/>
      <c r="T302" s="11"/>
      <c r="U302" s="11"/>
      <c r="AN302" s="30"/>
    </row>
    <row r="303" spans="14:40">
      <c r="N303" s="11"/>
      <c r="O303" s="11"/>
      <c r="P303" s="11"/>
      <c r="Q303" s="11"/>
      <c r="R303" s="11"/>
      <c r="S303" s="11"/>
      <c r="T303" s="11"/>
      <c r="U303" s="11"/>
      <c r="AN303" s="30"/>
    </row>
    <row r="304" spans="14:40">
      <c r="N304" s="11"/>
      <c r="O304" s="11"/>
      <c r="P304" s="11"/>
      <c r="Q304" s="11"/>
      <c r="R304" s="11"/>
      <c r="S304" s="11"/>
      <c r="T304" s="11"/>
      <c r="U304" s="11"/>
      <c r="AN304" s="30"/>
    </row>
    <row r="305" spans="14:40">
      <c r="N305" s="11"/>
      <c r="O305" s="11"/>
      <c r="P305" s="11"/>
      <c r="Q305" s="11"/>
      <c r="R305" s="11"/>
      <c r="S305" s="11"/>
      <c r="T305" s="11"/>
      <c r="U305" s="11"/>
      <c r="AN305" s="30"/>
    </row>
    <row r="306" spans="14:40">
      <c r="N306" s="11"/>
      <c r="O306" s="11"/>
      <c r="P306" s="11"/>
      <c r="Q306" s="11"/>
      <c r="R306" s="11"/>
      <c r="S306" s="11"/>
      <c r="T306" s="11"/>
      <c r="U306" s="11"/>
      <c r="AN306" s="30"/>
    </row>
    <row r="307" spans="14:40">
      <c r="N307" s="11"/>
      <c r="O307" s="11"/>
      <c r="P307" s="11"/>
      <c r="Q307" s="11"/>
      <c r="R307" s="11"/>
      <c r="S307" s="11"/>
      <c r="T307" s="11"/>
      <c r="U307" s="11"/>
      <c r="AN307" s="30"/>
    </row>
    <row r="308" spans="14:40">
      <c r="N308" s="11"/>
      <c r="O308" s="11"/>
      <c r="P308" s="11"/>
      <c r="Q308" s="11"/>
      <c r="R308" s="11"/>
      <c r="S308" s="11"/>
      <c r="T308" s="11"/>
      <c r="U308" s="11"/>
      <c r="AN308" s="30"/>
    </row>
    <row r="309" spans="14:40">
      <c r="N309" s="11"/>
      <c r="O309" s="11"/>
      <c r="P309" s="11"/>
      <c r="Q309" s="11"/>
      <c r="R309" s="11"/>
      <c r="S309" s="11"/>
      <c r="T309" s="11"/>
      <c r="U309" s="11"/>
      <c r="AN309" s="30"/>
    </row>
    <row r="310" spans="14:40">
      <c r="N310" s="11"/>
      <c r="O310" s="11"/>
      <c r="P310" s="11"/>
      <c r="Q310" s="11"/>
      <c r="R310" s="11"/>
      <c r="S310" s="11"/>
      <c r="T310" s="11"/>
      <c r="U310" s="11"/>
      <c r="AN310" s="30"/>
    </row>
    <row r="311" spans="14:40">
      <c r="N311" s="11"/>
      <c r="O311" s="11"/>
      <c r="P311" s="11"/>
      <c r="Q311" s="11"/>
      <c r="R311" s="11"/>
      <c r="S311" s="11"/>
      <c r="T311" s="11"/>
      <c r="U311" s="11"/>
      <c r="AN311" s="30"/>
    </row>
    <row r="312" spans="14:40">
      <c r="N312" s="11"/>
      <c r="O312" s="11"/>
      <c r="P312" s="11"/>
      <c r="Q312" s="11"/>
      <c r="R312" s="11"/>
      <c r="S312" s="11"/>
      <c r="T312" s="11"/>
      <c r="U312" s="11"/>
      <c r="AN312" s="30"/>
    </row>
    <row r="313" spans="14:40">
      <c r="N313" s="11"/>
      <c r="O313" s="11"/>
      <c r="P313" s="11"/>
      <c r="Q313" s="11"/>
      <c r="R313" s="11"/>
      <c r="S313" s="11"/>
      <c r="T313" s="11"/>
      <c r="U313" s="11"/>
      <c r="AN313" s="30"/>
    </row>
    <row r="314" spans="14:40">
      <c r="N314" s="11"/>
      <c r="O314" s="11"/>
      <c r="P314" s="11"/>
      <c r="Q314" s="11"/>
      <c r="R314" s="11"/>
      <c r="S314" s="11"/>
      <c r="T314" s="11"/>
      <c r="U314" s="11"/>
      <c r="AN314" s="30"/>
    </row>
    <row r="315" spans="14:40">
      <c r="N315" s="11"/>
      <c r="O315" s="11"/>
      <c r="P315" s="11"/>
      <c r="Q315" s="11"/>
      <c r="R315" s="11"/>
      <c r="S315" s="11"/>
      <c r="T315" s="11"/>
      <c r="U315" s="11"/>
      <c r="AN315" s="30"/>
    </row>
    <row r="316" spans="14:40">
      <c r="N316" s="11"/>
      <c r="O316" s="11"/>
      <c r="P316" s="11"/>
      <c r="Q316" s="11"/>
      <c r="R316" s="11"/>
      <c r="S316" s="11"/>
      <c r="T316" s="11"/>
      <c r="U316" s="11"/>
      <c r="AN316" s="30"/>
    </row>
    <row r="317" spans="14:40">
      <c r="N317" s="11"/>
      <c r="O317" s="11"/>
      <c r="P317" s="11"/>
      <c r="Q317" s="11"/>
      <c r="R317" s="11"/>
      <c r="S317" s="11"/>
      <c r="T317" s="11"/>
      <c r="U317" s="11"/>
      <c r="AN317" s="30"/>
    </row>
    <row r="318" spans="14:40">
      <c r="N318" s="11"/>
      <c r="O318" s="11"/>
      <c r="P318" s="11"/>
      <c r="Q318" s="11"/>
      <c r="R318" s="11"/>
      <c r="S318" s="11"/>
      <c r="T318" s="11"/>
      <c r="U318" s="11"/>
      <c r="AN318" s="30"/>
    </row>
    <row r="319" spans="14:40">
      <c r="N319" s="11"/>
      <c r="O319" s="11"/>
      <c r="P319" s="11"/>
      <c r="Q319" s="11"/>
      <c r="R319" s="11"/>
      <c r="S319" s="11"/>
      <c r="T319" s="11"/>
      <c r="U319" s="11"/>
      <c r="AN319" s="30"/>
    </row>
    <row r="320" spans="14:40">
      <c r="N320" s="11"/>
      <c r="O320" s="11"/>
      <c r="P320" s="11"/>
      <c r="Q320" s="11"/>
      <c r="R320" s="11"/>
      <c r="S320" s="11"/>
      <c r="T320" s="11"/>
      <c r="U320" s="11"/>
      <c r="AN320" s="30"/>
    </row>
    <row r="321" spans="14:40">
      <c r="N321" s="11"/>
      <c r="O321" s="11"/>
      <c r="P321" s="11"/>
      <c r="Q321" s="11"/>
      <c r="R321" s="11"/>
      <c r="S321" s="11"/>
      <c r="T321" s="11"/>
      <c r="U321" s="11"/>
      <c r="AN321" s="30"/>
    </row>
    <row r="322" spans="14:40">
      <c r="N322" s="11"/>
      <c r="O322" s="11"/>
      <c r="P322" s="11"/>
      <c r="Q322" s="11"/>
      <c r="R322" s="11"/>
      <c r="S322" s="11"/>
      <c r="T322" s="11"/>
      <c r="U322" s="11"/>
      <c r="AN322" s="30"/>
    </row>
    <row r="323" spans="14:40">
      <c r="N323" s="11"/>
      <c r="O323" s="11"/>
      <c r="P323" s="11"/>
      <c r="Q323" s="11"/>
      <c r="R323" s="11"/>
      <c r="S323" s="11"/>
      <c r="T323" s="11"/>
      <c r="U323" s="11"/>
      <c r="AN323" s="30"/>
    </row>
    <row r="324" spans="14:40">
      <c r="N324" s="11"/>
      <c r="O324" s="11"/>
      <c r="P324" s="11"/>
      <c r="Q324" s="11"/>
      <c r="R324" s="11"/>
      <c r="S324" s="11"/>
      <c r="T324" s="11"/>
      <c r="U324" s="11"/>
      <c r="AN324" s="30"/>
    </row>
    <row r="325" spans="14:40">
      <c r="N325" s="11"/>
      <c r="O325" s="11"/>
      <c r="P325" s="11"/>
      <c r="Q325" s="11"/>
      <c r="R325" s="11"/>
      <c r="S325" s="11"/>
      <c r="T325" s="11"/>
      <c r="U325" s="11"/>
      <c r="AN325" s="30"/>
    </row>
    <row r="326" spans="14:40">
      <c r="N326" s="11"/>
      <c r="O326" s="11"/>
      <c r="P326" s="11"/>
      <c r="Q326" s="11"/>
      <c r="R326" s="11"/>
      <c r="S326" s="11"/>
      <c r="T326" s="11"/>
      <c r="U326" s="11"/>
      <c r="AN326" s="30"/>
    </row>
    <row r="327" spans="14:40">
      <c r="N327" s="11"/>
      <c r="O327" s="11"/>
      <c r="P327" s="11"/>
      <c r="Q327" s="11"/>
      <c r="R327" s="11"/>
      <c r="S327" s="11"/>
      <c r="T327" s="11"/>
      <c r="U327" s="11"/>
      <c r="AN327" s="30"/>
    </row>
    <row r="328" spans="14:40">
      <c r="N328" s="11"/>
      <c r="O328" s="11"/>
      <c r="P328" s="11"/>
      <c r="Q328" s="11"/>
      <c r="R328" s="11"/>
      <c r="S328" s="11"/>
      <c r="T328" s="11"/>
      <c r="U328" s="11"/>
      <c r="AN328" s="30"/>
    </row>
    <row r="329" spans="14:40">
      <c r="N329" s="11"/>
      <c r="O329" s="11"/>
      <c r="P329" s="11"/>
      <c r="Q329" s="11"/>
      <c r="R329" s="11"/>
      <c r="S329" s="11"/>
      <c r="T329" s="11"/>
      <c r="U329" s="11"/>
      <c r="AN329" s="30"/>
    </row>
    <row r="330" spans="14:40">
      <c r="N330" s="11"/>
      <c r="O330" s="11"/>
      <c r="P330" s="11"/>
      <c r="Q330" s="11"/>
      <c r="R330" s="11"/>
      <c r="S330" s="11"/>
      <c r="T330" s="11"/>
      <c r="U330" s="11"/>
      <c r="AN330" s="30"/>
    </row>
    <row r="331" spans="14:40">
      <c r="N331" s="11"/>
      <c r="O331" s="11"/>
      <c r="P331" s="11"/>
      <c r="Q331" s="11"/>
      <c r="R331" s="11"/>
      <c r="S331" s="11"/>
      <c r="T331" s="11"/>
      <c r="U331" s="11"/>
      <c r="AN331" s="30"/>
    </row>
    <row r="332" spans="14:40">
      <c r="N332" s="11"/>
      <c r="O332" s="11"/>
      <c r="P332" s="11"/>
      <c r="Q332" s="11"/>
      <c r="R332" s="11"/>
      <c r="S332" s="11"/>
      <c r="T332" s="11"/>
      <c r="U332" s="11"/>
      <c r="AN332" s="30"/>
    </row>
    <row r="333" spans="14:40">
      <c r="N333" s="11"/>
      <c r="O333" s="11"/>
      <c r="P333" s="11"/>
      <c r="Q333" s="11"/>
      <c r="R333" s="11"/>
      <c r="S333" s="11"/>
      <c r="T333" s="11"/>
      <c r="U333" s="11"/>
      <c r="AN333" s="30"/>
    </row>
    <row r="334" spans="14:40">
      <c r="N334" s="11"/>
      <c r="O334" s="11"/>
      <c r="P334" s="11"/>
      <c r="Q334" s="11"/>
      <c r="R334" s="11"/>
      <c r="S334" s="11"/>
      <c r="T334" s="11"/>
      <c r="U334" s="11"/>
      <c r="AN334" s="30"/>
    </row>
    <row r="335" spans="14:40">
      <c r="N335" s="11"/>
      <c r="O335" s="11"/>
      <c r="P335" s="11"/>
      <c r="Q335" s="11"/>
      <c r="R335" s="11"/>
      <c r="S335" s="11"/>
      <c r="T335" s="11"/>
      <c r="U335" s="11"/>
      <c r="AN335" s="30"/>
    </row>
    <row r="336" spans="14:40">
      <c r="N336" s="11"/>
      <c r="O336" s="11"/>
      <c r="P336" s="11"/>
      <c r="Q336" s="11"/>
      <c r="R336" s="11"/>
      <c r="S336" s="11"/>
      <c r="T336" s="11"/>
      <c r="U336" s="11"/>
      <c r="AN336" s="30"/>
    </row>
    <row r="337" spans="14:40">
      <c r="N337" s="11"/>
      <c r="O337" s="11"/>
      <c r="P337" s="11"/>
      <c r="Q337" s="11"/>
      <c r="R337" s="11"/>
      <c r="S337" s="11"/>
      <c r="T337" s="11"/>
      <c r="U337" s="11"/>
      <c r="AN337" s="30"/>
    </row>
    <row r="338" spans="14:40">
      <c r="N338" s="11"/>
      <c r="O338" s="11"/>
      <c r="P338" s="11"/>
      <c r="Q338" s="11"/>
      <c r="R338" s="11"/>
      <c r="S338" s="11"/>
      <c r="T338" s="11"/>
      <c r="U338" s="11"/>
      <c r="AN338" s="30"/>
    </row>
    <row r="339" spans="14:40">
      <c r="N339" s="11"/>
      <c r="O339" s="11"/>
      <c r="P339" s="11"/>
      <c r="Q339" s="11"/>
      <c r="R339" s="11"/>
      <c r="S339" s="11"/>
      <c r="T339" s="11"/>
      <c r="U339" s="11"/>
      <c r="AN339" s="30"/>
    </row>
    <row r="340" spans="14:40">
      <c r="N340" s="11"/>
      <c r="O340" s="11"/>
      <c r="P340" s="11"/>
      <c r="Q340" s="11"/>
      <c r="R340" s="11"/>
      <c r="S340" s="11"/>
      <c r="T340" s="11"/>
      <c r="U340" s="11"/>
      <c r="AN340" s="30"/>
    </row>
    <row r="341" spans="14:40">
      <c r="N341" s="11"/>
      <c r="O341" s="11"/>
      <c r="P341" s="11"/>
      <c r="Q341" s="11"/>
      <c r="R341" s="11"/>
      <c r="S341" s="11"/>
      <c r="T341" s="11"/>
      <c r="U341" s="11"/>
      <c r="AN341" s="30"/>
    </row>
    <row r="342" spans="14:40">
      <c r="N342" s="11"/>
      <c r="O342" s="11"/>
      <c r="P342" s="11"/>
      <c r="Q342" s="11"/>
      <c r="R342" s="11"/>
      <c r="S342" s="11"/>
      <c r="T342" s="11"/>
      <c r="U342" s="11"/>
      <c r="AN342" s="30"/>
    </row>
    <row r="343" spans="14:40">
      <c r="N343" s="11"/>
      <c r="O343" s="11"/>
      <c r="P343" s="11"/>
      <c r="Q343" s="11"/>
      <c r="R343" s="11"/>
      <c r="S343" s="11"/>
      <c r="T343" s="11"/>
      <c r="U343" s="11"/>
      <c r="AN343" s="30"/>
    </row>
    <row r="344" spans="14:40">
      <c r="N344" s="11"/>
      <c r="O344" s="11"/>
      <c r="P344" s="11"/>
      <c r="Q344" s="11"/>
      <c r="R344" s="11"/>
      <c r="S344" s="11"/>
      <c r="T344" s="11"/>
      <c r="U344" s="11"/>
      <c r="AN344" s="30"/>
    </row>
    <row r="345" spans="14:40">
      <c r="N345" s="11"/>
      <c r="O345" s="11"/>
      <c r="P345" s="11"/>
      <c r="Q345" s="11"/>
      <c r="R345" s="11"/>
      <c r="S345" s="11"/>
      <c r="T345" s="11"/>
      <c r="U345" s="11"/>
      <c r="AN345" s="30"/>
    </row>
    <row r="346" spans="14:40">
      <c r="N346" s="11"/>
      <c r="O346" s="11"/>
      <c r="P346" s="11"/>
      <c r="Q346" s="11"/>
      <c r="R346" s="11"/>
      <c r="S346" s="11"/>
      <c r="T346" s="11"/>
      <c r="U346" s="11"/>
      <c r="AN346" s="30"/>
    </row>
    <row r="347" spans="14:40">
      <c r="N347" s="11"/>
      <c r="O347" s="11"/>
      <c r="P347" s="11"/>
      <c r="Q347" s="11"/>
      <c r="R347" s="11"/>
      <c r="S347" s="11"/>
      <c r="T347" s="11"/>
      <c r="U347" s="11"/>
      <c r="AN347" s="30"/>
    </row>
    <row r="348" spans="14:40">
      <c r="N348" s="11"/>
      <c r="O348" s="11"/>
      <c r="P348" s="11"/>
      <c r="Q348" s="11"/>
      <c r="R348" s="11"/>
      <c r="S348" s="11"/>
      <c r="T348" s="11"/>
      <c r="U348" s="11"/>
      <c r="AN348" s="30"/>
    </row>
    <row r="349" spans="14:40">
      <c r="N349" s="11"/>
      <c r="O349" s="11"/>
      <c r="P349" s="11"/>
      <c r="Q349" s="11"/>
      <c r="R349" s="11"/>
      <c r="S349" s="11"/>
      <c r="T349" s="11"/>
      <c r="U349" s="11"/>
      <c r="AN349" s="30"/>
    </row>
    <row r="350" spans="14:40">
      <c r="N350" s="11"/>
      <c r="O350" s="11"/>
      <c r="P350" s="11"/>
      <c r="Q350" s="11"/>
      <c r="R350" s="11"/>
      <c r="S350" s="11"/>
      <c r="T350" s="11"/>
      <c r="U350" s="11"/>
      <c r="AN350" s="30"/>
    </row>
    <row r="351" spans="14:40">
      <c r="N351" s="11"/>
      <c r="O351" s="11"/>
      <c r="P351" s="11"/>
      <c r="Q351" s="11"/>
      <c r="R351" s="11"/>
      <c r="S351" s="11"/>
      <c r="T351" s="11"/>
      <c r="U351" s="11"/>
      <c r="AN351" s="30"/>
    </row>
    <row r="352" spans="14:40">
      <c r="N352" s="11"/>
      <c r="O352" s="11"/>
      <c r="P352" s="11"/>
      <c r="Q352" s="11"/>
      <c r="R352" s="11"/>
      <c r="S352" s="11"/>
      <c r="T352" s="11"/>
      <c r="U352" s="11"/>
      <c r="AN352" s="30"/>
    </row>
    <row r="353" spans="14:40">
      <c r="N353" s="11"/>
      <c r="O353" s="11"/>
      <c r="P353" s="11"/>
      <c r="Q353" s="11"/>
      <c r="R353" s="11"/>
      <c r="S353" s="11"/>
      <c r="T353" s="11"/>
      <c r="U353" s="11"/>
      <c r="AN353" s="30"/>
    </row>
    <row r="354" spans="14:40">
      <c r="N354" s="11"/>
      <c r="O354" s="11"/>
      <c r="P354" s="11"/>
      <c r="Q354" s="11"/>
      <c r="R354" s="11"/>
      <c r="S354" s="11"/>
      <c r="T354" s="11"/>
      <c r="U354" s="11"/>
      <c r="AN354" s="30"/>
    </row>
    <row r="355" spans="14:40">
      <c r="N355" s="11"/>
      <c r="O355" s="11"/>
      <c r="P355" s="11"/>
      <c r="Q355" s="11"/>
      <c r="R355" s="11"/>
      <c r="S355" s="11"/>
      <c r="T355" s="11"/>
      <c r="U355" s="11"/>
      <c r="AN355" s="30"/>
    </row>
    <row r="356" spans="14:40">
      <c r="N356" s="11"/>
      <c r="O356" s="11"/>
      <c r="P356" s="11"/>
      <c r="Q356" s="11"/>
      <c r="R356" s="11"/>
      <c r="S356" s="11"/>
      <c r="T356" s="11"/>
      <c r="U356" s="11"/>
      <c r="AN356" s="30"/>
    </row>
    <row r="357" spans="14:40">
      <c r="N357" s="11"/>
      <c r="O357" s="11"/>
      <c r="P357" s="11"/>
      <c r="Q357" s="11"/>
      <c r="R357" s="11"/>
      <c r="S357" s="11"/>
      <c r="T357" s="11"/>
      <c r="U357" s="11"/>
      <c r="AN357" s="30"/>
    </row>
    <row r="358" spans="14:40">
      <c r="N358" s="11"/>
      <c r="O358" s="11"/>
      <c r="P358" s="11"/>
      <c r="Q358" s="11"/>
      <c r="R358" s="11"/>
      <c r="S358" s="11"/>
      <c r="T358" s="11"/>
      <c r="U358" s="11"/>
      <c r="AN358" s="30"/>
    </row>
    <row r="359" spans="14:40">
      <c r="N359" s="11"/>
      <c r="O359" s="11"/>
      <c r="P359" s="11"/>
      <c r="Q359" s="11"/>
      <c r="R359" s="11"/>
      <c r="S359" s="11"/>
      <c r="T359" s="11"/>
      <c r="U359" s="11"/>
      <c r="AN359" s="30"/>
    </row>
    <row r="360" spans="14:40">
      <c r="N360" s="11"/>
      <c r="O360" s="11"/>
      <c r="P360" s="11"/>
      <c r="Q360" s="11"/>
      <c r="R360" s="11"/>
      <c r="S360" s="11"/>
      <c r="T360" s="11"/>
      <c r="U360" s="11"/>
      <c r="AN360" s="30"/>
    </row>
    <row r="361" spans="14:40">
      <c r="N361" s="11"/>
      <c r="O361" s="11"/>
      <c r="P361" s="11"/>
      <c r="Q361" s="11"/>
      <c r="R361" s="11"/>
      <c r="S361" s="11"/>
      <c r="T361" s="11"/>
      <c r="U361" s="11"/>
      <c r="AN361" s="30"/>
    </row>
    <row r="362" spans="14:40">
      <c r="N362" s="11"/>
      <c r="O362" s="11"/>
      <c r="P362" s="11"/>
      <c r="Q362" s="11"/>
      <c r="R362" s="11"/>
      <c r="S362" s="11"/>
      <c r="T362" s="11"/>
      <c r="U362" s="11"/>
      <c r="AN362" s="30"/>
    </row>
    <row r="363" spans="14:40">
      <c r="N363" s="11"/>
      <c r="O363" s="11"/>
      <c r="P363" s="11"/>
      <c r="Q363" s="11"/>
      <c r="R363" s="11"/>
      <c r="S363" s="11"/>
      <c r="T363" s="11"/>
      <c r="U363" s="11"/>
      <c r="AN363" s="30"/>
    </row>
    <row r="364" spans="14:40">
      <c r="N364" s="11"/>
      <c r="O364" s="11"/>
      <c r="P364" s="11"/>
      <c r="Q364" s="11"/>
      <c r="R364" s="11"/>
      <c r="S364" s="11"/>
      <c r="T364" s="11"/>
      <c r="U364" s="11"/>
      <c r="AN364" s="30"/>
    </row>
    <row r="365" spans="14:40">
      <c r="N365" s="11"/>
      <c r="O365" s="11"/>
      <c r="P365" s="11"/>
      <c r="Q365" s="11"/>
      <c r="R365" s="11"/>
      <c r="S365" s="11"/>
      <c r="T365" s="11"/>
      <c r="U365" s="11"/>
      <c r="AN365" s="30"/>
    </row>
    <row r="366" spans="14:40">
      <c r="N366" s="11"/>
      <c r="O366" s="11"/>
      <c r="P366" s="11"/>
      <c r="Q366" s="11"/>
      <c r="R366" s="11"/>
      <c r="S366" s="11"/>
      <c r="T366" s="11"/>
      <c r="U366" s="11"/>
      <c r="AN366" s="30"/>
    </row>
    <row r="367" spans="14:40">
      <c r="N367" s="11"/>
      <c r="O367" s="11"/>
      <c r="P367" s="11"/>
      <c r="Q367" s="11"/>
      <c r="R367" s="11"/>
      <c r="S367" s="11"/>
      <c r="T367" s="11"/>
      <c r="U367" s="11"/>
      <c r="AN367" s="30"/>
    </row>
    <row r="368" spans="14:40">
      <c r="N368" s="11"/>
      <c r="O368" s="11"/>
      <c r="P368" s="11"/>
      <c r="Q368" s="11"/>
      <c r="R368" s="11"/>
      <c r="S368" s="11"/>
      <c r="T368" s="11"/>
      <c r="U368" s="11"/>
      <c r="AN368" s="30"/>
    </row>
    <row r="369" spans="14:40">
      <c r="N369" s="11"/>
      <c r="O369" s="11"/>
      <c r="P369" s="11"/>
      <c r="Q369" s="11"/>
      <c r="R369" s="11"/>
      <c r="S369" s="11"/>
      <c r="T369" s="11"/>
      <c r="U369" s="11"/>
      <c r="AN369" s="30"/>
    </row>
    <row r="370" spans="14:40">
      <c r="N370" s="11"/>
      <c r="O370" s="11"/>
      <c r="P370" s="11"/>
      <c r="Q370" s="11"/>
      <c r="R370" s="11"/>
      <c r="S370" s="11"/>
      <c r="T370" s="11"/>
      <c r="U370" s="11"/>
      <c r="AN370" s="30"/>
    </row>
    <row r="371" spans="14:40">
      <c r="N371" s="11"/>
      <c r="O371" s="11"/>
      <c r="P371" s="11"/>
      <c r="Q371" s="11"/>
      <c r="R371" s="11"/>
      <c r="S371" s="11"/>
      <c r="T371" s="11"/>
      <c r="U371" s="11"/>
      <c r="AN371" s="30"/>
    </row>
    <row r="372" spans="14:40">
      <c r="N372" s="11"/>
      <c r="O372" s="11"/>
      <c r="P372" s="11"/>
      <c r="Q372" s="11"/>
      <c r="R372" s="11"/>
      <c r="S372" s="11"/>
      <c r="T372" s="11"/>
      <c r="U372" s="11"/>
      <c r="AN372" s="30"/>
    </row>
    <row r="373" spans="14:40">
      <c r="N373" s="11"/>
      <c r="O373" s="11"/>
      <c r="P373" s="11"/>
      <c r="Q373" s="11"/>
      <c r="R373" s="11"/>
      <c r="S373" s="11"/>
      <c r="T373" s="11"/>
      <c r="U373" s="11"/>
      <c r="AN373" s="30"/>
    </row>
    <row r="374" spans="14:40">
      <c r="N374" s="11"/>
      <c r="O374" s="11"/>
      <c r="P374" s="11"/>
      <c r="Q374" s="11"/>
      <c r="R374" s="11"/>
      <c r="S374" s="11"/>
      <c r="T374" s="11"/>
      <c r="U374" s="11"/>
      <c r="AN374" s="30"/>
    </row>
    <row r="375" spans="14:40">
      <c r="N375" s="11"/>
      <c r="O375" s="11"/>
      <c r="P375" s="11"/>
      <c r="Q375" s="11"/>
      <c r="R375" s="11"/>
      <c r="S375" s="11"/>
      <c r="T375" s="11"/>
      <c r="U375" s="11"/>
      <c r="AN375" s="30"/>
    </row>
    <row r="376" spans="14:40">
      <c r="N376" s="11"/>
      <c r="O376" s="11"/>
      <c r="P376" s="11"/>
      <c r="Q376" s="11"/>
      <c r="R376" s="11"/>
      <c r="S376" s="11"/>
      <c r="T376" s="11"/>
      <c r="U376" s="11"/>
      <c r="AN376" s="30"/>
    </row>
    <row r="377" spans="14:40">
      <c r="N377" s="11"/>
      <c r="O377" s="11"/>
      <c r="P377" s="11"/>
      <c r="Q377" s="11"/>
      <c r="R377" s="11"/>
      <c r="S377" s="11"/>
      <c r="T377" s="11"/>
      <c r="U377" s="11"/>
      <c r="AN377" s="30"/>
    </row>
    <row r="378" spans="14:40">
      <c r="N378" s="11"/>
      <c r="O378" s="11"/>
      <c r="P378" s="11"/>
      <c r="Q378" s="11"/>
      <c r="R378" s="11"/>
      <c r="S378" s="11"/>
      <c r="T378" s="11"/>
      <c r="U378" s="11"/>
      <c r="AN378" s="30"/>
    </row>
    <row r="379" spans="14:40">
      <c r="N379" s="11"/>
      <c r="O379" s="11"/>
      <c r="P379" s="11"/>
      <c r="Q379" s="11"/>
      <c r="R379" s="11"/>
      <c r="S379" s="11"/>
      <c r="T379" s="11"/>
      <c r="U379" s="11"/>
      <c r="AN379" s="30"/>
    </row>
    <row r="380" spans="14:40">
      <c r="N380" s="11"/>
      <c r="O380" s="11"/>
      <c r="P380" s="11"/>
      <c r="Q380" s="11"/>
      <c r="R380" s="11"/>
      <c r="S380" s="11"/>
      <c r="T380" s="11"/>
      <c r="U380" s="11"/>
      <c r="AN380" s="30"/>
    </row>
    <row r="381" spans="14:40">
      <c r="N381" s="11"/>
      <c r="O381" s="11"/>
      <c r="P381" s="11"/>
      <c r="Q381" s="11"/>
      <c r="R381" s="11"/>
      <c r="S381" s="11"/>
      <c r="T381" s="11"/>
      <c r="U381" s="11"/>
      <c r="AN381" s="30"/>
    </row>
    <row r="382" spans="14:40">
      <c r="N382" s="11"/>
      <c r="O382" s="11"/>
      <c r="P382" s="11"/>
      <c r="Q382" s="11"/>
      <c r="R382" s="11"/>
      <c r="S382" s="11"/>
      <c r="T382" s="11"/>
      <c r="U382" s="11"/>
      <c r="AN382" s="30"/>
    </row>
    <row r="383" spans="14:40">
      <c r="N383" s="11"/>
      <c r="O383" s="11"/>
      <c r="P383" s="11"/>
      <c r="Q383" s="11"/>
      <c r="R383" s="11"/>
      <c r="S383" s="11"/>
      <c r="T383" s="11"/>
      <c r="U383" s="11"/>
      <c r="AN383" s="30"/>
    </row>
    <row r="384" spans="14:40">
      <c r="N384" s="11"/>
      <c r="O384" s="11"/>
      <c r="P384" s="11"/>
      <c r="Q384" s="11"/>
      <c r="R384" s="11"/>
      <c r="S384" s="11"/>
      <c r="T384" s="11"/>
      <c r="U384" s="11"/>
      <c r="AN384" s="30"/>
    </row>
    <row r="385" spans="14:40">
      <c r="N385" s="11"/>
      <c r="O385" s="11"/>
      <c r="P385" s="11"/>
      <c r="Q385" s="11"/>
      <c r="R385" s="11"/>
      <c r="S385" s="11"/>
      <c r="T385" s="11"/>
      <c r="U385" s="11"/>
      <c r="AN385" s="30"/>
    </row>
    <row r="386" spans="14:40">
      <c r="N386" s="11"/>
      <c r="O386" s="11"/>
      <c r="P386" s="11"/>
      <c r="Q386" s="11"/>
      <c r="R386" s="11"/>
      <c r="S386" s="11"/>
      <c r="T386" s="11"/>
      <c r="U386" s="11"/>
      <c r="AN386" s="30"/>
    </row>
    <row r="387" spans="14:40">
      <c r="N387" s="11"/>
      <c r="O387" s="11"/>
      <c r="P387" s="11"/>
      <c r="Q387" s="11"/>
      <c r="R387" s="11"/>
      <c r="S387" s="11"/>
      <c r="T387" s="11"/>
      <c r="U387" s="11"/>
      <c r="AN387" s="30"/>
    </row>
    <row r="388" spans="14:40">
      <c r="N388" s="11"/>
      <c r="O388" s="11"/>
      <c r="P388" s="11"/>
      <c r="Q388" s="11"/>
      <c r="R388" s="11"/>
      <c r="S388" s="11"/>
      <c r="T388" s="11"/>
      <c r="U388" s="11"/>
      <c r="AN388" s="30"/>
    </row>
    <row r="389" spans="14:40">
      <c r="N389" s="11"/>
      <c r="O389" s="11"/>
      <c r="P389" s="11"/>
      <c r="Q389" s="11"/>
      <c r="R389" s="11"/>
      <c r="S389" s="11"/>
      <c r="T389" s="11"/>
      <c r="U389" s="11"/>
      <c r="AN389" s="30"/>
    </row>
    <row r="390" spans="14:40">
      <c r="N390" s="11"/>
      <c r="O390" s="11"/>
      <c r="P390" s="11"/>
      <c r="Q390" s="11"/>
      <c r="R390" s="11"/>
      <c r="S390" s="11"/>
      <c r="T390" s="11"/>
      <c r="U390" s="11"/>
      <c r="AN390" s="30"/>
    </row>
    <row r="391" spans="14:40">
      <c r="N391" s="11"/>
      <c r="O391" s="11"/>
      <c r="P391" s="11"/>
      <c r="Q391" s="11"/>
      <c r="R391" s="11"/>
      <c r="S391" s="11"/>
      <c r="T391" s="11"/>
      <c r="U391" s="11"/>
      <c r="AN391" s="30"/>
    </row>
    <row r="392" spans="14:40">
      <c r="N392" s="11"/>
      <c r="O392" s="11"/>
      <c r="P392" s="11"/>
      <c r="Q392" s="11"/>
      <c r="R392" s="11"/>
      <c r="S392" s="11"/>
      <c r="T392" s="11"/>
      <c r="U392" s="11"/>
      <c r="AN392" s="30"/>
    </row>
    <row r="393" spans="14:40">
      <c r="N393" s="11"/>
      <c r="O393" s="11"/>
      <c r="P393" s="11"/>
      <c r="Q393" s="11"/>
      <c r="R393" s="11"/>
      <c r="S393" s="11"/>
      <c r="T393" s="11"/>
      <c r="U393" s="11"/>
      <c r="AN393" s="30"/>
    </row>
    <row r="394" spans="14:40">
      <c r="N394" s="11"/>
      <c r="O394" s="11"/>
      <c r="P394" s="11"/>
      <c r="Q394" s="11"/>
      <c r="R394" s="11"/>
      <c r="S394" s="11"/>
      <c r="T394" s="11"/>
      <c r="U394" s="11"/>
      <c r="AN394" s="30"/>
    </row>
    <row r="395" spans="14:40">
      <c r="N395" s="11"/>
      <c r="O395" s="11"/>
      <c r="P395" s="11"/>
      <c r="Q395" s="11"/>
      <c r="R395" s="11"/>
      <c r="S395" s="11"/>
      <c r="T395" s="11"/>
      <c r="U395" s="11"/>
      <c r="AN395" s="30"/>
    </row>
    <row r="396" spans="14:40">
      <c r="N396" s="11"/>
      <c r="O396" s="11"/>
      <c r="P396" s="11"/>
      <c r="Q396" s="11"/>
      <c r="R396" s="11"/>
      <c r="S396" s="11"/>
      <c r="T396" s="11"/>
      <c r="U396" s="11"/>
      <c r="AN396" s="30"/>
    </row>
    <row r="397" spans="14:40">
      <c r="N397" s="11"/>
      <c r="O397" s="11"/>
      <c r="P397" s="11"/>
      <c r="Q397" s="11"/>
      <c r="R397" s="11"/>
      <c r="S397" s="11"/>
      <c r="T397" s="11"/>
      <c r="U397" s="11"/>
      <c r="AN397" s="30"/>
    </row>
    <row r="398" spans="14:40">
      <c r="N398" s="11"/>
      <c r="O398" s="11"/>
      <c r="P398" s="11"/>
      <c r="Q398" s="11"/>
      <c r="R398" s="11"/>
      <c r="S398" s="11"/>
      <c r="T398" s="11"/>
      <c r="U398" s="11"/>
      <c r="AN398" s="30"/>
    </row>
    <row r="399" spans="14:40">
      <c r="N399" s="11"/>
      <c r="O399" s="11"/>
      <c r="P399" s="11"/>
      <c r="Q399" s="11"/>
      <c r="R399" s="11"/>
      <c r="S399" s="11"/>
      <c r="T399" s="11"/>
      <c r="U399" s="11"/>
      <c r="AN399" s="30"/>
    </row>
    <row r="400" spans="14:40">
      <c r="N400" s="11"/>
      <c r="O400" s="11"/>
      <c r="P400" s="11"/>
      <c r="Q400" s="11"/>
      <c r="R400" s="11"/>
      <c r="S400" s="11"/>
      <c r="T400" s="11"/>
      <c r="U400" s="11"/>
      <c r="AN400" s="30"/>
    </row>
    <row r="401" spans="14:40">
      <c r="N401" s="11"/>
      <c r="O401" s="11"/>
      <c r="P401" s="11"/>
      <c r="Q401" s="11"/>
      <c r="R401" s="11"/>
      <c r="S401" s="11"/>
      <c r="T401" s="11"/>
      <c r="U401" s="11"/>
      <c r="AN401" s="30"/>
    </row>
    <row r="402" spans="14:40">
      <c r="N402" s="11"/>
      <c r="O402" s="11"/>
      <c r="P402" s="11"/>
      <c r="Q402" s="11"/>
      <c r="R402" s="11"/>
      <c r="S402" s="11"/>
      <c r="T402" s="11"/>
      <c r="U402" s="11"/>
      <c r="AN402" s="30"/>
    </row>
    <row r="403" spans="14:40">
      <c r="N403" s="11"/>
      <c r="O403" s="11"/>
      <c r="P403" s="11"/>
      <c r="Q403" s="11"/>
      <c r="R403" s="11"/>
      <c r="S403" s="11"/>
      <c r="T403" s="11"/>
      <c r="U403" s="11"/>
      <c r="AN403" s="30"/>
    </row>
    <row r="404" spans="14:40">
      <c r="N404" s="11"/>
      <c r="O404" s="11"/>
      <c r="P404" s="11"/>
      <c r="Q404" s="11"/>
      <c r="R404" s="11"/>
      <c r="S404" s="11"/>
      <c r="T404" s="11"/>
      <c r="U404" s="11"/>
      <c r="AN404" s="30"/>
    </row>
    <row r="405" spans="14:40">
      <c r="N405" s="11"/>
      <c r="O405" s="11"/>
      <c r="P405" s="11"/>
      <c r="Q405" s="11"/>
      <c r="R405" s="11"/>
      <c r="S405" s="11"/>
      <c r="T405" s="11"/>
      <c r="U405" s="11"/>
      <c r="AN405" s="30"/>
    </row>
    <row r="406" spans="14:40">
      <c r="N406" s="11"/>
      <c r="O406" s="11"/>
      <c r="P406" s="11"/>
      <c r="Q406" s="11"/>
      <c r="R406" s="11"/>
      <c r="S406" s="11"/>
      <c r="T406" s="11"/>
      <c r="U406" s="11"/>
      <c r="AN406" s="30"/>
    </row>
    <row r="407" spans="14:40">
      <c r="N407" s="11"/>
      <c r="O407" s="11"/>
      <c r="P407" s="11"/>
      <c r="Q407" s="11"/>
      <c r="R407" s="11"/>
      <c r="S407" s="11"/>
      <c r="T407" s="11"/>
      <c r="U407" s="11"/>
      <c r="AN407" s="30"/>
    </row>
    <row r="408" spans="14:40">
      <c r="N408" s="11"/>
      <c r="O408" s="11"/>
      <c r="P408" s="11"/>
      <c r="Q408" s="11"/>
      <c r="R408" s="11"/>
      <c r="S408" s="11"/>
      <c r="T408" s="11"/>
      <c r="U408" s="11"/>
      <c r="AN408" s="30"/>
    </row>
    <row r="409" spans="14:40">
      <c r="N409" s="11"/>
      <c r="O409" s="11"/>
      <c r="P409" s="11"/>
      <c r="Q409" s="11"/>
      <c r="R409" s="11"/>
      <c r="S409" s="11"/>
      <c r="T409" s="11"/>
      <c r="U409" s="11"/>
      <c r="AN409" s="30"/>
    </row>
    <row r="410" spans="14:40">
      <c r="N410" s="11"/>
      <c r="O410" s="11"/>
      <c r="P410" s="11"/>
      <c r="Q410" s="11"/>
      <c r="R410" s="11"/>
      <c r="S410" s="11"/>
      <c r="T410" s="11"/>
      <c r="U410" s="11"/>
      <c r="AN410" s="30"/>
    </row>
    <row r="411" spans="14:40">
      <c r="N411" s="11"/>
      <c r="O411" s="11"/>
      <c r="P411" s="11"/>
      <c r="Q411" s="11"/>
      <c r="R411" s="11"/>
      <c r="S411" s="11"/>
      <c r="T411" s="11"/>
      <c r="U411" s="11"/>
      <c r="AN411" s="30"/>
    </row>
    <row r="412" spans="14:40">
      <c r="N412" s="11"/>
      <c r="O412" s="11"/>
      <c r="P412" s="11"/>
      <c r="Q412" s="11"/>
      <c r="R412" s="11"/>
      <c r="S412" s="11"/>
      <c r="T412" s="11"/>
      <c r="U412" s="11"/>
      <c r="AN412" s="30"/>
    </row>
    <row r="413" spans="14:40">
      <c r="N413" s="11"/>
      <c r="O413" s="11"/>
      <c r="P413" s="11"/>
      <c r="Q413" s="11"/>
      <c r="R413" s="11"/>
      <c r="S413" s="11"/>
      <c r="T413" s="11"/>
      <c r="U413" s="11"/>
      <c r="AN413" s="30"/>
    </row>
    <row r="414" spans="14:40">
      <c r="N414" s="11"/>
      <c r="O414" s="11"/>
      <c r="P414" s="11"/>
      <c r="Q414" s="11"/>
      <c r="R414" s="11"/>
      <c r="S414" s="11"/>
      <c r="T414" s="11"/>
      <c r="U414" s="11"/>
      <c r="AN414" s="30"/>
    </row>
    <row r="415" spans="14:40">
      <c r="N415" s="11"/>
      <c r="O415" s="11"/>
      <c r="P415" s="11"/>
      <c r="Q415" s="11"/>
      <c r="R415" s="11"/>
      <c r="S415" s="11"/>
      <c r="T415" s="11"/>
      <c r="U415" s="11"/>
      <c r="AN415" s="30"/>
    </row>
    <row r="416" spans="14:40">
      <c r="N416" s="11"/>
      <c r="O416" s="11"/>
      <c r="P416" s="11"/>
      <c r="Q416" s="11"/>
      <c r="R416" s="11"/>
      <c r="S416" s="11"/>
      <c r="T416" s="11"/>
      <c r="U416" s="11"/>
      <c r="AN416" s="30"/>
    </row>
    <row r="417" spans="14:40">
      <c r="N417" s="11"/>
      <c r="O417" s="11"/>
      <c r="P417" s="11"/>
      <c r="Q417" s="11"/>
      <c r="R417" s="11"/>
      <c r="S417" s="11"/>
      <c r="T417" s="11"/>
      <c r="U417" s="11"/>
      <c r="AN417" s="30"/>
    </row>
    <row r="418" spans="14:40">
      <c r="N418" s="11"/>
      <c r="O418" s="11"/>
      <c r="P418" s="11"/>
      <c r="Q418" s="11"/>
      <c r="R418" s="11"/>
      <c r="S418" s="11"/>
      <c r="T418" s="11"/>
      <c r="U418" s="11"/>
      <c r="AN418" s="30"/>
    </row>
    <row r="419" spans="14:40">
      <c r="N419" s="11"/>
      <c r="O419" s="11"/>
      <c r="P419" s="11"/>
      <c r="Q419" s="11"/>
      <c r="R419" s="11"/>
      <c r="S419" s="11"/>
      <c r="T419" s="11"/>
      <c r="U419" s="11"/>
      <c r="AN419" s="30"/>
    </row>
    <row r="420" spans="14:40">
      <c r="N420" s="11"/>
      <c r="O420" s="11"/>
      <c r="P420" s="11"/>
      <c r="Q420" s="11"/>
      <c r="R420" s="11"/>
      <c r="S420" s="11"/>
      <c r="T420" s="11"/>
      <c r="U420" s="11"/>
      <c r="AN420" s="30"/>
    </row>
    <row r="421" spans="14:40">
      <c r="N421" s="11"/>
      <c r="O421" s="11"/>
      <c r="P421" s="11"/>
      <c r="Q421" s="11"/>
      <c r="R421" s="11"/>
      <c r="S421" s="11"/>
      <c r="T421" s="11"/>
      <c r="U421" s="11"/>
      <c r="AN421" s="30"/>
    </row>
    <row r="422" spans="14:40">
      <c r="N422" s="11"/>
      <c r="O422" s="11"/>
      <c r="P422" s="11"/>
      <c r="Q422" s="11"/>
      <c r="R422" s="11"/>
      <c r="S422" s="11"/>
      <c r="T422" s="11"/>
      <c r="U422" s="11"/>
      <c r="AN422" s="30"/>
    </row>
    <row r="423" spans="14:40">
      <c r="N423" s="11"/>
      <c r="O423" s="11"/>
      <c r="P423" s="11"/>
      <c r="Q423" s="11"/>
      <c r="R423" s="11"/>
      <c r="S423" s="11"/>
      <c r="T423" s="11"/>
      <c r="U423" s="11"/>
      <c r="AN423" s="30"/>
    </row>
    <row r="424" spans="14:40">
      <c r="N424" s="11"/>
      <c r="O424" s="11"/>
      <c r="P424" s="11"/>
      <c r="Q424" s="11"/>
      <c r="R424" s="11"/>
      <c r="S424" s="11"/>
      <c r="T424" s="11"/>
      <c r="U424" s="11"/>
      <c r="AN424" s="30"/>
    </row>
    <row r="425" spans="14:40">
      <c r="N425" s="11"/>
      <c r="O425" s="11"/>
      <c r="P425" s="11"/>
      <c r="Q425" s="11"/>
      <c r="R425" s="11"/>
      <c r="S425" s="11"/>
      <c r="T425" s="11"/>
      <c r="U425" s="11"/>
      <c r="AN425" s="30"/>
    </row>
    <row r="426" spans="14:40">
      <c r="N426" s="11"/>
      <c r="O426" s="11"/>
      <c r="P426" s="11"/>
      <c r="Q426" s="11"/>
      <c r="R426" s="11"/>
      <c r="S426" s="11"/>
      <c r="T426" s="11"/>
      <c r="U426" s="11"/>
      <c r="AN426" s="30"/>
    </row>
    <row r="427" spans="14:40">
      <c r="N427" s="11"/>
      <c r="O427" s="11"/>
      <c r="P427" s="11"/>
      <c r="Q427" s="11"/>
      <c r="R427" s="11"/>
      <c r="S427" s="11"/>
      <c r="T427" s="11"/>
      <c r="U427" s="11"/>
      <c r="AN427" s="30"/>
    </row>
    <row r="428" spans="14:40">
      <c r="N428" s="11"/>
      <c r="O428" s="11"/>
      <c r="P428" s="11"/>
      <c r="Q428" s="11"/>
      <c r="R428" s="11"/>
      <c r="S428" s="11"/>
      <c r="T428" s="11"/>
      <c r="U428" s="11"/>
      <c r="AN428" s="30"/>
    </row>
    <row r="429" spans="14:40">
      <c r="N429" s="11"/>
      <c r="O429" s="11"/>
      <c r="P429" s="11"/>
      <c r="Q429" s="11"/>
      <c r="R429" s="11"/>
      <c r="S429" s="11"/>
      <c r="T429" s="11"/>
      <c r="U429" s="11"/>
      <c r="AN429" s="30"/>
    </row>
    <row r="430" spans="14:40">
      <c r="N430" s="11"/>
      <c r="O430" s="11"/>
      <c r="P430" s="11"/>
      <c r="Q430" s="11"/>
      <c r="R430" s="11"/>
      <c r="S430" s="11"/>
      <c r="T430" s="11"/>
      <c r="U430" s="11"/>
      <c r="AN430" s="30"/>
    </row>
    <row r="431" spans="14:40">
      <c r="N431" s="11"/>
      <c r="O431" s="11"/>
      <c r="P431" s="11"/>
      <c r="Q431" s="11"/>
      <c r="R431" s="11"/>
      <c r="S431" s="11"/>
      <c r="T431" s="11"/>
      <c r="U431" s="11"/>
      <c r="AN431" s="30"/>
    </row>
    <row r="432" spans="14:40">
      <c r="N432" s="11"/>
      <c r="O432" s="11"/>
      <c r="P432" s="11"/>
      <c r="Q432" s="11"/>
      <c r="R432" s="11"/>
      <c r="S432" s="11"/>
      <c r="T432" s="11"/>
      <c r="U432" s="11"/>
      <c r="AN432" s="30"/>
    </row>
    <row r="433" spans="14:40">
      <c r="N433" s="11"/>
      <c r="O433" s="11"/>
      <c r="P433" s="11"/>
      <c r="Q433" s="11"/>
      <c r="R433" s="11"/>
      <c r="S433" s="11"/>
      <c r="T433" s="11"/>
      <c r="U433" s="11"/>
      <c r="AN433" s="30"/>
    </row>
    <row r="434" spans="14:40">
      <c r="N434" s="11"/>
      <c r="O434" s="11"/>
      <c r="P434" s="11"/>
      <c r="Q434" s="11"/>
      <c r="R434" s="11"/>
      <c r="S434" s="11"/>
      <c r="T434" s="11"/>
      <c r="U434" s="11"/>
      <c r="AN434" s="30"/>
    </row>
    <row r="435" spans="14:40">
      <c r="N435" s="11"/>
      <c r="O435" s="11"/>
      <c r="P435" s="11"/>
      <c r="Q435" s="11"/>
      <c r="R435" s="11"/>
      <c r="S435" s="11"/>
      <c r="T435" s="11"/>
      <c r="U435" s="11"/>
      <c r="AN435" s="30"/>
    </row>
    <row r="436" spans="14:40">
      <c r="N436" s="11"/>
      <c r="O436" s="11"/>
      <c r="P436" s="11"/>
      <c r="Q436" s="11"/>
      <c r="R436" s="11"/>
      <c r="S436" s="11"/>
      <c r="T436" s="11"/>
      <c r="U436" s="11"/>
      <c r="AN436" s="30"/>
    </row>
    <row r="437" spans="14:40">
      <c r="N437" s="11"/>
      <c r="O437" s="11"/>
      <c r="P437" s="11"/>
      <c r="Q437" s="11"/>
      <c r="R437" s="11"/>
      <c r="S437" s="11"/>
      <c r="T437" s="11"/>
      <c r="U437" s="11"/>
      <c r="AN437" s="30"/>
    </row>
    <row r="438" spans="14:40">
      <c r="N438" s="11"/>
      <c r="O438" s="11"/>
      <c r="P438" s="11"/>
      <c r="Q438" s="11"/>
      <c r="R438" s="11"/>
      <c r="S438" s="11"/>
      <c r="T438" s="11"/>
      <c r="U438" s="11"/>
      <c r="AN438" s="30"/>
    </row>
    <row r="439" spans="14:40">
      <c r="N439" s="11"/>
      <c r="O439" s="11"/>
      <c r="P439" s="11"/>
      <c r="Q439" s="11"/>
      <c r="R439" s="11"/>
      <c r="S439" s="11"/>
      <c r="T439" s="11"/>
      <c r="U439" s="11"/>
      <c r="AN439" s="30"/>
    </row>
    <row r="440" spans="14:40">
      <c r="N440" s="11"/>
      <c r="O440" s="11"/>
      <c r="P440" s="11"/>
      <c r="Q440" s="11"/>
      <c r="R440" s="11"/>
      <c r="S440" s="11"/>
      <c r="T440" s="11"/>
      <c r="U440" s="11"/>
      <c r="AN440" s="30"/>
    </row>
    <row r="441" spans="14:40">
      <c r="N441" s="11"/>
      <c r="O441" s="11"/>
      <c r="P441" s="11"/>
      <c r="Q441" s="11"/>
      <c r="R441" s="11"/>
      <c r="S441" s="11"/>
      <c r="T441" s="11"/>
      <c r="U441" s="11"/>
      <c r="AN441" s="30"/>
    </row>
    <row r="442" spans="14:40">
      <c r="N442" s="11"/>
      <c r="O442" s="11"/>
      <c r="P442" s="11"/>
      <c r="Q442" s="11"/>
      <c r="R442" s="11"/>
      <c r="S442" s="11"/>
      <c r="T442" s="11"/>
      <c r="U442" s="11"/>
      <c r="AN442" s="30"/>
    </row>
    <row r="443" spans="14:40">
      <c r="N443" s="11"/>
      <c r="O443" s="11"/>
      <c r="P443" s="11"/>
      <c r="Q443" s="11"/>
      <c r="R443" s="11"/>
      <c r="S443" s="11"/>
      <c r="T443" s="11"/>
      <c r="U443" s="11"/>
      <c r="AN443" s="30"/>
    </row>
    <row r="444" spans="14:40">
      <c r="N444" s="11"/>
      <c r="O444" s="11"/>
      <c r="P444" s="11"/>
      <c r="Q444" s="11"/>
      <c r="R444" s="11"/>
      <c r="S444" s="11"/>
      <c r="T444" s="11"/>
      <c r="U444" s="11"/>
      <c r="AN444" s="30"/>
    </row>
    <row r="445" spans="14:40">
      <c r="N445" s="11"/>
      <c r="O445" s="11"/>
      <c r="P445" s="11"/>
      <c r="Q445" s="11"/>
      <c r="R445" s="11"/>
      <c r="S445" s="11"/>
      <c r="T445" s="11"/>
      <c r="U445" s="11"/>
      <c r="AN445" s="30"/>
    </row>
    <row r="446" spans="14:40">
      <c r="N446" s="11"/>
      <c r="O446" s="11"/>
      <c r="P446" s="11"/>
      <c r="Q446" s="11"/>
      <c r="R446" s="11"/>
      <c r="S446" s="11"/>
      <c r="T446" s="11"/>
      <c r="U446" s="11"/>
      <c r="AN446" s="30"/>
    </row>
    <row r="447" spans="14:40">
      <c r="N447" s="11"/>
      <c r="O447" s="11"/>
      <c r="P447" s="11"/>
      <c r="Q447" s="11"/>
      <c r="R447" s="11"/>
      <c r="S447" s="11"/>
      <c r="T447" s="11"/>
      <c r="U447" s="11"/>
      <c r="AN447" s="30"/>
    </row>
    <row r="448" spans="14:40">
      <c r="N448" s="11"/>
      <c r="O448" s="11"/>
      <c r="P448" s="11"/>
      <c r="Q448" s="11"/>
      <c r="R448" s="11"/>
      <c r="S448" s="11"/>
      <c r="T448" s="11"/>
      <c r="U448" s="11"/>
      <c r="AN448" s="30"/>
    </row>
    <row r="449" spans="14:40">
      <c r="N449" s="11"/>
      <c r="O449" s="11"/>
      <c r="P449" s="11"/>
      <c r="Q449" s="11"/>
      <c r="R449" s="11"/>
      <c r="S449" s="11"/>
      <c r="T449" s="11"/>
      <c r="U449" s="11"/>
      <c r="AN449" s="30"/>
    </row>
    <row r="450" spans="14:40">
      <c r="N450" s="11"/>
      <c r="O450" s="11"/>
      <c r="P450" s="11"/>
      <c r="Q450" s="11"/>
      <c r="R450" s="11"/>
      <c r="S450" s="11"/>
      <c r="T450" s="11"/>
      <c r="U450" s="11"/>
      <c r="AN450" s="30"/>
    </row>
    <row r="451" spans="14:40">
      <c r="N451" s="11"/>
      <c r="O451" s="11"/>
      <c r="P451" s="11"/>
      <c r="Q451" s="11"/>
      <c r="R451" s="11"/>
      <c r="S451" s="11"/>
      <c r="T451" s="11"/>
      <c r="U451" s="11"/>
      <c r="AN451" s="30"/>
    </row>
    <row r="452" spans="14:40">
      <c r="N452" s="11"/>
      <c r="O452" s="11"/>
      <c r="P452" s="11"/>
      <c r="Q452" s="11"/>
      <c r="R452" s="11"/>
      <c r="S452" s="11"/>
      <c r="T452" s="11"/>
      <c r="U452" s="11"/>
      <c r="AN452" s="30"/>
    </row>
    <row r="453" spans="14:40">
      <c r="N453" s="11"/>
      <c r="O453" s="11"/>
      <c r="P453" s="11"/>
      <c r="Q453" s="11"/>
      <c r="R453" s="11"/>
      <c r="S453" s="11"/>
      <c r="T453" s="11"/>
      <c r="U453" s="11"/>
      <c r="AN453" s="30"/>
    </row>
    <row r="454" spans="14:40">
      <c r="N454" s="11"/>
      <c r="O454" s="11"/>
      <c r="P454" s="11"/>
      <c r="Q454" s="11"/>
      <c r="R454" s="11"/>
      <c r="S454" s="11"/>
      <c r="T454" s="11"/>
      <c r="U454" s="11"/>
      <c r="AN454" s="30"/>
    </row>
    <row r="455" spans="14:40">
      <c r="N455" s="11"/>
      <c r="O455" s="11"/>
      <c r="P455" s="11"/>
      <c r="Q455" s="11"/>
      <c r="R455" s="11"/>
      <c r="S455" s="11"/>
      <c r="T455" s="11"/>
      <c r="U455" s="11"/>
      <c r="AN455" s="30"/>
    </row>
    <row r="456" spans="14:40">
      <c r="N456" s="11"/>
      <c r="O456" s="11"/>
      <c r="P456" s="11"/>
      <c r="Q456" s="11"/>
      <c r="R456" s="11"/>
      <c r="S456" s="11"/>
      <c r="T456" s="11"/>
      <c r="U456" s="11"/>
      <c r="AN456" s="30"/>
    </row>
    <row r="457" spans="14:40">
      <c r="N457" s="11"/>
      <c r="O457" s="11"/>
      <c r="P457" s="11"/>
      <c r="Q457" s="11"/>
      <c r="R457" s="11"/>
      <c r="S457" s="11"/>
      <c r="T457" s="11"/>
      <c r="U457" s="11"/>
      <c r="AN457" s="30"/>
    </row>
    <row r="458" spans="14:40">
      <c r="N458" s="11"/>
      <c r="O458" s="11"/>
      <c r="P458" s="11"/>
      <c r="Q458" s="11"/>
      <c r="R458" s="11"/>
      <c r="S458" s="11"/>
      <c r="T458" s="11"/>
      <c r="U458" s="11"/>
      <c r="AN458" s="30"/>
    </row>
    <row r="459" spans="14:40">
      <c r="N459" s="11"/>
      <c r="O459" s="11"/>
      <c r="P459" s="11"/>
      <c r="Q459" s="11"/>
      <c r="R459" s="11"/>
      <c r="S459" s="11"/>
      <c r="T459" s="11"/>
      <c r="U459" s="11"/>
      <c r="AN459" s="30"/>
    </row>
    <row r="460" spans="14:40">
      <c r="N460" s="11"/>
      <c r="O460" s="11"/>
      <c r="P460" s="11"/>
      <c r="Q460" s="11"/>
      <c r="R460" s="11"/>
      <c r="S460" s="11"/>
      <c r="T460" s="11"/>
      <c r="U460" s="11"/>
      <c r="AN460" s="30"/>
    </row>
    <row r="461" spans="14:40">
      <c r="N461" s="11"/>
      <c r="O461" s="11"/>
      <c r="P461" s="11"/>
      <c r="Q461" s="11"/>
      <c r="R461" s="11"/>
      <c r="S461" s="11"/>
      <c r="T461" s="11"/>
      <c r="U461" s="11"/>
      <c r="AN461" s="30"/>
    </row>
    <row r="462" spans="14:40">
      <c r="N462" s="11"/>
      <c r="O462" s="11"/>
      <c r="P462" s="11"/>
      <c r="Q462" s="11"/>
      <c r="R462" s="11"/>
      <c r="S462" s="11"/>
      <c r="T462" s="11"/>
      <c r="U462" s="11"/>
      <c r="AN462" s="30"/>
    </row>
    <row r="463" spans="14:40">
      <c r="N463" s="11"/>
      <c r="O463" s="11"/>
      <c r="P463" s="11"/>
      <c r="Q463" s="11"/>
      <c r="R463" s="11"/>
      <c r="S463" s="11"/>
      <c r="T463" s="11"/>
      <c r="U463" s="11"/>
      <c r="AN463" s="30"/>
    </row>
    <row r="464" spans="14:40">
      <c r="N464" s="11"/>
      <c r="O464" s="11"/>
      <c r="P464" s="11"/>
      <c r="Q464" s="11"/>
      <c r="R464" s="11"/>
      <c r="S464" s="11"/>
      <c r="T464" s="11"/>
      <c r="U464" s="11"/>
      <c r="AN464" s="30"/>
    </row>
    <row r="465" spans="14:40">
      <c r="N465" s="11"/>
      <c r="O465" s="11"/>
      <c r="P465" s="11"/>
      <c r="Q465" s="11"/>
      <c r="R465" s="11"/>
      <c r="S465" s="11"/>
      <c r="T465" s="11"/>
      <c r="U465" s="11"/>
      <c r="AN465" s="30"/>
    </row>
    <row r="466" spans="14:40">
      <c r="N466" s="11"/>
      <c r="O466" s="11"/>
      <c r="P466" s="11"/>
      <c r="Q466" s="11"/>
      <c r="R466" s="11"/>
      <c r="S466" s="11"/>
      <c r="T466" s="11"/>
      <c r="U466" s="11"/>
      <c r="AN466" s="30"/>
    </row>
    <row r="467" spans="14:40">
      <c r="N467" s="11"/>
      <c r="O467" s="11"/>
      <c r="P467" s="11"/>
      <c r="Q467" s="11"/>
      <c r="R467" s="11"/>
      <c r="S467" s="11"/>
      <c r="T467" s="11"/>
      <c r="U467" s="11"/>
      <c r="AN467" s="30"/>
    </row>
    <row r="468" spans="14:40">
      <c r="N468" s="11"/>
      <c r="O468" s="11"/>
      <c r="P468" s="11"/>
      <c r="Q468" s="11"/>
      <c r="R468" s="11"/>
      <c r="S468" s="11"/>
      <c r="T468" s="11"/>
      <c r="U468" s="11"/>
      <c r="AN468" s="30"/>
    </row>
    <row r="469" spans="14:40">
      <c r="N469" s="11"/>
      <c r="O469" s="11"/>
      <c r="P469" s="11"/>
      <c r="Q469" s="11"/>
      <c r="R469" s="11"/>
      <c r="S469" s="11"/>
      <c r="T469" s="11"/>
      <c r="U469" s="11"/>
      <c r="AN469" s="30"/>
    </row>
    <row r="470" spans="14:40">
      <c r="N470" s="11"/>
      <c r="O470" s="11"/>
      <c r="P470" s="11"/>
      <c r="Q470" s="11"/>
      <c r="R470" s="11"/>
      <c r="S470" s="11"/>
      <c r="T470" s="11"/>
      <c r="U470" s="11"/>
      <c r="AN470" s="30"/>
    </row>
    <row r="471" spans="14:40">
      <c r="N471" s="11"/>
      <c r="O471" s="11"/>
      <c r="P471" s="11"/>
      <c r="Q471" s="11"/>
      <c r="R471" s="11"/>
      <c r="S471" s="11"/>
      <c r="T471" s="11"/>
      <c r="U471" s="11"/>
      <c r="AN471" s="30"/>
    </row>
    <row r="472" spans="14:40">
      <c r="N472" s="11"/>
      <c r="O472" s="11"/>
      <c r="P472" s="11"/>
      <c r="Q472" s="11"/>
      <c r="R472" s="11"/>
      <c r="S472" s="11"/>
      <c r="T472" s="11"/>
      <c r="U472" s="11"/>
      <c r="AN472" s="30"/>
    </row>
    <row r="473" spans="14:40">
      <c r="N473" s="11"/>
      <c r="O473" s="11"/>
      <c r="P473" s="11"/>
      <c r="Q473" s="11"/>
      <c r="R473" s="11"/>
      <c r="S473" s="11"/>
      <c r="T473" s="11"/>
      <c r="U473" s="11"/>
      <c r="AN473" s="30"/>
    </row>
    <row r="474" spans="14:40">
      <c r="N474" s="11"/>
      <c r="O474" s="11"/>
      <c r="P474" s="11"/>
      <c r="Q474" s="11"/>
      <c r="R474" s="11"/>
      <c r="S474" s="11"/>
      <c r="T474" s="11"/>
      <c r="U474" s="11"/>
      <c r="AN474" s="30"/>
    </row>
    <row r="475" spans="14:40">
      <c r="N475" s="11"/>
      <c r="O475" s="11"/>
      <c r="P475" s="11"/>
      <c r="Q475" s="11"/>
      <c r="R475" s="11"/>
      <c r="S475" s="11"/>
      <c r="T475" s="11"/>
      <c r="U475" s="11"/>
      <c r="AN475" s="30"/>
    </row>
    <row r="476" spans="14:40">
      <c r="N476" s="11"/>
      <c r="O476" s="11"/>
      <c r="P476" s="11"/>
      <c r="Q476" s="11"/>
      <c r="R476" s="11"/>
      <c r="S476" s="11"/>
      <c r="T476" s="11"/>
      <c r="U476" s="11"/>
      <c r="AN476" s="30"/>
    </row>
    <row r="477" spans="14:40">
      <c r="N477" s="11"/>
      <c r="O477" s="11"/>
      <c r="P477" s="11"/>
      <c r="Q477" s="11"/>
      <c r="R477" s="11"/>
      <c r="S477" s="11"/>
      <c r="T477" s="11"/>
      <c r="U477" s="11"/>
      <c r="AN477" s="30"/>
    </row>
    <row r="478" spans="14:40">
      <c r="N478" s="11"/>
      <c r="O478" s="11"/>
      <c r="P478" s="11"/>
      <c r="Q478" s="11"/>
      <c r="R478" s="11"/>
      <c r="S478" s="11"/>
      <c r="T478" s="11"/>
      <c r="U478" s="11"/>
      <c r="AN478" s="30"/>
    </row>
    <row r="479" spans="14:40">
      <c r="N479" s="11"/>
      <c r="O479" s="11"/>
      <c r="P479" s="11"/>
      <c r="Q479" s="11"/>
      <c r="R479" s="11"/>
      <c r="S479" s="11"/>
      <c r="T479" s="11"/>
      <c r="U479" s="11"/>
      <c r="AN479" s="30"/>
    </row>
    <row r="480" spans="14:40">
      <c r="N480" s="11"/>
      <c r="O480" s="11"/>
      <c r="P480" s="11"/>
      <c r="Q480" s="11"/>
      <c r="R480" s="11"/>
      <c r="S480" s="11"/>
      <c r="T480" s="11"/>
      <c r="U480" s="11"/>
      <c r="AN480" s="30"/>
    </row>
    <row r="481" spans="14:40">
      <c r="N481" s="11"/>
      <c r="O481" s="11"/>
      <c r="P481" s="11"/>
      <c r="Q481" s="11"/>
      <c r="R481" s="11"/>
      <c r="S481" s="11"/>
      <c r="T481" s="11"/>
      <c r="U481" s="11"/>
      <c r="AN481" s="30"/>
    </row>
    <row r="482" spans="14:40">
      <c r="N482" s="11"/>
      <c r="O482" s="11"/>
      <c r="P482" s="11"/>
      <c r="Q482" s="11"/>
      <c r="R482" s="11"/>
      <c r="S482" s="11"/>
      <c r="T482" s="11"/>
      <c r="U482" s="11"/>
      <c r="AN482" s="30"/>
    </row>
    <row r="483" spans="14:40">
      <c r="N483" s="11"/>
      <c r="O483" s="11"/>
      <c r="P483" s="11"/>
      <c r="Q483" s="11"/>
      <c r="R483" s="11"/>
      <c r="S483" s="11"/>
      <c r="T483" s="11"/>
      <c r="U483" s="11"/>
      <c r="AN483" s="30"/>
    </row>
    <row r="484" spans="14:40">
      <c r="N484" s="11"/>
      <c r="O484" s="11"/>
      <c r="P484" s="11"/>
      <c r="Q484" s="11"/>
      <c r="R484" s="11"/>
      <c r="S484" s="11"/>
      <c r="T484" s="11"/>
      <c r="U484" s="11"/>
      <c r="AN484" s="30"/>
    </row>
    <row r="485" spans="14:40">
      <c r="N485" s="11"/>
      <c r="O485" s="11"/>
      <c r="P485" s="11"/>
      <c r="Q485" s="11"/>
      <c r="R485" s="11"/>
      <c r="S485" s="11"/>
      <c r="T485" s="11"/>
      <c r="U485" s="11"/>
      <c r="AN485" s="30"/>
    </row>
    <row r="486" spans="14:40">
      <c r="N486" s="11"/>
      <c r="O486" s="11"/>
      <c r="P486" s="11"/>
      <c r="Q486" s="11"/>
      <c r="R486" s="11"/>
      <c r="S486" s="11"/>
      <c r="T486" s="11"/>
      <c r="U486" s="11"/>
      <c r="AN486" s="30"/>
    </row>
    <row r="487" spans="14:40">
      <c r="N487" s="11"/>
      <c r="O487" s="11"/>
      <c r="P487" s="11"/>
      <c r="Q487" s="11"/>
      <c r="R487" s="11"/>
      <c r="S487" s="11"/>
      <c r="T487" s="11"/>
      <c r="U487" s="11"/>
      <c r="AN487" s="30"/>
    </row>
    <row r="488" spans="14:40">
      <c r="N488" s="11"/>
      <c r="O488" s="11"/>
      <c r="P488" s="11"/>
      <c r="Q488" s="11"/>
      <c r="R488" s="11"/>
      <c r="S488" s="11"/>
      <c r="T488" s="11"/>
      <c r="U488" s="11"/>
      <c r="AN488" s="30"/>
    </row>
    <row r="489" spans="14:40">
      <c r="N489" s="11"/>
      <c r="O489" s="11"/>
      <c r="P489" s="11"/>
      <c r="Q489" s="11"/>
      <c r="R489" s="11"/>
      <c r="S489" s="11"/>
      <c r="T489" s="11"/>
      <c r="U489" s="11"/>
      <c r="AN489" s="30"/>
    </row>
    <row r="490" spans="14:40">
      <c r="N490" s="11"/>
      <c r="O490" s="11"/>
      <c r="P490" s="11"/>
      <c r="Q490" s="11"/>
      <c r="R490" s="11"/>
      <c r="S490" s="11"/>
      <c r="T490" s="11"/>
      <c r="U490" s="11"/>
      <c r="AN490" s="30"/>
    </row>
    <row r="491" spans="14:40">
      <c r="N491" s="11"/>
      <c r="O491" s="11"/>
      <c r="P491" s="11"/>
      <c r="Q491" s="11"/>
      <c r="R491" s="11"/>
      <c r="S491" s="11"/>
      <c r="T491" s="11"/>
      <c r="U491" s="11"/>
      <c r="AN491" s="30"/>
    </row>
    <row r="492" spans="14:40">
      <c r="N492" s="11"/>
      <c r="O492" s="11"/>
      <c r="P492" s="11"/>
      <c r="Q492" s="11"/>
      <c r="R492" s="11"/>
      <c r="S492" s="11"/>
      <c r="T492" s="11"/>
      <c r="U492" s="11"/>
      <c r="AN492" s="30"/>
    </row>
    <row r="493" spans="14:40">
      <c r="N493" s="11"/>
      <c r="O493" s="11"/>
      <c r="P493" s="11"/>
      <c r="Q493" s="11"/>
      <c r="R493" s="11"/>
      <c r="S493" s="11"/>
      <c r="T493" s="11"/>
      <c r="U493" s="11"/>
      <c r="AN493" s="30"/>
    </row>
    <row r="494" spans="14:40">
      <c r="N494" s="11"/>
      <c r="O494" s="11"/>
      <c r="P494" s="11"/>
      <c r="Q494" s="11"/>
      <c r="R494" s="11"/>
      <c r="S494" s="11"/>
      <c r="T494" s="11"/>
      <c r="U494" s="11"/>
      <c r="AN494" s="30"/>
    </row>
    <row r="495" spans="14:40">
      <c r="N495" s="11"/>
      <c r="O495" s="11"/>
      <c r="P495" s="11"/>
      <c r="Q495" s="11"/>
      <c r="R495" s="11"/>
      <c r="S495" s="11"/>
      <c r="T495" s="11"/>
      <c r="U495" s="11"/>
      <c r="AN495" s="30"/>
    </row>
    <row r="496" spans="14:40">
      <c r="N496" s="11"/>
      <c r="O496" s="11"/>
      <c r="P496" s="11"/>
      <c r="Q496" s="11"/>
      <c r="R496" s="11"/>
      <c r="S496" s="11"/>
      <c r="T496" s="11"/>
      <c r="U496" s="11"/>
      <c r="AN496" s="30"/>
    </row>
    <row r="497" spans="14:40">
      <c r="N497" s="11"/>
      <c r="O497" s="11"/>
      <c r="P497" s="11"/>
      <c r="Q497" s="11"/>
      <c r="R497" s="11"/>
      <c r="S497" s="11"/>
      <c r="T497" s="11"/>
      <c r="U497" s="11"/>
      <c r="AN497" s="30"/>
    </row>
    <row r="498" spans="14:40">
      <c r="N498" s="11"/>
      <c r="O498" s="11"/>
      <c r="P498" s="11"/>
      <c r="Q498" s="11"/>
      <c r="R498" s="11"/>
      <c r="S498" s="11"/>
      <c r="T498" s="11"/>
      <c r="U498" s="11"/>
      <c r="AN498" s="30"/>
    </row>
    <row r="499" spans="14:40">
      <c r="N499" s="11"/>
      <c r="O499" s="11"/>
      <c r="P499" s="11"/>
      <c r="Q499" s="11"/>
      <c r="R499" s="11"/>
      <c r="S499" s="11"/>
      <c r="T499" s="11"/>
      <c r="U499" s="11"/>
      <c r="AN499" s="30"/>
    </row>
    <row r="500" spans="14:40">
      <c r="N500" s="11"/>
      <c r="O500" s="11"/>
      <c r="P500" s="11"/>
      <c r="Q500" s="11"/>
      <c r="R500" s="11"/>
      <c r="S500" s="11"/>
      <c r="T500" s="11"/>
      <c r="U500" s="11"/>
      <c r="AN500" s="30"/>
    </row>
    <row r="501" spans="14:40">
      <c r="N501" s="11"/>
      <c r="O501" s="11"/>
      <c r="P501" s="11"/>
      <c r="Q501" s="11"/>
      <c r="R501" s="11"/>
      <c r="S501" s="11"/>
      <c r="T501" s="11"/>
      <c r="U501" s="11"/>
      <c r="AN501" s="30"/>
    </row>
    <row r="502" spans="14:40">
      <c r="N502" s="11"/>
      <c r="O502" s="11"/>
      <c r="P502" s="11"/>
      <c r="Q502" s="11"/>
      <c r="R502" s="11"/>
      <c r="S502" s="11"/>
      <c r="T502" s="11"/>
      <c r="U502" s="11"/>
      <c r="AN502" s="30"/>
    </row>
    <row r="503" spans="14:40">
      <c r="N503" s="11"/>
      <c r="O503" s="11"/>
      <c r="P503" s="11"/>
      <c r="Q503" s="11"/>
      <c r="R503" s="11"/>
      <c r="S503" s="11"/>
      <c r="T503" s="11"/>
      <c r="U503" s="11"/>
      <c r="AN503" s="30"/>
    </row>
    <row r="504" spans="14:40">
      <c r="N504" s="11"/>
      <c r="O504" s="11"/>
      <c r="P504" s="11"/>
      <c r="Q504" s="11"/>
      <c r="R504" s="11"/>
      <c r="S504" s="11"/>
      <c r="T504" s="11"/>
      <c r="U504" s="11"/>
      <c r="AN504" s="30"/>
    </row>
    <row r="505" spans="14:40">
      <c r="N505" s="11"/>
      <c r="O505" s="11"/>
      <c r="P505" s="11"/>
      <c r="Q505" s="11"/>
      <c r="R505" s="11"/>
      <c r="S505" s="11"/>
      <c r="T505" s="11"/>
      <c r="U505" s="11"/>
      <c r="AN505" s="30"/>
    </row>
    <row r="506" spans="14:40">
      <c r="N506" s="11"/>
      <c r="O506" s="11"/>
      <c r="P506" s="11"/>
      <c r="Q506" s="11"/>
      <c r="R506" s="11"/>
      <c r="S506" s="11"/>
      <c r="T506" s="11"/>
      <c r="U506" s="11"/>
      <c r="AN506" s="30"/>
    </row>
    <row r="507" spans="14:40">
      <c r="N507" s="11"/>
      <c r="O507" s="11"/>
      <c r="P507" s="11"/>
      <c r="Q507" s="11"/>
      <c r="R507" s="11"/>
      <c r="S507" s="11"/>
      <c r="T507" s="11"/>
      <c r="U507" s="11"/>
      <c r="AN507" s="30"/>
    </row>
    <row r="508" spans="14:40">
      <c r="N508" s="11"/>
      <c r="O508" s="11"/>
      <c r="P508" s="11"/>
      <c r="Q508" s="11"/>
      <c r="R508" s="11"/>
      <c r="S508" s="11"/>
      <c r="T508" s="11"/>
      <c r="U508" s="11"/>
      <c r="AN508" s="30"/>
    </row>
    <row r="509" spans="14:40">
      <c r="N509" s="11"/>
      <c r="O509" s="11"/>
      <c r="P509" s="11"/>
      <c r="Q509" s="11"/>
      <c r="R509" s="11"/>
      <c r="S509" s="11"/>
      <c r="T509" s="11"/>
      <c r="U509" s="11"/>
      <c r="AN509" s="30"/>
    </row>
    <row r="510" spans="14:40">
      <c r="N510" s="11"/>
      <c r="O510" s="11"/>
      <c r="P510" s="11"/>
      <c r="Q510" s="11"/>
      <c r="R510" s="11"/>
      <c r="S510" s="11"/>
      <c r="T510" s="11"/>
      <c r="U510" s="11"/>
      <c r="AN510" s="30"/>
    </row>
    <row r="511" spans="14:40">
      <c r="N511" s="11"/>
      <c r="O511" s="11"/>
      <c r="P511" s="11"/>
      <c r="Q511" s="11"/>
      <c r="R511" s="11"/>
      <c r="S511" s="11"/>
      <c r="T511" s="11"/>
      <c r="U511" s="11"/>
      <c r="AN511" s="30"/>
    </row>
    <row r="512" spans="14:40">
      <c r="N512" s="11"/>
      <c r="O512" s="11"/>
      <c r="P512" s="11"/>
      <c r="Q512" s="11"/>
      <c r="R512" s="11"/>
      <c r="S512" s="11"/>
      <c r="T512" s="11"/>
      <c r="U512" s="11"/>
      <c r="AN512" s="30"/>
    </row>
    <row r="513" spans="14:40">
      <c r="N513" s="11"/>
      <c r="O513" s="11"/>
      <c r="P513" s="11"/>
      <c r="Q513" s="11"/>
      <c r="R513" s="11"/>
      <c r="S513" s="11"/>
      <c r="T513" s="11"/>
      <c r="U513" s="11"/>
      <c r="AN513" s="30"/>
    </row>
    <row r="514" spans="14:40">
      <c r="N514" s="11"/>
      <c r="O514" s="11"/>
      <c r="P514" s="11"/>
      <c r="Q514" s="11"/>
      <c r="R514" s="11"/>
      <c r="S514" s="11"/>
      <c r="T514" s="11"/>
      <c r="U514" s="11"/>
      <c r="AN514" s="30"/>
    </row>
    <row r="515" spans="14:40">
      <c r="N515" s="11"/>
      <c r="O515" s="11"/>
      <c r="P515" s="11"/>
      <c r="Q515" s="11"/>
      <c r="R515" s="11"/>
      <c r="S515" s="11"/>
      <c r="T515" s="11"/>
      <c r="U515" s="11"/>
      <c r="AN515" s="30"/>
    </row>
    <row r="516" spans="14:40">
      <c r="N516" s="11"/>
      <c r="O516" s="11"/>
      <c r="P516" s="11"/>
      <c r="Q516" s="11"/>
      <c r="R516" s="11"/>
      <c r="S516" s="11"/>
      <c r="T516" s="11"/>
      <c r="U516" s="11"/>
      <c r="AN516" s="30"/>
    </row>
    <row r="517" spans="14:40">
      <c r="N517" s="11"/>
      <c r="O517" s="11"/>
      <c r="P517" s="11"/>
      <c r="Q517" s="11"/>
      <c r="R517" s="11"/>
      <c r="S517" s="11"/>
      <c r="T517" s="11"/>
      <c r="U517" s="11"/>
      <c r="AN517" s="30"/>
    </row>
    <row r="518" spans="14:40">
      <c r="N518" s="11"/>
      <c r="O518" s="11"/>
      <c r="P518" s="11"/>
      <c r="Q518" s="11"/>
      <c r="R518" s="11"/>
      <c r="S518" s="11"/>
      <c r="T518" s="11"/>
      <c r="U518" s="11"/>
      <c r="AN518" s="30"/>
    </row>
    <row r="519" spans="14:40">
      <c r="N519" s="11"/>
      <c r="O519" s="11"/>
      <c r="P519" s="11"/>
      <c r="Q519" s="11"/>
      <c r="R519" s="11"/>
      <c r="S519" s="11"/>
      <c r="T519" s="11"/>
      <c r="U519" s="11"/>
      <c r="AN519" s="30"/>
    </row>
    <row r="520" spans="14:40">
      <c r="N520" s="11"/>
      <c r="O520" s="11"/>
      <c r="P520" s="11"/>
      <c r="Q520" s="11"/>
      <c r="R520" s="11"/>
      <c r="S520" s="11"/>
      <c r="T520" s="11"/>
      <c r="U520" s="11"/>
      <c r="AN520" s="30"/>
    </row>
    <row r="521" spans="14:40">
      <c r="N521" s="11"/>
      <c r="O521" s="11"/>
      <c r="P521" s="11"/>
      <c r="Q521" s="11"/>
      <c r="R521" s="11"/>
      <c r="S521" s="11"/>
      <c r="T521" s="11"/>
      <c r="U521" s="11"/>
      <c r="AN521" s="30"/>
    </row>
    <row r="522" spans="14:40">
      <c r="N522" s="11"/>
      <c r="O522" s="11"/>
      <c r="P522" s="11"/>
      <c r="Q522" s="11"/>
      <c r="R522" s="11"/>
      <c r="S522" s="11"/>
      <c r="T522" s="11"/>
      <c r="U522" s="11"/>
      <c r="AN522" s="30"/>
    </row>
    <row r="523" spans="14:40">
      <c r="N523" s="11"/>
      <c r="O523" s="11"/>
      <c r="P523" s="11"/>
      <c r="Q523" s="11"/>
      <c r="R523" s="11"/>
      <c r="S523" s="11"/>
      <c r="T523" s="11"/>
      <c r="U523" s="11"/>
      <c r="AN523" s="30"/>
    </row>
    <row r="524" spans="14:40">
      <c r="N524" s="11"/>
      <c r="O524" s="11"/>
      <c r="P524" s="11"/>
      <c r="Q524" s="11"/>
      <c r="R524" s="11"/>
      <c r="S524" s="11"/>
      <c r="T524" s="11"/>
      <c r="U524" s="11"/>
      <c r="AN524" s="30"/>
    </row>
    <row r="525" spans="14:40">
      <c r="N525" s="11"/>
      <c r="O525" s="11"/>
      <c r="P525" s="11"/>
      <c r="Q525" s="11"/>
      <c r="R525" s="11"/>
      <c r="S525" s="11"/>
      <c r="T525" s="11"/>
      <c r="U525" s="11"/>
      <c r="AN525" s="30"/>
    </row>
    <row r="526" spans="14:40">
      <c r="N526" s="11"/>
      <c r="O526" s="11"/>
      <c r="P526" s="11"/>
      <c r="Q526" s="11"/>
      <c r="R526" s="11"/>
      <c r="S526" s="11"/>
      <c r="T526" s="11"/>
      <c r="U526" s="11"/>
      <c r="AN526" s="30"/>
    </row>
    <row r="527" spans="14:40">
      <c r="N527" s="11"/>
      <c r="O527" s="11"/>
      <c r="P527" s="11"/>
      <c r="Q527" s="11"/>
      <c r="R527" s="11"/>
      <c r="S527" s="11"/>
      <c r="T527" s="11"/>
      <c r="U527" s="11"/>
      <c r="AN527" s="30"/>
    </row>
    <row r="528" spans="14:40">
      <c r="N528" s="11"/>
      <c r="O528" s="11"/>
      <c r="P528" s="11"/>
      <c r="Q528" s="11"/>
      <c r="R528" s="11"/>
      <c r="S528" s="11"/>
      <c r="T528" s="11"/>
      <c r="U528" s="11"/>
      <c r="AN528" s="30"/>
    </row>
    <row r="529" spans="14:40">
      <c r="N529" s="11"/>
      <c r="O529" s="11"/>
      <c r="P529" s="11"/>
      <c r="Q529" s="11"/>
      <c r="R529" s="11"/>
      <c r="S529" s="11"/>
      <c r="T529" s="11"/>
      <c r="U529" s="11"/>
      <c r="AN529" s="30"/>
    </row>
    <row r="530" spans="14:40">
      <c r="N530" s="11"/>
      <c r="O530" s="11"/>
      <c r="P530" s="11"/>
      <c r="Q530" s="11"/>
      <c r="R530" s="11"/>
      <c r="S530" s="11"/>
      <c r="T530" s="11"/>
      <c r="U530" s="11"/>
      <c r="AN530" s="30"/>
    </row>
    <row r="531" spans="14:40">
      <c r="N531" s="11"/>
      <c r="O531" s="11"/>
      <c r="P531" s="11"/>
      <c r="Q531" s="11"/>
      <c r="R531" s="11"/>
      <c r="S531" s="11"/>
      <c r="T531" s="11"/>
      <c r="U531" s="11"/>
      <c r="AN531" s="30"/>
    </row>
    <row r="532" spans="14:40">
      <c r="N532" s="11"/>
      <c r="O532" s="11"/>
      <c r="P532" s="11"/>
      <c r="Q532" s="11"/>
      <c r="R532" s="11"/>
      <c r="S532" s="11"/>
      <c r="T532" s="11"/>
      <c r="U532" s="11"/>
      <c r="AN532" s="30"/>
    </row>
    <row r="533" spans="14:40">
      <c r="N533" s="11"/>
      <c r="O533" s="11"/>
      <c r="P533" s="11"/>
      <c r="Q533" s="11"/>
      <c r="R533" s="11"/>
      <c r="S533" s="11"/>
      <c r="T533" s="11"/>
      <c r="U533" s="11"/>
      <c r="AN533" s="30"/>
    </row>
    <row r="534" spans="14:40">
      <c r="N534" s="11"/>
      <c r="O534" s="11"/>
      <c r="P534" s="11"/>
      <c r="Q534" s="11"/>
      <c r="R534" s="11"/>
      <c r="S534" s="11"/>
      <c r="T534" s="11"/>
      <c r="U534" s="11"/>
      <c r="AN534" s="30"/>
    </row>
    <row r="535" spans="14:40">
      <c r="N535" s="11"/>
      <c r="O535" s="11"/>
      <c r="P535" s="11"/>
      <c r="Q535" s="11"/>
      <c r="R535" s="11"/>
      <c r="S535" s="11"/>
      <c r="T535" s="11"/>
      <c r="U535" s="11"/>
      <c r="AN535" s="30"/>
    </row>
    <row r="536" spans="14:40">
      <c r="N536" s="11"/>
      <c r="O536" s="11"/>
      <c r="P536" s="11"/>
      <c r="Q536" s="11"/>
      <c r="R536" s="11"/>
      <c r="S536" s="11"/>
      <c r="T536" s="11"/>
      <c r="U536" s="11"/>
      <c r="AN536" s="30"/>
    </row>
    <row r="537" spans="14:40">
      <c r="N537" s="11"/>
      <c r="O537" s="11"/>
      <c r="P537" s="11"/>
      <c r="Q537" s="11"/>
      <c r="R537" s="11"/>
      <c r="S537" s="11"/>
      <c r="T537" s="11"/>
      <c r="U537" s="11"/>
      <c r="AN537" s="30"/>
    </row>
    <row r="538" spans="14:40">
      <c r="N538" s="11"/>
      <c r="O538" s="11"/>
      <c r="P538" s="11"/>
      <c r="Q538" s="11"/>
      <c r="R538" s="11"/>
      <c r="S538" s="11"/>
      <c r="T538" s="11"/>
      <c r="U538" s="11"/>
      <c r="AN538" s="30"/>
    </row>
    <row r="539" spans="14:40">
      <c r="N539" s="11"/>
      <c r="O539" s="11"/>
      <c r="P539" s="11"/>
      <c r="Q539" s="11"/>
      <c r="R539" s="11"/>
      <c r="S539" s="11"/>
      <c r="T539" s="11"/>
      <c r="U539" s="11"/>
      <c r="AN539" s="30"/>
    </row>
    <row r="540" spans="14:40">
      <c r="N540" s="11"/>
      <c r="O540" s="11"/>
      <c r="P540" s="11"/>
      <c r="Q540" s="11"/>
      <c r="R540" s="11"/>
      <c r="S540" s="11"/>
      <c r="T540" s="11"/>
      <c r="U540" s="11"/>
      <c r="AN540" s="30"/>
    </row>
    <row r="541" spans="14:40">
      <c r="N541" s="11"/>
      <c r="O541" s="11"/>
      <c r="P541" s="11"/>
      <c r="Q541" s="11"/>
      <c r="R541" s="11"/>
      <c r="S541" s="11"/>
      <c r="T541" s="11"/>
      <c r="U541" s="11"/>
      <c r="AN541" s="30"/>
    </row>
    <row r="542" spans="14:40">
      <c r="N542" s="11"/>
      <c r="O542" s="11"/>
      <c r="P542" s="11"/>
      <c r="Q542" s="11"/>
      <c r="R542" s="11"/>
      <c r="S542" s="11"/>
      <c r="T542" s="11"/>
      <c r="U542" s="11"/>
      <c r="AN542" s="30"/>
    </row>
    <row r="543" spans="14:40">
      <c r="N543" s="11"/>
      <c r="O543" s="11"/>
      <c r="P543" s="11"/>
      <c r="Q543" s="11"/>
      <c r="R543" s="11"/>
      <c r="S543" s="11"/>
      <c r="T543" s="11"/>
      <c r="U543" s="11"/>
      <c r="AN543" s="30"/>
    </row>
    <row r="544" spans="14:40">
      <c r="N544" s="11"/>
      <c r="O544" s="11"/>
      <c r="P544" s="11"/>
      <c r="Q544" s="11"/>
      <c r="R544" s="11"/>
      <c r="S544" s="11"/>
      <c r="T544" s="11"/>
      <c r="U544" s="11"/>
      <c r="AN544" s="30"/>
    </row>
    <row r="545" spans="14:40">
      <c r="N545" s="11"/>
      <c r="O545" s="11"/>
      <c r="P545" s="11"/>
      <c r="Q545" s="11"/>
      <c r="R545" s="11"/>
      <c r="S545" s="11"/>
      <c r="T545" s="11"/>
      <c r="U545" s="11"/>
      <c r="AN545" s="30"/>
    </row>
    <row r="546" spans="14:40">
      <c r="N546" s="11"/>
      <c r="O546" s="11"/>
      <c r="P546" s="11"/>
      <c r="Q546" s="11"/>
      <c r="R546" s="11"/>
      <c r="S546" s="11"/>
      <c r="T546" s="11"/>
      <c r="U546" s="11"/>
      <c r="AN546" s="30"/>
    </row>
    <row r="547" spans="14:40">
      <c r="N547" s="11"/>
      <c r="O547" s="11"/>
      <c r="P547" s="11"/>
      <c r="Q547" s="11"/>
      <c r="R547" s="11"/>
      <c r="S547" s="11"/>
      <c r="T547" s="11"/>
      <c r="U547" s="11"/>
      <c r="AN547" s="30"/>
    </row>
    <row r="548" spans="14:40">
      <c r="N548" s="11"/>
      <c r="O548" s="11"/>
      <c r="P548" s="11"/>
      <c r="Q548" s="11"/>
      <c r="R548" s="11"/>
      <c r="S548" s="11"/>
      <c r="T548" s="11"/>
      <c r="U548" s="11"/>
      <c r="AN548" s="30"/>
    </row>
    <row r="549" spans="14:40">
      <c r="N549" s="11"/>
      <c r="O549" s="11"/>
      <c r="P549" s="11"/>
      <c r="Q549" s="11"/>
      <c r="R549" s="11"/>
      <c r="S549" s="11"/>
      <c r="T549" s="11"/>
      <c r="U549" s="11"/>
      <c r="AN549" s="30"/>
    </row>
    <row r="550" spans="14:40">
      <c r="N550" s="11"/>
      <c r="O550" s="11"/>
      <c r="P550" s="11"/>
      <c r="Q550" s="11"/>
      <c r="R550" s="11"/>
      <c r="S550" s="11"/>
      <c r="T550" s="11"/>
      <c r="U550" s="11"/>
      <c r="AN550" s="30"/>
    </row>
    <row r="551" spans="14:40">
      <c r="N551" s="11"/>
      <c r="O551" s="11"/>
      <c r="P551" s="11"/>
      <c r="Q551" s="11"/>
      <c r="R551" s="11"/>
      <c r="S551" s="11"/>
      <c r="T551" s="11"/>
      <c r="U551" s="11"/>
      <c r="AN551" s="30"/>
    </row>
    <row r="552" spans="14:40">
      <c r="N552" s="11"/>
      <c r="O552" s="11"/>
      <c r="P552" s="11"/>
      <c r="Q552" s="11"/>
      <c r="R552" s="11"/>
      <c r="S552" s="11"/>
      <c r="T552" s="11"/>
      <c r="U552" s="11"/>
      <c r="AN552" s="30"/>
    </row>
    <row r="553" spans="14:40">
      <c r="N553" s="11"/>
      <c r="O553" s="11"/>
      <c r="P553" s="11"/>
      <c r="Q553" s="11"/>
      <c r="R553" s="11"/>
      <c r="S553" s="11"/>
      <c r="T553" s="11"/>
      <c r="U553" s="11"/>
      <c r="AN553" s="30"/>
    </row>
    <row r="554" spans="14:40">
      <c r="N554" s="11"/>
      <c r="O554" s="11"/>
      <c r="P554" s="11"/>
      <c r="Q554" s="11"/>
      <c r="R554" s="11"/>
      <c r="S554" s="11"/>
      <c r="T554" s="11"/>
      <c r="U554" s="11"/>
      <c r="AN554" s="30"/>
    </row>
    <row r="555" spans="14:40">
      <c r="N555" s="11"/>
      <c r="O555" s="11"/>
      <c r="P555" s="11"/>
      <c r="Q555" s="11"/>
      <c r="R555" s="11"/>
      <c r="S555" s="11"/>
      <c r="T555" s="11"/>
      <c r="U555" s="11"/>
      <c r="AN555" s="30"/>
    </row>
    <row r="556" spans="14:40">
      <c r="N556" s="11"/>
      <c r="O556" s="11"/>
      <c r="P556" s="11"/>
      <c r="Q556" s="11"/>
      <c r="R556" s="11"/>
      <c r="S556" s="11"/>
      <c r="T556" s="11"/>
      <c r="U556" s="11"/>
      <c r="AN556" s="30"/>
    </row>
    <row r="557" spans="14:40">
      <c r="N557" s="11"/>
      <c r="O557" s="11"/>
      <c r="P557" s="11"/>
      <c r="Q557" s="11"/>
      <c r="R557" s="11"/>
      <c r="S557" s="11"/>
      <c r="T557" s="11"/>
      <c r="U557" s="11"/>
      <c r="AN557" s="30"/>
    </row>
    <row r="558" spans="14:40">
      <c r="N558" s="11"/>
      <c r="O558" s="11"/>
      <c r="P558" s="11"/>
      <c r="Q558" s="11"/>
      <c r="R558" s="11"/>
      <c r="S558" s="11"/>
      <c r="T558" s="11"/>
      <c r="U558" s="11"/>
      <c r="AN558" s="30"/>
    </row>
    <row r="559" spans="14:40">
      <c r="N559" s="11"/>
      <c r="O559" s="11"/>
      <c r="P559" s="11"/>
      <c r="Q559" s="11"/>
      <c r="R559" s="11"/>
      <c r="S559" s="11"/>
      <c r="T559" s="11"/>
      <c r="U559" s="11"/>
      <c r="AN559" s="30"/>
    </row>
    <row r="560" spans="14:40">
      <c r="N560" s="11"/>
      <c r="O560" s="11"/>
      <c r="P560" s="11"/>
      <c r="Q560" s="11"/>
      <c r="R560" s="11"/>
      <c r="S560" s="11"/>
      <c r="T560" s="11"/>
      <c r="U560" s="11"/>
      <c r="AN560" s="30"/>
    </row>
    <row r="561" spans="14:40">
      <c r="N561" s="11"/>
      <c r="O561" s="11"/>
      <c r="P561" s="11"/>
      <c r="Q561" s="11"/>
      <c r="R561" s="11"/>
      <c r="S561" s="11"/>
      <c r="T561" s="11"/>
      <c r="U561" s="11"/>
      <c r="AN561" s="30"/>
    </row>
    <row r="562" spans="14:40">
      <c r="N562" s="11"/>
      <c r="O562" s="11"/>
      <c r="P562" s="11"/>
      <c r="Q562" s="11"/>
      <c r="R562" s="11"/>
      <c r="S562" s="11"/>
      <c r="T562" s="11"/>
      <c r="U562" s="11"/>
      <c r="AN562" s="30"/>
    </row>
    <row r="563" spans="14:40">
      <c r="N563" s="11"/>
      <c r="O563" s="11"/>
      <c r="P563" s="11"/>
      <c r="Q563" s="11"/>
      <c r="R563" s="11"/>
      <c r="S563" s="11"/>
      <c r="T563" s="11"/>
      <c r="U563" s="11"/>
      <c r="AN563" s="30"/>
    </row>
    <row r="564" spans="14:40">
      <c r="N564" s="11"/>
      <c r="O564" s="11"/>
      <c r="P564" s="11"/>
      <c r="Q564" s="11"/>
      <c r="R564" s="11"/>
      <c r="S564" s="11"/>
      <c r="T564" s="11"/>
      <c r="U564" s="11"/>
      <c r="AN564" s="30"/>
    </row>
    <row r="565" spans="14:40">
      <c r="N565" s="11"/>
      <c r="O565" s="11"/>
      <c r="P565" s="11"/>
      <c r="Q565" s="11"/>
      <c r="R565" s="11"/>
      <c r="S565" s="11"/>
      <c r="T565" s="11"/>
      <c r="U565" s="11"/>
      <c r="AN565" s="30"/>
    </row>
    <row r="566" spans="14:40">
      <c r="N566" s="11"/>
      <c r="O566" s="11"/>
      <c r="P566" s="11"/>
      <c r="Q566" s="11"/>
      <c r="R566" s="11"/>
      <c r="S566" s="11"/>
      <c r="T566" s="11"/>
      <c r="U566" s="11"/>
      <c r="AN566" s="30"/>
    </row>
    <row r="567" spans="14:40">
      <c r="N567" s="11"/>
      <c r="O567" s="11"/>
      <c r="P567" s="11"/>
      <c r="Q567" s="11"/>
      <c r="R567" s="11"/>
      <c r="S567" s="11"/>
      <c r="T567" s="11"/>
      <c r="U567" s="11"/>
      <c r="AN567" s="30"/>
    </row>
    <row r="568" spans="14:40">
      <c r="N568" s="11"/>
      <c r="O568" s="11"/>
      <c r="P568" s="11"/>
      <c r="Q568" s="11"/>
      <c r="R568" s="11"/>
      <c r="S568" s="11"/>
      <c r="T568" s="11"/>
      <c r="U568" s="11"/>
      <c r="AN568" s="30"/>
    </row>
    <row r="569" spans="14:40">
      <c r="N569" s="11"/>
      <c r="O569" s="11"/>
      <c r="P569" s="11"/>
      <c r="Q569" s="11"/>
      <c r="R569" s="11"/>
      <c r="S569" s="11"/>
      <c r="T569" s="11"/>
      <c r="U569" s="11"/>
      <c r="AN569" s="30"/>
    </row>
    <row r="570" spans="14:40">
      <c r="N570" s="11"/>
      <c r="O570" s="11"/>
      <c r="P570" s="11"/>
      <c r="Q570" s="11"/>
      <c r="R570" s="11"/>
      <c r="S570" s="11"/>
      <c r="T570" s="11"/>
      <c r="U570" s="11"/>
      <c r="AN570" s="30"/>
    </row>
    <row r="571" spans="14:40">
      <c r="N571" s="11"/>
      <c r="O571" s="11"/>
      <c r="P571" s="11"/>
      <c r="Q571" s="11"/>
      <c r="R571" s="11"/>
      <c r="S571" s="11"/>
      <c r="T571" s="11"/>
      <c r="U571" s="11"/>
      <c r="AN571" s="30"/>
    </row>
    <row r="572" spans="14:40">
      <c r="N572" s="11"/>
      <c r="O572" s="11"/>
      <c r="P572" s="11"/>
      <c r="Q572" s="11"/>
      <c r="R572" s="11"/>
      <c r="S572" s="11"/>
      <c r="T572" s="11"/>
      <c r="U572" s="11"/>
      <c r="AN572" s="30"/>
    </row>
    <row r="573" spans="14:40">
      <c r="N573" s="11"/>
      <c r="O573" s="11"/>
      <c r="P573" s="11"/>
      <c r="Q573" s="11"/>
      <c r="R573" s="11"/>
      <c r="S573" s="11"/>
      <c r="T573" s="11"/>
      <c r="U573" s="11"/>
      <c r="AN573" s="30"/>
    </row>
    <row r="574" spans="14:40">
      <c r="N574" s="11"/>
      <c r="O574" s="11"/>
      <c r="P574" s="11"/>
      <c r="Q574" s="11"/>
      <c r="R574" s="11"/>
      <c r="S574" s="11"/>
      <c r="T574" s="11"/>
      <c r="U574" s="11"/>
      <c r="AN574" s="30"/>
    </row>
    <row r="575" spans="14:40">
      <c r="N575" s="11"/>
      <c r="O575" s="11"/>
      <c r="P575" s="11"/>
      <c r="Q575" s="11"/>
      <c r="R575" s="11"/>
      <c r="S575" s="11"/>
      <c r="T575" s="11"/>
      <c r="U575" s="11"/>
      <c r="AN575" s="30"/>
    </row>
    <row r="576" spans="14:40">
      <c r="N576" s="11"/>
      <c r="O576" s="11"/>
      <c r="P576" s="11"/>
      <c r="Q576" s="11"/>
      <c r="R576" s="11"/>
      <c r="S576" s="11"/>
      <c r="T576" s="11"/>
      <c r="U576" s="11"/>
      <c r="AN576" s="30"/>
    </row>
    <row r="577" spans="14:40">
      <c r="N577" s="11"/>
      <c r="O577" s="11"/>
      <c r="P577" s="11"/>
      <c r="Q577" s="11"/>
      <c r="R577" s="11"/>
      <c r="S577" s="11"/>
      <c r="T577" s="11"/>
      <c r="U577" s="11"/>
      <c r="AN577" s="30"/>
    </row>
    <row r="578" spans="14:40">
      <c r="N578" s="11"/>
      <c r="O578" s="11"/>
      <c r="P578" s="11"/>
      <c r="Q578" s="11"/>
      <c r="R578" s="11"/>
      <c r="S578" s="11"/>
      <c r="T578" s="11"/>
      <c r="U578" s="11"/>
      <c r="AN578" s="30"/>
    </row>
    <row r="579" spans="14:40">
      <c r="N579" s="11"/>
      <c r="O579" s="11"/>
      <c r="P579" s="11"/>
      <c r="Q579" s="11"/>
      <c r="R579" s="11"/>
      <c r="S579" s="11"/>
      <c r="T579" s="11"/>
      <c r="U579" s="11"/>
      <c r="AN579" s="30"/>
    </row>
    <row r="580" spans="14:40">
      <c r="N580" s="11"/>
      <c r="O580" s="11"/>
      <c r="P580" s="11"/>
      <c r="Q580" s="11"/>
      <c r="R580" s="11"/>
      <c r="S580" s="11"/>
      <c r="T580" s="11"/>
      <c r="U580" s="11"/>
      <c r="AN580" s="30"/>
    </row>
    <row r="581" spans="14:40">
      <c r="N581" s="11"/>
      <c r="O581" s="11"/>
      <c r="P581" s="11"/>
      <c r="Q581" s="11"/>
      <c r="R581" s="11"/>
      <c r="S581" s="11"/>
      <c r="T581" s="11"/>
      <c r="U581" s="11"/>
      <c r="AN581" s="30"/>
    </row>
    <row r="582" spans="14:40">
      <c r="N582" s="11"/>
      <c r="O582" s="11"/>
      <c r="P582" s="11"/>
      <c r="Q582" s="11"/>
      <c r="R582" s="11"/>
      <c r="S582" s="11"/>
      <c r="T582" s="11"/>
      <c r="U582" s="11"/>
      <c r="AN582" s="30"/>
    </row>
    <row r="583" spans="14:40">
      <c r="N583" s="11"/>
      <c r="O583" s="11"/>
      <c r="P583" s="11"/>
      <c r="Q583" s="11"/>
      <c r="R583" s="11"/>
      <c r="S583" s="11"/>
      <c r="T583" s="11"/>
      <c r="U583" s="11"/>
      <c r="AN583" s="30"/>
    </row>
    <row r="584" spans="14:40">
      <c r="N584" s="11"/>
      <c r="O584" s="11"/>
      <c r="P584" s="11"/>
      <c r="Q584" s="11"/>
      <c r="R584" s="11"/>
      <c r="S584" s="11"/>
      <c r="T584" s="11"/>
      <c r="U584" s="11"/>
      <c r="AN584" s="30"/>
    </row>
    <row r="585" spans="14:40">
      <c r="N585" s="11"/>
      <c r="O585" s="11"/>
      <c r="P585" s="11"/>
      <c r="Q585" s="11"/>
      <c r="R585" s="11"/>
      <c r="S585" s="11"/>
      <c r="T585" s="11"/>
      <c r="U585" s="11"/>
      <c r="AN585" s="30"/>
    </row>
    <row r="586" spans="14:40">
      <c r="N586" s="11"/>
      <c r="O586" s="11"/>
      <c r="P586" s="11"/>
      <c r="Q586" s="11"/>
      <c r="R586" s="11"/>
      <c r="S586" s="11"/>
      <c r="T586" s="11"/>
      <c r="U586" s="11"/>
      <c r="AN586" s="30"/>
    </row>
    <row r="587" spans="14:40">
      <c r="N587" s="11"/>
      <c r="O587" s="11"/>
      <c r="P587" s="11"/>
      <c r="Q587" s="11"/>
      <c r="R587" s="11"/>
      <c r="S587" s="11"/>
      <c r="T587" s="11"/>
      <c r="U587" s="11"/>
      <c r="AN587" s="30"/>
    </row>
    <row r="588" spans="14:40">
      <c r="N588" s="11"/>
      <c r="O588" s="11"/>
      <c r="P588" s="11"/>
      <c r="Q588" s="11"/>
      <c r="R588" s="11"/>
      <c r="S588" s="11"/>
      <c r="T588" s="11"/>
      <c r="U588" s="11"/>
      <c r="AN588" s="30"/>
    </row>
    <row r="589" spans="14:40">
      <c r="N589" s="11"/>
      <c r="O589" s="11"/>
      <c r="P589" s="11"/>
      <c r="Q589" s="11"/>
      <c r="R589" s="11"/>
      <c r="S589" s="11"/>
      <c r="T589" s="11"/>
      <c r="U589" s="11"/>
      <c r="AN589" s="30"/>
    </row>
    <row r="590" spans="14:40">
      <c r="N590" s="11"/>
      <c r="O590" s="11"/>
      <c r="P590" s="11"/>
      <c r="Q590" s="11"/>
      <c r="R590" s="11"/>
      <c r="S590" s="11"/>
      <c r="T590" s="11"/>
      <c r="U590" s="11"/>
      <c r="AN590" s="30"/>
    </row>
    <row r="591" spans="14:40">
      <c r="N591" s="11"/>
      <c r="O591" s="11"/>
      <c r="P591" s="11"/>
      <c r="Q591" s="11"/>
      <c r="R591" s="11"/>
      <c r="S591" s="11"/>
      <c r="T591" s="11"/>
      <c r="U591" s="11"/>
      <c r="AN591" s="30"/>
    </row>
    <row r="592" spans="14:40">
      <c r="N592" s="11"/>
      <c r="O592" s="11"/>
      <c r="P592" s="11"/>
      <c r="Q592" s="11"/>
      <c r="R592" s="11"/>
      <c r="S592" s="11"/>
      <c r="T592" s="11"/>
      <c r="U592" s="11"/>
      <c r="AN592" s="30"/>
    </row>
    <row r="593" spans="14:40">
      <c r="N593" s="11"/>
      <c r="O593" s="11"/>
      <c r="P593" s="11"/>
      <c r="Q593" s="11"/>
      <c r="R593" s="11"/>
      <c r="S593" s="11"/>
      <c r="T593" s="11"/>
      <c r="U593" s="11"/>
      <c r="AN593" s="30"/>
    </row>
    <row r="594" spans="14:40">
      <c r="N594" s="11"/>
      <c r="O594" s="11"/>
      <c r="P594" s="11"/>
      <c r="Q594" s="11"/>
      <c r="R594" s="11"/>
      <c r="S594" s="11"/>
      <c r="T594" s="11"/>
      <c r="U594" s="11"/>
      <c r="AN594" s="30"/>
    </row>
    <row r="595" spans="14:40">
      <c r="N595" s="11"/>
      <c r="O595" s="11"/>
      <c r="P595" s="11"/>
      <c r="Q595" s="11"/>
      <c r="R595" s="11"/>
      <c r="S595" s="11"/>
      <c r="T595" s="11"/>
      <c r="U595" s="11"/>
      <c r="AN595" s="30"/>
    </row>
    <row r="596" spans="14:40">
      <c r="N596" s="11"/>
      <c r="O596" s="11"/>
      <c r="P596" s="11"/>
      <c r="Q596" s="11"/>
      <c r="R596" s="11"/>
      <c r="S596" s="11"/>
      <c r="T596" s="11"/>
      <c r="U596" s="11"/>
      <c r="AN596" s="30"/>
    </row>
    <row r="597" spans="14:40">
      <c r="N597" s="11"/>
      <c r="O597" s="11"/>
      <c r="P597" s="11"/>
      <c r="Q597" s="11"/>
      <c r="R597" s="11"/>
      <c r="S597" s="11"/>
      <c r="T597" s="11"/>
      <c r="U597" s="11"/>
      <c r="AN597" s="30"/>
    </row>
    <row r="598" spans="14:40">
      <c r="N598" s="11"/>
      <c r="O598" s="11"/>
      <c r="P598" s="11"/>
      <c r="Q598" s="11"/>
      <c r="R598" s="11"/>
      <c r="S598" s="11"/>
      <c r="T598" s="11"/>
      <c r="U598" s="11"/>
      <c r="AN598" s="30"/>
    </row>
    <row r="599" spans="14:40">
      <c r="N599" s="11"/>
      <c r="O599" s="11"/>
      <c r="P599" s="11"/>
      <c r="Q599" s="11"/>
      <c r="R599" s="11"/>
      <c r="S599" s="11"/>
      <c r="T599" s="11"/>
      <c r="U599" s="11"/>
      <c r="AN599" s="30"/>
    </row>
    <row r="600" spans="14:40">
      <c r="N600" s="11"/>
      <c r="O600" s="11"/>
      <c r="P600" s="11"/>
      <c r="Q600" s="11"/>
      <c r="R600" s="11"/>
      <c r="S600" s="11"/>
      <c r="T600" s="11"/>
      <c r="U600" s="11"/>
      <c r="AN600" s="30"/>
    </row>
    <row r="601" spans="14:40">
      <c r="N601" s="11"/>
      <c r="O601" s="11"/>
      <c r="P601" s="11"/>
      <c r="Q601" s="11"/>
      <c r="R601" s="11"/>
      <c r="S601" s="11"/>
      <c r="T601" s="11"/>
      <c r="U601" s="11"/>
      <c r="AN601" s="30"/>
    </row>
    <row r="602" spans="14:40">
      <c r="N602" s="11"/>
      <c r="O602" s="11"/>
      <c r="P602" s="11"/>
      <c r="Q602" s="11"/>
      <c r="R602" s="11"/>
      <c r="S602" s="11"/>
      <c r="T602" s="11"/>
      <c r="U602" s="11"/>
      <c r="AN602" s="30"/>
    </row>
    <row r="603" spans="14:40">
      <c r="N603" s="11"/>
      <c r="O603" s="11"/>
      <c r="P603" s="11"/>
      <c r="Q603" s="11"/>
      <c r="R603" s="11"/>
      <c r="S603" s="11"/>
      <c r="T603" s="11"/>
      <c r="U603" s="11"/>
      <c r="AN603" s="30"/>
    </row>
    <row r="604" spans="14:40">
      <c r="N604" s="11"/>
      <c r="O604" s="11"/>
      <c r="P604" s="11"/>
      <c r="Q604" s="11"/>
      <c r="R604" s="11"/>
      <c r="S604" s="11"/>
      <c r="T604" s="11"/>
      <c r="U604" s="11"/>
      <c r="AN604" s="30"/>
    </row>
    <row r="605" spans="14:40">
      <c r="N605" s="11"/>
      <c r="O605" s="11"/>
      <c r="P605" s="11"/>
      <c r="Q605" s="11"/>
      <c r="R605" s="11"/>
      <c r="S605" s="11"/>
      <c r="T605" s="11"/>
      <c r="U605" s="11"/>
      <c r="AN605" s="30"/>
    </row>
    <row r="606" spans="14:40">
      <c r="N606" s="11"/>
      <c r="O606" s="11"/>
      <c r="P606" s="11"/>
      <c r="Q606" s="11"/>
      <c r="R606" s="11"/>
      <c r="S606" s="11"/>
      <c r="T606" s="11"/>
      <c r="U606" s="11"/>
      <c r="AN606" s="30"/>
    </row>
    <row r="607" spans="14:40">
      <c r="N607" s="11"/>
      <c r="O607" s="11"/>
      <c r="P607" s="11"/>
      <c r="Q607" s="11"/>
      <c r="R607" s="11"/>
      <c r="S607" s="11"/>
      <c r="T607" s="11"/>
      <c r="U607" s="11"/>
      <c r="AN607" s="30"/>
    </row>
    <row r="608" spans="14:40">
      <c r="N608" s="11"/>
      <c r="O608" s="11"/>
      <c r="P608" s="11"/>
      <c r="Q608" s="11"/>
      <c r="R608" s="11"/>
      <c r="S608" s="11"/>
      <c r="T608" s="11"/>
      <c r="U608" s="11"/>
      <c r="AN608" s="30"/>
    </row>
    <row r="609" spans="14:40">
      <c r="N609" s="11"/>
      <c r="O609" s="11"/>
      <c r="P609" s="11"/>
      <c r="Q609" s="11"/>
      <c r="R609" s="11"/>
      <c r="S609" s="11"/>
      <c r="T609" s="11"/>
      <c r="U609" s="11"/>
      <c r="AN609" s="30"/>
    </row>
    <row r="610" spans="14:40">
      <c r="N610" s="11"/>
      <c r="O610" s="11"/>
      <c r="P610" s="11"/>
      <c r="Q610" s="11"/>
      <c r="R610" s="11"/>
      <c r="S610" s="11"/>
      <c r="T610" s="11"/>
      <c r="U610" s="11"/>
      <c r="AN610" s="30"/>
    </row>
    <row r="611" spans="14:40">
      <c r="N611" s="11"/>
      <c r="O611" s="11"/>
      <c r="P611" s="11"/>
      <c r="Q611" s="11"/>
      <c r="R611" s="11"/>
      <c r="S611" s="11"/>
      <c r="T611" s="11"/>
      <c r="U611" s="11"/>
      <c r="AN611" s="30"/>
    </row>
    <row r="612" spans="14:40">
      <c r="N612" s="11"/>
      <c r="O612" s="11"/>
      <c r="P612" s="11"/>
      <c r="Q612" s="11"/>
      <c r="R612" s="11"/>
      <c r="S612" s="11"/>
      <c r="T612" s="11"/>
      <c r="U612" s="11"/>
      <c r="AN612" s="30"/>
    </row>
    <row r="613" spans="14:40">
      <c r="N613" s="11"/>
      <c r="O613" s="11"/>
      <c r="P613" s="11"/>
      <c r="Q613" s="11"/>
      <c r="R613" s="11"/>
      <c r="S613" s="11"/>
      <c r="T613" s="11"/>
      <c r="U613" s="11"/>
      <c r="AN613" s="30"/>
    </row>
    <row r="614" spans="14:40">
      <c r="N614" s="11"/>
      <c r="O614" s="11"/>
      <c r="P614" s="11"/>
      <c r="Q614" s="11"/>
      <c r="R614" s="11"/>
      <c r="S614" s="11"/>
      <c r="T614" s="11"/>
      <c r="U614" s="11"/>
      <c r="AN614" s="30"/>
    </row>
    <row r="615" spans="14:40">
      <c r="N615" s="11"/>
      <c r="O615" s="11"/>
      <c r="P615" s="11"/>
      <c r="Q615" s="11"/>
      <c r="R615" s="11"/>
      <c r="S615" s="11"/>
      <c r="T615" s="11"/>
      <c r="U615" s="11"/>
      <c r="AN615" s="30"/>
    </row>
    <row r="616" spans="14:40">
      <c r="N616" s="11"/>
      <c r="O616" s="11"/>
      <c r="P616" s="11"/>
      <c r="Q616" s="11"/>
      <c r="R616" s="11"/>
      <c r="S616" s="11"/>
      <c r="T616" s="11"/>
      <c r="U616" s="11"/>
      <c r="AN616" s="30"/>
    </row>
    <row r="617" spans="14:40">
      <c r="N617" s="11"/>
      <c r="O617" s="11"/>
      <c r="P617" s="11"/>
      <c r="Q617" s="11"/>
      <c r="R617" s="11"/>
      <c r="S617" s="11"/>
      <c r="T617" s="11"/>
      <c r="U617" s="11"/>
      <c r="AN617" s="30"/>
    </row>
    <row r="618" spans="14:40">
      <c r="N618" s="11"/>
      <c r="O618" s="11"/>
      <c r="P618" s="11"/>
      <c r="Q618" s="11"/>
      <c r="R618" s="11"/>
      <c r="S618" s="11"/>
      <c r="T618" s="11"/>
      <c r="U618" s="11"/>
      <c r="AN618" s="30"/>
    </row>
    <row r="619" spans="14:40">
      <c r="N619" s="11"/>
      <c r="O619" s="11"/>
      <c r="P619" s="11"/>
      <c r="Q619" s="11"/>
      <c r="R619" s="11"/>
      <c r="S619" s="11"/>
      <c r="T619" s="11"/>
      <c r="U619" s="11"/>
      <c r="AN619" s="30"/>
    </row>
    <row r="620" spans="14:40">
      <c r="N620" s="11"/>
      <c r="O620" s="11"/>
      <c r="P620" s="11"/>
      <c r="Q620" s="11"/>
      <c r="R620" s="11"/>
      <c r="S620" s="11"/>
      <c r="T620" s="11"/>
      <c r="U620" s="11"/>
      <c r="AN620" s="30"/>
    </row>
    <row r="621" spans="14:40">
      <c r="N621" s="11"/>
      <c r="O621" s="11"/>
      <c r="P621" s="11"/>
      <c r="Q621" s="11"/>
      <c r="R621" s="11"/>
      <c r="S621" s="11"/>
      <c r="T621" s="11"/>
      <c r="U621" s="11"/>
      <c r="AN621" s="30"/>
    </row>
    <row r="622" spans="14:40">
      <c r="N622" s="11"/>
      <c r="O622" s="11"/>
      <c r="P622" s="11"/>
      <c r="Q622" s="11"/>
      <c r="R622" s="11"/>
      <c r="S622" s="11"/>
      <c r="T622" s="11"/>
      <c r="U622" s="11"/>
      <c r="AN622" s="30"/>
    </row>
    <row r="623" spans="14:40">
      <c r="N623" s="11"/>
      <c r="O623" s="11"/>
      <c r="P623" s="11"/>
      <c r="Q623" s="11"/>
      <c r="R623" s="11"/>
      <c r="S623" s="11"/>
      <c r="T623" s="11"/>
      <c r="U623" s="11"/>
      <c r="AN623" s="30"/>
    </row>
    <row r="624" spans="14:40">
      <c r="N624" s="11"/>
      <c r="O624" s="11"/>
      <c r="P624" s="11"/>
      <c r="Q624" s="11"/>
      <c r="R624" s="11"/>
      <c r="S624" s="11"/>
      <c r="T624" s="11"/>
      <c r="U624" s="11"/>
      <c r="AN624" s="30"/>
    </row>
    <row r="625" spans="14:40">
      <c r="N625" s="11"/>
      <c r="O625" s="11"/>
      <c r="P625" s="11"/>
      <c r="Q625" s="11"/>
      <c r="R625" s="11"/>
      <c r="S625" s="11"/>
      <c r="T625" s="11"/>
      <c r="U625" s="11"/>
      <c r="AN625" s="30"/>
    </row>
    <row r="626" spans="14:40">
      <c r="N626" s="11"/>
      <c r="O626" s="11"/>
      <c r="P626" s="11"/>
      <c r="Q626" s="11"/>
      <c r="R626" s="11"/>
      <c r="S626" s="11"/>
      <c r="T626" s="11"/>
      <c r="U626" s="11"/>
      <c r="AN626" s="30"/>
    </row>
    <row r="627" spans="14:40">
      <c r="N627" s="11"/>
      <c r="O627" s="11"/>
      <c r="P627" s="11"/>
      <c r="Q627" s="11"/>
      <c r="R627" s="11"/>
      <c r="S627" s="11"/>
      <c r="T627" s="11"/>
      <c r="U627" s="11"/>
      <c r="AN627" s="30"/>
    </row>
    <row r="628" spans="14:40">
      <c r="N628" s="11"/>
      <c r="O628" s="11"/>
      <c r="P628" s="11"/>
      <c r="Q628" s="11"/>
      <c r="R628" s="11"/>
      <c r="S628" s="11"/>
      <c r="T628" s="11"/>
      <c r="U628" s="11"/>
      <c r="AN628" s="30"/>
    </row>
    <row r="629" spans="14:40">
      <c r="N629" s="11"/>
      <c r="O629" s="11"/>
      <c r="P629" s="11"/>
      <c r="Q629" s="11"/>
      <c r="R629" s="11"/>
      <c r="S629" s="11"/>
      <c r="T629" s="11"/>
      <c r="U629" s="11"/>
      <c r="AN629" s="30"/>
    </row>
    <row r="630" spans="14:40">
      <c r="N630" s="11"/>
      <c r="O630" s="11"/>
      <c r="P630" s="11"/>
      <c r="Q630" s="11"/>
      <c r="R630" s="11"/>
      <c r="S630" s="11"/>
      <c r="T630" s="11"/>
      <c r="U630" s="11"/>
      <c r="AN630" s="30"/>
    </row>
    <row r="631" spans="14:40">
      <c r="N631" s="11"/>
      <c r="O631" s="11"/>
      <c r="P631" s="11"/>
      <c r="Q631" s="11"/>
      <c r="R631" s="11"/>
      <c r="S631" s="11"/>
      <c r="T631" s="11"/>
      <c r="U631" s="11"/>
      <c r="AN631" s="30"/>
    </row>
    <row r="632" spans="14:40">
      <c r="N632" s="11"/>
      <c r="O632" s="11"/>
      <c r="P632" s="11"/>
      <c r="Q632" s="11"/>
      <c r="R632" s="11"/>
      <c r="S632" s="11"/>
      <c r="T632" s="11"/>
      <c r="U632" s="11"/>
      <c r="AN632" s="30"/>
    </row>
    <row r="633" spans="14:40">
      <c r="N633" s="11"/>
      <c r="O633" s="11"/>
      <c r="P633" s="11"/>
      <c r="Q633" s="11"/>
      <c r="R633" s="11"/>
      <c r="S633" s="11"/>
      <c r="T633" s="11"/>
      <c r="U633" s="11"/>
      <c r="AN633" s="30"/>
    </row>
    <row r="634" spans="14:40">
      <c r="N634" s="11"/>
      <c r="O634" s="11"/>
      <c r="P634" s="11"/>
      <c r="Q634" s="11"/>
      <c r="R634" s="11"/>
      <c r="S634" s="11"/>
      <c r="T634" s="11"/>
      <c r="U634" s="11"/>
      <c r="AN634" s="30"/>
    </row>
    <row r="635" spans="14:40">
      <c r="N635" s="11"/>
      <c r="O635" s="11"/>
      <c r="P635" s="11"/>
      <c r="Q635" s="11"/>
      <c r="R635" s="11"/>
      <c r="S635" s="11"/>
      <c r="T635" s="11"/>
      <c r="U635" s="11"/>
      <c r="AN635" s="30"/>
    </row>
    <row r="636" spans="14:40">
      <c r="N636" s="11"/>
      <c r="O636" s="11"/>
      <c r="P636" s="11"/>
      <c r="Q636" s="11"/>
      <c r="R636" s="11"/>
      <c r="S636" s="11"/>
      <c r="T636" s="11"/>
      <c r="U636" s="11"/>
      <c r="AN636" s="30"/>
    </row>
    <row r="637" spans="14:40">
      <c r="N637" s="11"/>
      <c r="O637" s="11"/>
      <c r="P637" s="11"/>
      <c r="Q637" s="11"/>
      <c r="R637" s="11"/>
      <c r="S637" s="11"/>
      <c r="T637" s="11"/>
      <c r="U637" s="11"/>
      <c r="AN637" s="30"/>
    </row>
    <row r="638" spans="14:40">
      <c r="N638" s="11"/>
      <c r="O638" s="11"/>
      <c r="P638" s="11"/>
      <c r="Q638" s="11"/>
      <c r="R638" s="11"/>
      <c r="S638" s="11"/>
      <c r="T638" s="11"/>
      <c r="U638" s="11"/>
      <c r="AN638" s="30"/>
    </row>
    <row r="639" spans="14:40">
      <c r="N639" s="11"/>
      <c r="O639" s="11"/>
      <c r="P639" s="11"/>
      <c r="Q639" s="11"/>
      <c r="R639" s="11"/>
      <c r="S639" s="11"/>
      <c r="T639" s="11"/>
      <c r="U639" s="11"/>
      <c r="AN639" s="30"/>
    </row>
    <row r="640" spans="14:40">
      <c r="N640" s="11"/>
      <c r="O640" s="11"/>
      <c r="P640" s="11"/>
      <c r="Q640" s="11"/>
      <c r="R640" s="11"/>
      <c r="S640" s="11"/>
      <c r="T640" s="11"/>
      <c r="U640" s="11"/>
      <c r="AN640" s="30"/>
    </row>
    <row r="641" spans="14:40">
      <c r="N641" s="11"/>
      <c r="O641" s="11"/>
      <c r="P641" s="11"/>
      <c r="Q641" s="11"/>
      <c r="R641" s="11"/>
      <c r="S641" s="11"/>
      <c r="T641" s="11"/>
      <c r="U641" s="11"/>
      <c r="AN641" s="30"/>
    </row>
    <row r="642" spans="14:40">
      <c r="N642" s="11"/>
      <c r="O642" s="11"/>
      <c r="P642" s="11"/>
      <c r="Q642" s="11"/>
      <c r="R642" s="11"/>
      <c r="S642" s="11"/>
      <c r="T642" s="11"/>
      <c r="U642" s="11"/>
      <c r="AN642" s="30"/>
    </row>
    <row r="643" spans="14:40">
      <c r="N643" s="11"/>
      <c r="O643" s="11"/>
      <c r="P643" s="11"/>
      <c r="Q643" s="11"/>
      <c r="R643" s="11"/>
      <c r="S643" s="11"/>
      <c r="T643" s="11"/>
      <c r="U643" s="11"/>
      <c r="AN643" s="30"/>
    </row>
    <row r="644" spans="14:40">
      <c r="N644" s="11"/>
      <c r="O644" s="11"/>
      <c r="P644" s="11"/>
      <c r="Q644" s="11"/>
      <c r="R644" s="11"/>
      <c r="S644" s="11"/>
      <c r="T644" s="11"/>
      <c r="U644" s="11"/>
      <c r="AN644" s="30"/>
    </row>
    <row r="645" spans="14:40">
      <c r="N645" s="11"/>
      <c r="O645" s="11"/>
      <c r="P645" s="11"/>
      <c r="Q645" s="11"/>
      <c r="R645" s="11"/>
      <c r="S645" s="11"/>
      <c r="T645" s="11"/>
      <c r="U645" s="11"/>
      <c r="AN645" s="30"/>
    </row>
    <row r="646" spans="14:40">
      <c r="N646" s="11"/>
      <c r="O646" s="11"/>
      <c r="P646" s="11"/>
      <c r="Q646" s="11"/>
      <c r="R646" s="11"/>
      <c r="S646" s="11"/>
      <c r="T646" s="11"/>
      <c r="U646" s="11"/>
      <c r="AN646" s="30"/>
    </row>
    <row r="647" spans="14:40">
      <c r="N647" s="11"/>
      <c r="O647" s="11"/>
      <c r="P647" s="11"/>
      <c r="Q647" s="11"/>
      <c r="R647" s="11"/>
      <c r="S647" s="11"/>
      <c r="T647" s="11"/>
      <c r="U647" s="11"/>
      <c r="AN647" s="30"/>
    </row>
    <row r="648" spans="14:40">
      <c r="N648" s="11"/>
      <c r="O648" s="11"/>
      <c r="P648" s="11"/>
      <c r="Q648" s="11"/>
      <c r="R648" s="11"/>
      <c r="S648" s="11"/>
      <c r="T648" s="11"/>
      <c r="U648" s="11"/>
      <c r="AN648" s="30"/>
    </row>
    <row r="649" spans="14:40">
      <c r="N649" s="11"/>
      <c r="O649" s="11"/>
      <c r="P649" s="11"/>
      <c r="Q649" s="11"/>
      <c r="R649" s="11"/>
      <c r="S649" s="11"/>
      <c r="T649" s="11"/>
      <c r="U649" s="11"/>
      <c r="AN649" s="30"/>
    </row>
    <row r="650" spans="14:40">
      <c r="N650" s="11"/>
      <c r="O650" s="11"/>
      <c r="P650" s="11"/>
      <c r="Q650" s="11"/>
      <c r="R650" s="11"/>
      <c r="S650" s="11"/>
      <c r="T650" s="11"/>
      <c r="U650" s="11"/>
      <c r="AN650" s="30"/>
    </row>
    <row r="651" spans="14:40">
      <c r="N651" s="11"/>
      <c r="O651" s="11"/>
      <c r="P651" s="11"/>
      <c r="Q651" s="11"/>
      <c r="R651" s="11"/>
      <c r="S651" s="11"/>
      <c r="T651" s="11"/>
      <c r="U651" s="11"/>
      <c r="AN651" s="30"/>
    </row>
    <row r="652" spans="14:40">
      <c r="N652" s="11"/>
      <c r="O652" s="11"/>
      <c r="P652" s="11"/>
      <c r="Q652" s="11"/>
      <c r="R652" s="11"/>
      <c r="S652" s="11"/>
      <c r="T652" s="11"/>
      <c r="U652" s="11"/>
      <c r="AN652" s="30"/>
    </row>
    <row r="653" spans="14:40">
      <c r="N653" s="11"/>
      <c r="O653" s="11"/>
      <c r="P653" s="11"/>
      <c r="Q653" s="11"/>
      <c r="R653" s="11"/>
      <c r="S653" s="11"/>
      <c r="T653" s="11"/>
      <c r="U653" s="11"/>
      <c r="AN653" s="30"/>
    </row>
    <row r="654" spans="14:40">
      <c r="N654" s="11"/>
      <c r="O654" s="11"/>
      <c r="P654" s="11"/>
      <c r="Q654" s="11"/>
      <c r="R654" s="11"/>
      <c r="S654" s="11"/>
      <c r="T654" s="11"/>
      <c r="U654" s="11"/>
      <c r="AN654" s="30"/>
    </row>
    <row r="655" spans="14:40">
      <c r="N655" s="11"/>
      <c r="O655" s="11"/>
      <c r="P655" s="11"/>
      <c r="Q655" s="11"/>
      <c r="R655" s="11"/>
      <c r="S655" s="11"/>
      <c r="T655" s="11"/>
      <c r="U655" s="11"/>
      <c r="AN655" s="30"/>
    </row>
    <row r="656" spans="14:40">
      <c r="N656" s="11"/>
      <c r="O656" s="11"/>
      <c r="P656" s="11"/>
      <c r="Q656" s="11"/>
      <c r="R656" s="11"/>
      <c r="S656" s="11"/>
      <c r="T656" s="11"/>
      <c r="U656" s="11"/>
      <c r="AN656" s="30"/>
    </row>
    <row r="657" spans="14:40">
      <c r="N657" s="11"/>
      <c r="O657" s="11"/>
      <c r="P657" s="11"/>
      <c r="Q657" s="11"/>
      <c r="R657" s="11"/>
      <c r="S657" s="11"/>
      <c r="T657" s="11"/>
      <c r="U657" s="11"/>
      <c r="AN657" s="30"/>
    </row>
    <row r="658" spans="14:40">
      <c r="N658" s="11"/>
      <c r="O658" s="11"/>
      <c r="P658" s="11"/>
      <c r="Q658" s="11"/>
      <c r="R658" s="11"/>
      <c r="S658" s="11"/>
      <c r="T658" s="11"/>
      <c r="U658" s="11"/>
      <c r="AN658" s="30"/>
    </row>
    <row r="659" spans="14:40">
      <c r="N659" s="11"/>
      <c r="O659" s="11"/>
      <c r="P659" s="11"/>
      <c r="Q659" s="11"/>
      <c r="R659" s="11"/>
      <c r="S659" s="11"/>
      <c r="T659" s="11"/>
      <c r="U659" s="11"/>
      <c r="AN659" s="30"/>
    </row>
    <row r="660" spans="14:40">
      <c r="N660" s="11"/>
      <c r="O660" s="11"/>
      <c r="P660" s="11"/>
      <c r="Q660" s="11"/>
      <c r="R660" s="11"/>
      <c r="S660" s="11"/>
      <c r="T660" s="11"/>
      <c r="U660" s="11"/>
      <c r="AN660" s="30"/>
    </row>
    <row r="661" spans="14:40">
      <c r="N661" s="11"/>
      <c r="O661" s="11"/>
      <c r="P661" s="11"/>
      <c r="Q661" s="11"/>
      <c r="R661" s="11"/>
      <c r="S661" s="11"/>
      <c r="T661" s="11"/>
      <c r="U661" s="11"/>
      <c r="AN661" s="30"/>
    </row>
    <row r="662" spans="14:40">
      <c r="N662" s="11"/>
      <c r="O662" s="11"/>
      <c r="P662" s="11"/>
      <c r="Q662" s="11"/>
      <c r="R662" s="11"/>
      <c r="S662" s="11"/>
      <c r="T662" s="11"/>
      <c r="U662" s="11"/>
      <c r="AN662" s="30"/>
    </row>
    <row r="663" spans="14:40">
      <c r="N663" s="11"/>
      <c r="O663" s="11"/>
      <c r="P663" s="11"/>
      <c r="Q663" s="11"/>
      <c r="R663" s="11"/>
      <c r="S663" s="11"/>
      <c r="T663" s="11"/>
      <c r="U663" s="11"/>
      <c r="AN663" s="30"/>
    </row>
    <row r="664" spans="14:40">
      <c r="N664" s="11"/>
      <c r="O664" s="11"/>
      <c r="P664" s="11"/>
      <c r="Q664" s="11"/>
      <c r="R664" s="11"/>
      <c r="S664" s="11"/>
      <c r="T664" s="11"/>
      <c r="U664" s="11"/>
      <c r="AN664" s="30"/>
    </row>
    <row r="665" spans="14:40">
      <c r="N665" s="11"/>
      <c r="O665" s="11"/>
      <c r="P665" s="11"/>
      <c r="Q665" s="11"/>
      <c r="R665" s="11"/>
      <c r="S665" s="11"/>
      <c r="T665" s="11"/>
      <c r="U665" s="11"/>
      <c r="AN665" s="30"/>
    </row>
    <row r="666" spans="14:40">
      <c r="N666" s="11"/>
      <c r="O666" s="11"/>
      <c r="P666" s="11"/>
      <c r="Q666" s="11"/>
      <c r="R666" s="11"/>
      <c r="S666" s="11"/>
      <c r="T666" s="11"/>
      <c r="U666" s="11"/>
      <c r="AN666" s="30"/>
    </row>
    <row r="667" spans="14:40">
      <c r="N667" s="11"/>
      <c r="O667" s="11"/>
      <c r="P667" s="11"/>
      <c r="Q667" s="11"/>
      <c r="R667" s="11"/>
      <c r="S667" s="11"/>
      <c r="T667" s="11"/>
      <c r="U667" s="11"/>
      <c r="AN667" s="30"/>
    </row>
    <row r="668" spans="14:40">
      <c r="N668" s="11"/>
      <c r="O668" s="11"/>
      <c r="P668" s="11"/>
      <c r="Q668" s="11"/>
      <c r="R668" s="11"/>
      <c r="S668" s="11"/>
      <c r="T668" s="11"/>
      <c r="U668" s="11"/>
      <c r="AN668" s="30"/>
    </row>
    <row r="669" spans="14:40">
      <c r="N669" s="11"/>
      <c r="O669" s="11"/>
      <c r="P669" s="11"/>
      <c r="Q669" s="11"/>
      <c r="R669" s="11"/>
      <c r="S669" s="11"/>
      <c r="T669" s="11"/>
      <c r="U669" s="11"/>
      <c r="AN669" s="30"/>
    </row>
    <row r="670" spans="14:40">
      <c r="N670" s="11"/>
      <c r="O670" s="11"/>
      <c r="P670" s="11"/>
      <c r="Q670" s="11"/>
      <c r="R670" s="11"/>
      <c r="S670" s="11"/>
      <c r="T670" s="11"/>
      <c r="U670" s="11"/>
      <c r="AN670" s="30"/>
    </row>
    <row r="671" spans="14:40">
      <c r="N671" s="11"/>
      <c r="O671" s="11"/>
      <c r="P671" s="11"/>
      <c r="Q671" s="11"/>
      <c r="R671" s="11"/>
      <c r="S671" s="11"/>
      <c r="T671" s="11"/>
      <c r="U671" s="11"/>
      <c r="AN671" s="30"/>
    </row>
    <row r="672" spans="14:40">
      <c r="N672" s="11"/>
      <c r="O672" s="11"/>
      <c r="P672" s="11"/>
      <c r="Q672" s="11"/>
      <c r="R672" s="11"/>
      <c r="S672" s="11"/>
      <c r="T672" s="11"/>
      <c r="U672" s="11"/>
      <c r="AN672" s="30"/>
    </row>
    <row r="673" spans="14:40">
      <c r="N673" s="11"/>
      <c r="O673" s="11"/>
      <c r="P673" s="11"/>
      <c r="Q673" s="11"/>
      <c r="R673" s="11"/>
      <c r="S673" s="11"/>
      <c r="T673" s="11"/>
      <c r="U673" s="11"/>
      <c r="AN673" s="30"/>
    </row>
    <row r="674" spans="14:40">
      <c r="N674" s="11"/>
      <c r="O674" s="11"/>
      <c r="P674" s="11"/>
      <c r="Q674" s="11"/>
      <c r="R674" s="11"/>
      <c r="S674" s="11"/>
      <c r="T674" s="11"/>
      <c r="U674" s="11"/>
      <c r="AN674" s="30"/>
    </row>
    <row r="675" spans="14:40">
      <c r="N675" s="11"/>
      <c r="O675" s="11"/>
      <c r="P675" s="11"/>
      <c r="Q675" s="11"/>
      <c r="R675" s="11"/>
      <c r="S675" s="11"/>
      <c r="T675" s="11"/>
      <c r="U675" s="11"/>
      <c r="AN675" s="30"/>
    </row>
    <row r="676" spans="14:40">
      <c r="N676" s="11"/>
      <c r="O676" s="11"/>
      <c r="P676" s="11"/>
      <c r="Q676" s="11"/>
      <c r="R676" s="11"/>
      <c r="S676" s="11"/>
      <c r="T676" s="11"/>
      <c r="U676" s="11"/>
      <c r="AN676" s="30"/>
    </row>
    <row r="677" spans="14:40">
      <c r="N677" s="11"/>
      <c r="O677" s="11"/>
      <c r="P677" s="11"/>
      <c r="Q677" s="11"/>
      <c r="R677" s="11"/>
      <c r="S677" s="11"/>
      <c r="T677" s="11"/>
      <c r="U677" s="11"/>
      <c r="AN677" s="30"/>
    </row>
    <row r="678" spans="14:40">
      <c r="N678" s="11"/>
      <c r="O678" s="11"/>
      <c r="P678" s="11"/>
      <c r="Q678" s="11"/>
      <c r="R678" s="11"/>
      <c r="S678" s="11"/>
      <c r="T678" s="11"/>
      <c r="U678" s="11"/>
      <c r="AN678" s="30"/>
    </row>
    <row r="679" spans="14:40">
      <c r="N679" s="11"/>
      <c r="O679" s="11"/>
      <c r="P679" s="11"/>
      <c r="Q679" s="11"/>
      <c r="R679" s="11"/>
      <c r="S679" s="11"/>
      <c r="T679" s="11"/>
      <c r="U679" s="11"/>
      <c r="AN679" s="30"/>
    </row>
    <row r="680" spans="14:40">
      <c r="N680" s="11"/>
      <c r="O680" s="11"/>
      <c r="P680" s="11"/>
      <c r="Q680" s="11"/>
      <c r="R680" s="11"/>
      <c r="S680" s="11"/>
      <c r="T680" s="11"/>
      <c r="U680" s="11"/>
      <c r="AN680" s="30"/>
    </row>
    <row r="681" spans="14:40">
      <c r="N681" s="11"/>
      <c r="O681" s="11"/>
      <c r="P681" s="11"/>
      <c r="Q681" s="11"/>
      <c r="R681" s="11"/>
      <c r="S681" s="11"/>
      <c r="T681" s="11"/>
      <c r="U681" s="11"/>
      <c r="AN681" s="30"/>
    </row>
    <row r="682" spans="14:40">
      <c r="N682" s="11"/>
      <c r="O682" s="11"/>
      <c r="P682" s="11"/>
      <c r="Q682" s="11"/>
      <c r="R682" s="11"/>
      <c r="S682" s="11"/>
      <c r="T682" s="11"/>
      <c r="U682" s="11"/>
      <c r="AN682" s="30"/>
    </row>
    <row r="683" spans="14:40">
      <c r="N683" s="11"/>
      <c r="O683" s="11"/>
      <c r="P683" s="11"/>
      <c r="Q683" s="11"/>
      <c r="R683" s="11"/>
      <c r="S683" s="11"/>
      <c r="T683" s="11"/>
      <c r="U683" s="11"/>
      <c r="AN683" s="30"/>
    </row>
    <row r="684" spans="14:40">
      <c r="N684" s="11"/>
      <c r="O684" s="11"/>
      <c r="P684" s="11"/>
      <c r="Q684" s="11"/>
      <c r="R684" s="11"/>
      <c r="S684" s="11"/>
      <c r="T684" s="11"/>
      <c r="U684" s="11"/>
      <c r="AN684" s="30"/>
    </row>
    <row r="685" spans="14:40">
      <c r="N685" s="11"/>
      <c r="O685" s="11"/>
      <c r="P685" s="11"/>
      <c r="Q685" s="11"/>
      <c r="R685" s="11"/>
      <c r="S685" s="11"/>
      <c r="T685" s="11"/>
      <c r="U685" s="11"/>
      <c r="AN685" s="30"/>
    </row>
    <row r="686" spans="14:40">
      <c r="N686" s="11"/>
      <c r="O686" s="11"/>
      <c r="P686" s="11"/>
      <c r="Q686" s="11"/>
      <c r="R686" s="11"/>
      <c r="S686" s="11"/>
      <c r="T686" s="11"/>
      <c r="U686" s="11"/>
      <c r="AN686" s="30"/>
    </row>
    <row r="687" spans="14:40">
      <c r="N687" s="11"/>
      <c r="O687" s="11"/>
      <c r="P687" s="11"/>
      <c r="Q687" s="11"/>
      <c r="R687" s="11"/>
      <c r="S687" s="11"/>
      <c r="T687" s="11"/>
      <c r="U687" s="11"/>
      <c r="AN687" s="30"/>
    </row>
    <row r="688" spans="14:40">
      <c r="N688" s="11"/>
      <c r="O688" s="11"/>
      <c r="P688" s="11"/>
      <c r="Q688" s="11"/>
      <c r="R688" s="11"/>
      <c r="S688" s="11"/>
      <c r="T688" s="11"/>
      <c r="U688" s="11"/>
      <c r="AN688" s="30"/>
    </row>
    <row r="689" spans="14:40">
      <c r="N689" s="11"/>
      <c r="O689" s="11"/>
      <c r="P689" s="11"/>
      <c r="Q689" s="11"/>
      <c r="R689" s="11"/>
      <c r="S689" s="11"/>
      <c r="T689" s="11"/>
      <c r="U689" s="11"/>
      <c r="AN689" s="30"/>
    </row>
    <row r="690" spans="14:40">
      <c r="N690" s="11"/>
      <c r="O690" s="11"/>
      <c r="P690" s="11"/>
      <c r="Q690" s="11"/>
      <c r="R690" s="11"/>
      <c r="S690" s="11"/>
      <c r="T690" s="11"/>
      <c r="U690" s="11"/>
      <c r="AN690" s="30"/>
    </row>
    <row r="691" spans="14:40">
      <c r="N691" s="11"/>
      <c r="O691" s="11"/>
      <c r="P691" s="11"/>
      <c r="Q691" s="11"/>
      <c r="R691" s="11"/>
      <c r="S691" s="11"/>
      <c r="T691" s="11"/>
      <c r="U691" s="11"/>
      <c r="AN691" s="30"/>
    </row>
    <row r="692" spans="14:40">
      <c r="N692" s="11"/>
      <c r="O692" s="11"/>
      <c r="P692" s="11"/>
      <c r="Q692" s="11"/>
      <c r="R692" s="11"/>
      <c r="S692" s="11"/>
      <c r="T692" s="11"/>
      <c r="U692" s="11"/>
      <c r="AN692" s="30"/>
    </row>
    <row r="693" spans="14:40">
      <c r="N693" s="11"/>
      <c r="O693" s="11"/>
      <c r="P693" s="11"/>
      <c r="Q693" s="11"/>
      <c r="R693" s="11"/>
      <c r="S693" s="11"/>
      <c r="T693" s="11"/>
      <c r="U693" s="11"/>
      <c r="AN693" s="30"/>
    </row>
    <row r="694" spans="14:40">
      <c r="N694" s="11"/>
      <c r="O694" s="11"/>
      <c r="P694" s="11"/>
      <c r="Q694" s="11"/>
      <c r="R694" s="11"/>
      <c r="S694" s="11"/>
      <c r="T694" s="11"/>
      <c r="U694" s="11"/>
      <c r="AN694" s="30"/>
    </row>
    <row r="695" spans="14:40">
      <c r="N695" s="11"/>
      <c r="O695" s="11"/>
      <c r="P695" s="11"/>
      <c r="Q695" s="11"/>
      <c r="R695" s="11"/>
      <c r="S695" s="11"/>
      <c r="T695" s="11"/>
      <c r="U695" s="11"/>
      <c r="AN695" s="30"/>
    </row>
    <row r="696" spans="14:40">
      <c r="N696" s="11"/>
      <c r="O696" s="11"/>
      <c r="P696" s="11"/>
      <c r="Q696" s="11"/>
      <c r="R696" s="11"/>
      <c r="S696" s="11"/>
      <c r="T696" s="11"/>
      <c r="U696" s="11"/>
      <c r="AN696" s="30"/>
    </row>
    <row r="697" spans="14:40">
      <c r="N697" s="11"/>
      <c r="O697" s="11"/>
      <c r="P697" s="11"/>
      <c r="Q697" s="11"/>
      <c r="R697" s="11"/>
      <c r="S697" s="11"/>
      <c r="T697" s="11"/>
      <c r="U697" s="11"/>
      <c r="AN697" s="30"/>
    </row>
    <row r="698" spans="14:40">
      <c r="N698" s="11"/>
      <c r="O698" s="11"/>
      <c r="P698" s="11"/>
      <c r="Q698" s="11"/>
      <c r="R698" s="11"/>
      <c r="S698" s="11"/>
      <c r="T698" s="11"/>
      <c r="U698" s="11"/>
      <c r="AN698" s="30"/>
    </row>
    <row r="699" spans="14:40">
      <c r="N699" s="11"/>
      <c r="O699" s="11"/>
      <c r="P699" s="11"/>
      <c r="Q699" s="11"/>
      <c r="R699" s="11"/>
      <c r="S699" s="11"/>
      <c r="T699" s="11"/>
      <c r="U699" s="11"/>
      <c r="AN699" s="30"/>
    </row>
    <row r="700" spans="14:40">
      <c r="N700" s="11"/>
      <c r="O700" s="11"/>
      <c r="P700" s="11"/>
      <c r="Q700" s="11"/>
      <c r="R700" s="11"/>
      <c r="S700" s="11"/>
      <c r="T700" s="11"/>
      <c r="U700" s="11"/>
      <c r="AN700" s="30"/>
    </row>
    <row r="701" spans="14:40">
      <c r="N701" s="11"/>
      <c r="O701" s="11"/>
      <c r="P701" s="11"/>
      <c r="Q701" s="11"/>
      <c r="R701" s="11"/>
      <c r="S701" s="11"/>
      <c r="T701" s="11"/>
      <c r="U701" s="11"/>
      <c r="AN701" s="30"/>
    </row>
    <row r="702" spans="14:40">
      <c r="N702" s="11"/>
      <c r="O702" s="11"/>
      <c r="P702" s="11"/>
      <c r="Q702" s="11"/>
      <c r="R702" s="11"/>
      <c r="S702" s="11"/>
      <c r="T702" s="11"/>
      <c r="U702" s="11"/>
      <c r="AN702" s="30"/>
    </row>
    <row r="703" spans="14:40">
      <c r="N703" s="11"/>
      <c r="O703" s="11"/>
      <c r="P703" s="11"/>
      <c r="Q703" s="11"/>
      <c r="R703" s="11"/>
      <c r="S703" s="11"/>
      <c r="T703" s="11"/>
      <c r="U703" s="11"/>
      <c r="AN703" s="30"/>
    </row>
    <row r="704" spans="14:40">
      <c r="N704" s="11"/>
      <c r="O704" s="11"/>
      <c r="P704" s="11"/>
      <c r="Q704" s="11"/>
      <c r="R704" s="11"/>
      <c r="S704" s="11"/>
      <c r="T704" s="11"/>
      <c r="U704" s="11"/>
      <c r="AN704" s="30"/>
    </row>
    <row r="705" spans="14:40">
      <c r="N705" s="11"/>
      <c r="O705" s="11"/>
      <c r="P705" s="11"/>
      <c r="Q705" s="11"/>
      <c r="R705" s="11"/>
      <c r="S705" s="11"/>
      <c r="T705" s="11"/>
      <c r="U705" s="11"/>
      <c r="AN705" s="30"/>
    </row>
    <row r="706" spans="14:40">
      <c r="N706" s="11"/>
      <c r="O706" s="11"/>
      <c r="P706" s="11"/>
      <c r="Q706" s="11"/>
      <c r="R706" s="11"/>
      <c r="S706" s="11"/>
      <c r="T706" s="11"/>
      <c r="U706" s="11"/>
      <c r="AN706" s="30"/>
    </row>
    <row r="707" spans="14:40">
      <c r="N707" s="11"/>
      <c r="O707" s="11"/>
      <c r="P707" s="11"/>
      <c r="Q707" s="11"/>
      <c r="R707" s="11"/>
      <c r="S707" s="11"/>
      <c r="T707" s="11"/>
      <c r="U707" s="11"/>
      <c r="AN707" s="30"/>
    </row>
    <row r="708" spans="14:40">
      <c r="N708" s="11"/>
      <c r="O708" s="11"/>
      <c r="P708" s="11"/>
      <c r="Q708" s="11"/>
      <c r="R708" s="11"/>
      <c r="S708" s="11"/>
      <c r="T708" s="11"/>
      <c r="U708" s="11"/>
      <c r="AN708" s="30"/>
    </row>
    <row r="709" spans="14:40">
      <c r="N709" s="11"/>
      <c r="O709" s="11"/>
      <c r="P709" s="11"/>
      <c r="Q709" s="11"/>
      <c r="R709" s="11"/>
      <c r="S709" s="11"/>
      <c r="T709" s="11"/>
      <c r="U709" s="11"/>
      <c r="AN709" s="30"/>
    </row>
    <row r="710" spans="14:40">
      <c r="N710" s="11"/>
      <c r="O710" s="11"/>
      <c r="P710" s="11"/>
      <c r="Q710" s="11"/>
      <c r="R710" s="11"/>
      <c r="S710" s="11"/>
      <c r="T710" s="11"/>
      <c r="U710" s="11"/>
      <c r="AN710" s="30"/>
    </row>
    <row r="711" spans="14:40">
      <c r="N711" s="11"/>
      <c r="O711" s="11"/>
      <c r="P711" s="11"/>
      <c r="Q711" s="11"/>
      <c r="R711" s="11"/>
      <c r="S711" s="11"/>
      <c r="T711" s="11"/>
      <c r="U711" s="11"/>
      <c r="AN711" s="30"/>
    </row>
    <row r="712" spans="14:40">
      <c r="N712" s="11"/>
      <c r="O712" s="11"/>
      <c r="P712" s="11"/>
      <c r="Q712" s="11"/>
      <c r="R712" s="11"/>
      <c r="S712" s="11"/>
      <c r="T712" s="11"/>
      <c r="U712" s="11"/>
      <c r="AN712" s="30"/>
    </row>
    <row r="713" spans="14:40">
      <c r="N713" s="11"/>
      <c r="O713" s="11"/>
      <c r="P713" s="11"/>
      <c r="Q713" s="11"/>
      <c r="R713" s="11"/>
      <c r="S713" s="11"/>
      <c r="T713" s="11"/>
      <c r="U713" s="11"/>
      <c r="AN713" s="30"/>
    </row>
    <row r="714" spans="14:40">
      <c r="N714" s="11"/>
      <c r="O714" s="11"/>
      <c r="P714" s="11"/>
      <c r="Q714" s="11"/>
      <c r="R714" s="11"/>
      <c r="S714" s="11"/>
      <c r="T714" s="11"/>
      <c r="U714" s="11"/>
      <c r="AN714" s="30"/>
    </row>
    <row r="715" spans="14:40">
      <c r="N715" s="11"/>
      <c r="O715" s="11"/>
      <c r="P715" s="11"/>
      <c r="Q715" s="11"/>
      <c r="R715" s="11"/>
      <c r="S715" s="11"/>
      <c r="T715" s="11"/>
      <c r="U715" s="11"/>
      <c r="AN715" s="30"/>
    </row>
    <row r="716" spans="14:40">
      <c r="N716" s="11"/>
      <c r="O716" s="11"/>
      <c r="P716" s="11"/>
      <c r="Q716" s="11"/>
      <c r="R716" s="11"/>
      <c r="S716" s="11"/>
      <c r="T716" s="11"/>
      <c r="U716" s="11"/>
      <c r="AN716" s="30"/>
    </row>
    <row r="717" spans="14:40">
      <c r="N717" s="11"/>
      <c r="O717" s="11"/>
      <c r="P717" s="11"/>
      <c r="Q717" s="11"/>
      <c r="R717" s="11"/>
      <c r="S717" s="11"/>
      <c r="T717" s="11"/>
      <c r="U717" s="11"/>
      <c r="AN717" s="30"/>
    </row>
    <row r="718" spans="14:40">
      <c r="N718" s="11"/>
      <c r="O718" s="11"/>
      <c r="P718" s="11"/>
      <c r="Q718" s="11"/>
      <c r="R718" s="11"/>
      <c r="S718" s="11"/>
      <c r="T718" s="11"/>
      <c r="U718" s="11"/>
      <c r="AN718" s="30"/>
    </row>
    <row r="719" spans="14:40">
      <c r="N719" s="11"/>
      <c r="O719" s="11"/>
      <c r="P719" s="11"/>
      <c r="Q719" s="11"/>
      <c r="R719" s="11"/>
      <c r="S719" s="11"/>
      <c r="T719" s="11"/>
      <c r="U719" s="11"/>
      <c r="AN719" s="30"/>
    </row>
    <row r="720" spans="14:40">
      <c r="N720" s="11"/>
      <c r="O720" s="11"/>
      <c r="P720" s="11"/>
      <c r="Q720" s="11"/>
      <c r="R720" s="11"/>
      <c r="S720" s="11"/>
      <c r="T720" s="11"/>
      <c r="U720" s="11"/>
      <c r="AN720" s="30"/>
    </row>
    <row r="721" spans="14:40">
      <c r="N721" s="11"/>
      <c r="O721" s="11"/>
      <c r="P721" s="11"/>
      <c r="Q721" s="11"/>
      <c r="R721" s="11"/>
      <c r="S721" s="11"/>
      <c r="T721" s="11"/>
      <c r="U721" s="11"/>
      <c r="AN721" s="30"/>
    </row>
    <row r="722" spans="14:40">
      <c r="N722" s="11"/>
      <c r="O722" s="11"/>
      <c r="P722" s="11"/>
      <c r="Q722" s="11"/>
      <c r="R722" s="11"/>
      <c r="S722" s="11"/>
      <c r="T722" s="11"/>
      <c r="U722" s="11"/>
      <c r="AN722" s="30"/>
    </row>
    <row r="723" spans="14:40">
      <c r="N723" s="11"/>
      <c r="O723" s="11"/>
      <c r="P723" s="11"/>
      <c r="Q723" s="11"/>
      <c r="R723" s="11"/>
      <c r="S723" s="11"/>
      <c r="T723" s="11"/>
      <c r="U723" s="11"/>
      <c r="AN723" s="30"/>
    </row>
    <row r="724" spans="14:40">
      <c r="N724" s="11"/>
      <c r="O724" s="11"/>
      <c r="P724" s="11"/>
      <c r="Q724" s="11"/>
      <c r="R724" s="11"/>
      <c r="S724" s="11"/>
      <c r="T724" s="11"/>
      <c r="U724" s="11"/>
      <c r="AN724" s="30"/>
    </row>
    <row r="725" spans="14:40">
      <c r="N725" s="11"/>
      <c r="O725" s="11"/>
      <c r="P725" s="11"/>
      <c r="Q725" s="11"/>
      <c r="R725" s="11"/>
      <c r="S725" s="11"/>
      <c r="T725" s="11"/>
      <c r="U725" s="11"/>
      <c r="AN725" s="30"/>
    </row>
    <row r="726" spans="14:40">
      <c r="N726" s="11"/>
      <c r="O726" s="11"/>
      <c r="P726" s="11"/>
      <c r="Q726" s="11"/>
      <c r="R726" s="11"/>
      <c r="S726" s="11"/>
      <c r="T726" s="11"/>
      <c r="U726" s="11"/>
      <c r="AN726" s="30"/>
    </row>
    <row r="727" spans="14:40">
      <c r="N727" s="11"/>
      <c r="O727" s="11"/>
      <c r="P727" s="11"/>
      <c r="Q727" s="11"/>
      <c r="R727" s="11"/>
      <c r="S727" s="11"/>
      <c r="T727" s="11"/>
      <c r="U727" s="11"/>
      <c r="AN727" s="30"/>
    </row>
    <row r="728" spans="14:40">
      <c r="N728" s="11"/>
      <c r="O728" s="11"/>
      <c r="P728" s="11"/>
      <c r="Q728" s="11"/>
      <c r="R728" s="11"/>
      <c r="S728" s="11"/>
      <c r="T728" s="11"/>
      <c r="U728" s="11"/>
      <c r="AN728" s="30"/>
    </row>
    <row r="729" spans="14:40">
      <c r="N729" s="11"/>
      <c r="O729" s="11"/>
      <c r="P729" s="11"/>
      <c r="Q729" s="11"/>
      <c r="R729" s="11"/>
      <c r="S729" s="11"/>
      <c r="T729" s="11"/>
      <c r="U729" s="11"/>
      <c r="AN729" s="30"/>
    </row>
    <row r="730" spans="14:40">
      <c r="N730" s="11"/>
      <c r="O730" s="11"/>
      <c r="P730" s="11"/>
      <c r="Q730" s="11"/>
      <c r="R730" s="11"/>
      <c r="S730" s="11"/>
      <c r="T730" s="11"/>
      <c r="U730" s="11"/>
      <c r="AN730" s="30"/>
    </row>
    <row r="731" spans="14:40">
      <c r="N731" s="11"/>
      <c r="O731" s="11"/>
      <c r="P731" s="11"/>
      <c r="Q731" s="11"/>
      <c r="R731" s="11"/>
      <c r="S731" s="11"/>
      <c r="T731" s="11"/>
      <c r="U731" s="11"/>
      <c r="AN731" s="30"/>
    </row>
    <row r="732" spans="14:40">
      <c r="N732" s="11"/>
      <c r="O732" s="11"/>
      <c r="P732" s="11"/>
      <c r="Q732" s="11"/>
      <c r="R732" s="11"/>
      <c r="S732" s="11"/>
      <c r="T732" s="11"/>
      <c r="U732" s="11"/>
      <c r="AN732" s="30"/>
    </row>
    <row r="733" spans="14:40">
      <c r="N733" s="11"/>
      <c r="O733" s="11"/>
      <c r="P733" s="11"/>
      <c r="Q733" s="11"/>
      <c r="R733" s="11"/>
      <c r="S733" s="11"/>
      <c r="T733" s="11"/>
      <c r="U733" s="11"/>
      <c r="AN733" s="30"/>
    </row>
    <row r="734" spans="14:40">
      <c r="N734" s="11"/>
      <c r="O734" s="11"/>
      <c r="P734" s="11"/>
      <c r="Q734" s="11"/>
      <c r="R734" s="11"/>
      <c r="S734" s="11"/>
      <c r="T734" s="11"/>
      <c r="U734" s="11"/>
      <c r="AN734" s="30"/>
    </row>
    <row r="735" spans="14:40">
      <c r="N735" s="11"/>
      <c r="O735" s="11"/>
      <c r="P735" s="11"/>
      <c r="Q735" s="11"/>
      <c r="R735" s="11"/>
      <c r="S735" s="11"/>
      <c r="T735" s="11"/>
      <c r="U735" s="11"/>
      <c r="AN735" s="30"/>
    </row>
    <row r="736" spans="14:40">
      <c r="N736" s="11"/>
      <c r="O736" s="11"/>
      <c r="P736" s="11"/>
      <c r="Q736" s="11"/>
      <c r="R736" s="11"/>
      <c r="S736" s="11"/>
      <c r="T736" s="11"/>
      <c r="U736" s="11"/>
      <c r="AN736" s="30"/>
    </row>
    <row r="737" spans="14:40">
      <c r="N737" s="11"/>
      <c r="O737" s="11"/>
      <c r="P737" s="11"/>
      <c r="Q737" s="11"/>
      <c r="R737" s="11"/>
      <c r="S737" s="11"/>
      <c r="T737" s="11"/>
      <c r="U737" s="11"/>
      <c r="AN737" s="30"/>
    </row>
    <row r="738" spans="14:40">
      <c r="N738" s="11"/>
      <c r="O738" s="11"/>
      <c r="P738" s="11"/>
      <c r="Q738" s="11"/>
      <c r="R738" s="11"/>
      <c r="S738" s="11"/>
      <c r="T738" s="11"/>
      <c r="U738" s="11"/>
      <c r="AN738" s="30"/>
    </row>
    <row r="739" spans="14:40">
      <c r="N739" s="11"/>
      <c r="O739" s="11"/>
      <c r="P739" s="11"/>
      <c r="Q739" s="11"/>
      <c r="R739" s="11"/>
      <c r="S739" s="11"/>
      <c r="T739" s="11"/>
      <c r="U739" s="11"/>
      <c r="AN739" s="30"/>
    </row>
    <row r="740" spans="14:40">
      <c r="N740" s="11"/>
      <c r="O740" s="11"/>
      <c r="P740" s="11"/>
      <c r="Q740" s="11"/>
      <c r="R740" s="11"/>
      <c r="S740" s="11"/>
      <c r="T740" s="11"/>
      <c r="U740" s="11"/>
      <c r="AN740" s="30"/>
    </row>
    <row r="741" spans="14:40">
      <c r="N741" s="11"/>
      <c r="O741" s="11"/>
      <c r="P741" s="11"/>
      <c r="Q741" s="11"/>
      <c r="R741" s="11"/>
      <c r="S741" s="11"/>
      <c r="T741" s="11"/>
      <c r="U741" s="11"/>
      <c r="AN741" s="30"/>
    </row>
    <row r="742" spans="14:40">
      <c r="N742" s="11"/>
      <c r="O742" s="11"/>
      <c r="P742" s="11"/>
      <c r="Q742" s="11"/>
      <c r="R742" s="11"/>
      <c r="S742" s="11"/>
      <c r="T742" s="11"/>
      <c r="U742" s="11"/>
      <c r="AN742" s="30"/>
    </row>
    <row r="743" spans="14:40">
      <c r="N743" s="11"/>
      <c r="O743" s="11"/>
      <c r="P743" s="11"/>
      <c r="Q743" s="11"/>
      <c r="R743" s="11"/>
      <c r="S743" s="11"/>
      <c r="T743" s="11"/>
      <c r="U743" s="11"/>
      <c r="AN743" s="30"/>
    </row>
    <row r="744" spans="14:40">
      <c r="N744" s="11"/>
      <c r="O744" s="11"/>
      <c r="P744" s="11"/>
      <c r="Q744" s="11"/>
      <c r="R744" s="11"/>
      <c r="S744" s="11"/>
      <c r="T744" s="11"/>
      <c r="U744" s="11"/>
      <c r="AN744" s="30"/>
    </row>
    <row r="745" spans="14:40">
      <c r="N745" s="11"/>
      <c r="O745" s="11"/>
      <c r="P745" s="11"/>
      <c r="Q745" s="11"/>
      <c r="R745" s="11"/>
      <c r="S745" s="11"/>
      <c r="T745" s="11"/>
      <c r="U745" s="11"/>
      <c r="AN745" s="30"/>
    </row>
    <row r="746" spans="14:40">
      <c r="N746" s="11"/>
      <c r="O746" s="11"/>
      <c r="P746" s="11"/>
      <c r="Q746" s="11"/>
      <c r="R746" s="11"/>
      <c r="S746" s="11"/>
      <c r="T746" s="11"/>
      <c r="U746" s="11"/>
      <c r="AN746" s="30"/>
    </row>
    <row r="747" spans="14:40">
      <c r="N747" s="11"/>
      <c r="O747" s="11"/>
      <c r="P747" s="11"/>
      <c r="Q747" s="11"/>
      <c r="R747" s="11"/>
      <c r="S747" s="11"/>
      <c r="T747" s="11"/>
      <c r="U747" s="11"/>
      <c r="AN747" s="30"/>
    </row>
    <row r="748" spans="14:40">
      <c r="N748" s="11"/>
      <c r="O748" s="11"/>
      <c r="P748" s="11"/>
      <c r="Q748" s="11"/>
      <c r="R748" s="11"/>
      <c r="S748" s="11"/>
      <c r="T748" s="11"/>
      <c r="U748" s="11"/>
      <c r="AN748" s="30"/>
    </row>
    <row r="749" spans="14:40">
      <c r="N749" s="11"/>
      <c r="O749" s="11"/>
      <c r="P749" s="11"/>
      <c r="Q749" s="11"/>
      <c r="R749" s="11"/>
      <c r="S749" s="11"/>
      <c r="T749" s="11"/>
      <c r="U749" s="11"/>
      <c r="AN749" s="30"/>
    </row>
    <row r="750" spans="14:40">
      <c r="N750" s="11"/>
      <c r="O750" s="11"/>
      <c r="P750" s="11"/>
      <c r="Q750" s="11"/>
      <c r="R750" s="11"/>
      <c r="S750" s="11"/>
      <c r="T750" s="11"/>
      <c r="U750" s="11"/>
      <c r="AN750" s="30"/>
    </row>
    <row r="751" spans="14:40">
      <c r="N751" s="11"/>
      <c r="O751" s="11"/>
      <c r="P751" s="11"/>
      <c r="Q751" s="11"/>
      <c r="R751" s="11"/>
      <c r="S751" s="11"/>
      <c r="T751" s="11"/>
      <c r="U751" s="11"/>
      <c r="AN751" s="30"/>
    </row>
    <row r="752" spans="14:40">
      <c r="N752" s="11"/>
      <c r="O752" s="11"/>
      <c r="P752" s="11"/>
      <c r="Q752" s="11"/>
      <c r="R752" s="11"/>
      <c r="S752" s="11"/>
      <c r="T752" s="11"/>
      <c r="U752" s="11"/>
      <c r="AN752" s="30"/>
    </row>
    <row r="753" spans="14:40">
      <c r="N753" s="11"/>
      <c r="O753" s="11"/>
      <c r="P753" s="11"/>
      <c r="Q753" s="11"/>
      <c r="R753" s="11"/>
      <c r="S753" s="11"/>
      <c r="T753" s="11"/>
      <c r="U753" s="11"/>
      <c r="AN753" s="30"/>
    </row>
    <row r="754" spans="14:40">
      <c r="N754" s="11"/>
      <c r="O754" s="11"/>
      <c r="P754" s="11"/>
      <c r="Q754" s="11"/>
      <c r="R754" s="11"/>
      <c r="S754" s="11"/>
      <c r="T754" s="11"/>
      <c r="U754" s="11"/>
      <c r="AN754" s="30"/>
    </row>
    <row r="755" spans="14:40">
      <c r="N755" s="11"/>
      <c r="O755" s="11"/>
      <c r="P755" s="11"/>
      <c r="Q755" s="11"/>
      <c r="R755" s="11"/>
      <c r="S755" s="11"/>
      <c r="T755" s="11"/>
      <c r="U755" s="11"/>
      <c r="AN755" s="30"/>
    </row>
    <row r="756" spans="14:40">
      <c r="N756" s="11"/>
      <c r="O756" s="11"/>
      <c r="P756" s="11"/>
      <c r="Q756" s="11"/>
      <c r="R756" s="11"/>
      <c r="S756" s="11"/>
      <c r="T756" s="11"/>
      <c r="U756" s="11"/>
      <c r="AN756" s="30"/>
    </row>
    <row r="757" spans="14:40">
      <c r="N757" s="11"/>
      <c r="O757" s="11"/>
      <c r="P757" s="11"/>
      <c r="Q757" s="11"/>
      <c r="R757" s="11"/>
      <c r="S757" s="11"/>
      <c r="T757" s="11"/>
      <c r="U757" s="11"/>
      <c r="AN757" s="30"/>
    </row>
    <row r="758" spans="14:40">
      <c r="N758" s="11"/>
      <c r="O758" s="11"/>
      <c r="P758" s="11"/>
      <c r="Q758" s="11"/>
      <c r="R758" s="11"/>
      <c r="S758" s="11"/>
      <c r="T758" s="11"/>
      <c r="U758" s="11"/>
      <c r="AN758" s="30"/>
    </row>
    <row r="759" spans="14:40">
      <c r="N759" s="11"/>
      <c r="O759" s="11"/>
      <c r="P759" s="11"/>
      <c r="Q759" s="11"/>
      <c r="R759" s="11"/>
      <c r="S759" s="11"/>
      <c r="T759" s="11"/>
      <c r="U759" s="11"/>
      <c r="AN759" s="30"/>
    </row>
    <row r="760" spans="14:40">
      <c r="N760" s="11"/>
      <c r="O760" s="11"/>
      <c r="P760" s="11"/>
      <c r="Q760" s="11"/>
      <c r="R760" s="11"/>
      <c r="S760" s="11"/>
      <c r="T760" s="11"/>
      <c r="U760" s="11"/>
      <c r="AN760" s="30"/>
    </row>
    <row r="761" spans="14:40">
      <c r="N761" s="11"/>
      <c r="O761" s="11"/>
      <c r="P761" s="11"/>
      <c r="Q761" s="11"/>
      <c r="R761" s="11"/>
      <c r="S761" s="11"/>
      <c r="T761" s="11"/>
      <c r="U761" s="11"/>
      <c r="AN761" s="30"/>
    </row>
    <row r="762" spans="14:40">
      <c r="N762" s="11"/>
      <c r="O762" s="11"/>
      <c r="P762" s="11"/>
      <c r="Q762" s="11"/>
      <c r="R762" s="11"/>
      <c r="S762" s="11"/>
      <c r="T762" s="11"/>
      <c r="U762" s="11"/>
      <c r="AN762" s="30"/>
    </row>
    <row r="763" spans="14:40">
      <c r="N763" s="11"/>
      <c r="O763" s="11"/>
      <c r="P763" s="11"/>
      <c r="Q763" s="11"/>
      <c r="R763" s="11"/>
      <c r="S763" s="11"/>
      <c r="T763" s="11"/>
      <c r="U763" s="11"/>
      <c r="AN763" s="30"/>
    </row>
    <row r="764" spans="14:40">
      <c r="N764" s="11"/>
      <c r="O764" s="11"/>
      <c r="P764" s="11"/>
      <c r="Q764" s="11"/>
      <c r="R764" s="11"/>
      <c r="S764" s="11"/>
      <c r="T764" s="11"/>
      <c r="U764" s="11"/>
      <c r="AN764" s="30"/>
    </row>
    <row r="765" spans="14:40">
      <c r="N765" s="11"/>
      <c r="O765" s="11"/>
      <c r="P765" s="11"/>
      <c r="Q765" s="11"/>
      <c r="R765" s="11"/>
      <c r="S765" s="11"/>
      <c r="T765" s="11"/>
      <c r="U765" s="11"/>
      <c r="AN765" s="30"/>
    </row>
    <row r="766" spans="14:40">
      <c r="N766" s="11"/>
      <c r="O766" s="11"/>
      <c r="P766" s="11"/>
      <c r="Q766" s="11"/>
      <c r="R766" s="11"/>
      <c r="S766" s="11"/>
      <c r="T766" s="11"/>
      <c r="U766" s="11"/>
      <c r="AN766" s="30"/>
    </row>
    <row r="767" spans="14:40">
      <c r="N767" s="11"/>
      <c r="O767" s="11"/>
      <c r="P767" s="11"/>
      <c r="Q767" s="11"/>
      <c r="R767" s="11"/>
      <c r="S767" s="11"/>
      <c r="T767" s="11"/>
      <c r="U767" s="11"/>
      <c r="AN767" s="30"/>
    </row>
    <row r="768" spans="14:40">
      <c r="N768" s="11"/>
      <c r="O768" s="11"/>
      <c r="P768" s="11"/>
      <c r="Q768" s="11"/>
      <c r="R768" s="11"/>
      <c r="S768" s="11"/>
      <c r="T768" s="11"/>
      <c r="U768" s="11"/>
      <c r="AN768" s="30"/>
    </row>
    <row r="769" spans="14:40">
      <c r="N769" s="11"/>
      <c r="O769" s="11"/>
      <c r="P769" s="11"/>
      <c r="Q769" s="11"/>
      <c r="R769" s="11"/>
      <c r="S769" s="11"/>
      <c r="T769" s="11"/>
      <c r="U769" s="11"/>
      <c r="AN769" s="30"/>
    </row>
    <row r="770" spans="14:40">
      <c r="N770" s="11"/>
      <c r="O770" s="11"/>
      <c r="P770" s="11"/>
      <c r="Q770" s="11"/>
      <c r="R770" s="11"/>
      <c r="S770" s="11"/>
      <c r="T770" s="11"/>
      <c r="U770" s="11"/>
      <c r="AN770" s="30"/>
    </row>
    <row r="771" spans="14:40">
      <c r="N771" s="11"/>
      <c r="O771" s="11"/>
      <c r="P771" s="11"/>
      <c r="Q771" s="11"/>
      <c r="R771" s="11"/>
      <c r="S771" s="11"/>
      <c r="T771" s="11"/>
      <c r="U771" s="11"/>
      <c r="AN771" s="30"/>
    </row>
    <row r="772" spans="14:40">
      <c r="N772" s="11"/>
      <c r="O772" s="11"/>
      <c r="P772" s="11"/>
      <c r="Q772" s="11"/>
      <c r="R772" s="11"/>
      <c r="S772" s="11"/>
      <c r="T772" s="11"/>
      <c r="U772" s="11"/>
      <c r="AN772" s="30"/>
    </row>
    <row r="773" spans="14:40">
      <c r="N773" s="11"/>
      <c r="O773" s="11"/>
      <c r="P773" s="11"/>
      <c r="Q773" s="11"/>
      <c r="R773" s="11"/>
      <c r="S773" s="11"/>
      <c r="T773" s="11"/>
      <c r="U773" s="11"/>
      <c r="AN773" s="30"/>
    </row>
    <row r="774" spans="14:40">
      <c r="N774" s="11"/>
      <c r="O774" s="11"/>
      <c r="P774" s="11"/>
      <c r="Q774" s="11"/>
      <c r="R774" s="11"/>
      <c r="S774" s="11"/>
      <c r="T774" s="11"/>
      <c r="U774" s="11"/>
      <c r="AN774" s="30"/>
    </row>
    <row r="775" spans="14:40">
      <c r="N775" s="11"/>
      <c r="O775" s="11"/>
      <c r="P775" s="11"/>
      <c r="Q775" s="11"/>
      <c r="R775" s="11"/>
      <c r="S775" s="11"/>
      <c r="T775" s="11"/>
      <c r="U775" s="11"/>
      <c r="AN775" s="30"/>
    </row>
    <row r="776" spans="14:40">
      <c r="N776" s="11"/>
      <c r="O776" s="11"/>
      <c r="P776" s="11"/>
      <c r="Q776" s="11"/>
      <c r="R776" s="11"/>
      <c r="S776" s="11"/>
      <c r="T776" s="11"/>
      <c r="U776" s="11"/>
      <c r="AN776" s="30"/>
    </row>
    <row r="777" spans="14:40">
      <c r="N777" s="11"/>
      <c r="O777" s="11"/>
      <c r="P777" s="11"/>
      <c r="Q777" s="11"/>
      <c r="R777" s="11"/>
      <c r="S777" s="11"/>
      <c r="T777" s="11"/>
      <c r="U777" s="11"/>
      <c r="AN777" s="30"/>
    </row>
    <row r="778" spans="14:40">
      <c r="N778" s="11"/>
      <c r="O778" s="11"/>
      <c r="P778" s="11"/>
      <c r="Q778" s="11"/>
      <c r="R778" s="11"/>
      <c r="S778" s="11"/>
      <c r="T778" s="11"/>
      <c r="U778" s="11"/>
      <c r="AN778" s="30"/>
    </row>
    <row r="779" spans="14:40">
      <c r="N779" s="11"/>
      <c r="O779" s="11"/>
      <c r="P779" s="11"/>
      <c r="Q779" s="11"/>
      <c r="R779" s="11"/>
      <c r="S779" s="11"/>
      <c r="T779" s="11"/>
      <c r="U779" s="11"/>
      <c r="AN779" s="30"/>
    </row>
    <row r="780" spans="14:40">
      <c r="N780" s="11"/>
      <c r="O780" s="11"/>
      <c r="P780" s="11"/>
      <c r="Q780" s="11"/>
      <c r="R780" s="11"/>
      <c r="S780" s="11"/>
      <c r="T780" s="11"/>
      <c r="U780" s="11"/>
      <c r="AN780" s="30"/>
    </row>
    <row r="781" spans="14:40">
      <c r="N781" s="11"/>
      <c r="O781" s="11"/>
      <c r="P781" s="11"/>
      <c r="Q781" s="11"/>
      <c r="R781" s="11"/>
      <c r="S781" s="11"/>
      <c r="T781" s="11"/>
      <c r="U781" s="11"/>
      <c r="AN781" s="30"/>
    </row>
    <row r="782" spans="14:40">
      <c r="N782" s="11"/>
      <c r="O782" s="11"/>
      <c r="P782" s="11"/>
      <c r="Q782" s="11"/>
      <c r="R782" s="11"/>
      <c r="S782" s="11"/>
      <c r="T782" s="11"/>
      <c r="U782" s="11"/>
      <c r="AN782" s="30"/>
    </row>
    <row r="783" spans="14:40">
      <c r="N783" s="11"/>
      <c r="O783" s="11"/>
      <c r="P783" s="11"/>
      <c r="Q783" s="11"/>
      <c r="R783" s="11"/>
      <c r="S783" s="11"/>
      <c r="T783" s="11"/>
      <c r="U783" s="11"/>
      <c r="AN783" s="30"/>
    </row>
    <row r="784" spans="14:40">
      <c r="N784" s="11"/>
      <c r="O784" s="11"/>
      <c r="P784" s="11"/>
      <c r="Q784" s="11"/>
      <c r="R784" s="11"/>
      <c r="S784" s="11"/>
      <c r="T784" s="11"/>
      <c r="U784" s="11"/>
      <c r="AN784" s="30"/>
    </row>
    <row r="785" spans="14:40">
      <c r="N785" s="11"/>
      <c r="O785" s="11"/>
      <c r="P785" s="11"/>
      <c r="Q785" s="11"/>
      <c r="R785" s="11"/>
      <c r="S785" s="11"/>
      <c r="T785" s="11"/>
      <c r="U785" s="11"/>
      <c r="AN785" s="30"/>
    </row>
    <row r="786" spans="14:40">
      <c r="N786" s="11"/>
      <c r="O786" s="11"/>
      <c r="P786" s="11"/>
      <c r="Q786" s="11"/>
      <c r="R786" s="11"/>
      <c r="S786" s="11"/>
      <c r="T786" s="11"/>
      <c r="U786" s="11"/>
      <c r="AN786" s="30"/>
    </row>
    <row r="787" spans="14:40">
      <c r="N787" s="11"/>
      <c r="O787" s="11"/>
      <c r="P787" s="11"/>
      <c r="Q787" s="11"/>
      <c r="R787" s="11"/>
      <c r="S787" s="11"/>
      <c r="T787" s="11"/>
      <c r="U787" s="11"/>
      <c r="AN787" s="30"/>
    </row>
    <row r="788" spans="14:40">
      <c r="N788" s="11"/>
      <c r="O788" s="11"/>
      <c r="P788" s="11"/>
      <c r="Q788" s="11"/>
      <c r="R788" s="11"/>
      <c r="S788" s="11"/>
      <c r="T788" s="11"/>
      <c r="U788" s="11"/>
      <c r="AN788" s="30"/>
    </row>
    <row r="789" spans="14:40">
      <c r="N789" s="11"/>
      <c r="O789" s="11"/>
      <c r="P789" s="11"/>
      <c r="Q789" s="11"/>
      <c r="R789" s="11"/>
      <c r="S789" s="11"/>
      <c r="T789" s="11"/>
      <c r="U789" s="11"/>
      <c r="AN789" s="30"/>
    </row>
    <row r="790" spans="14:40">
      <c r="N790" s="11"/>
      <c r="O790" s="11"/>
      <c r="P790" s="11"/>
      <c r="Q790" s="11"/>
      <c r="R790" s="11"/>
      <c r="S790" s="11"/>
      <c r="T790" s="11"/>
      <c r="U790" s="11"/>
      <c r="AN790" s="30"/>
    </row>
    <row r="791" spans="14:40">
      <c r="N791" s="11"/>
      <c r="O791" s="11"/>
      <c r="P791" s="11"/>
      <c r="Q791" s="11"/>
      <c r="R791" s="11"/>
      <c r="S791" s="11"/>
      <c r="T791" s="11"/>
      <c r="U791" s="11"/>
      <c r="AN791" s="30"/>
    </row>
    <row r="792" spans="14:40">
      <c r="N792" s="11"/>
      <c r="O792" s="11"/>
      <c r="P792" s="11"/>
      <c r="Q792" s="11"/>
      <c r="R792" s="11"/>
      <c r="S792" s="11"/>
      <c r="T792" s="11"/>
      <c r="U792" s="11"/>
      <c r="AN792" s="30"/>
    </row>
    <row r="793" spans="14:40">
      <c r="N793" s="11"/>
      <c r="O793" s="11"/>
      <c r="P793" s="11"/>
      <c r="Q793" s="11"/>
      <c r="R793" s="11"/>
      <c r="S793" s="11"/>
      <c r="T793" s="11"/>
      <c r="U793" s="11"/>
      <c r="AN793" s="30"/>
    </row>
    <row r="794" spans="14:40">
      <c r="N794" s="11"/>
      <c r="O794" s="11"/>
      <c r="P794" s="11"/>
      <c r="Q794" s="11"/>
      <c r="R794" s="11"/>
      <c r="S794" s="11"/>
      <c r="T794" s="11"/>
      <c r="U794" s="11"/>
      <c r="AN794" s="30"/>
    </row>
    <row r="795" spans="14:40">
      <c r="N795" s="11"/>
      <c r="O795" s="11"/>
      <c r="P795" s="11"/>
      <c r="Q795" s="11"/>
      <c r="R795" s="11"/>
      <c r="S795" s="11"/>
      <c r="T795" s="11"/>
      <c r="U795" s="11"/>
      <c r="AN795" s="30"/>
    </row>
    <row r="796" spans="14:40">
      <c r="N796" s="11"/>
      <c r="O796" s="11"/>
      <c r="P796" s="11"/>
      <c r="Q796" s="11"/>
      <c r="R796" s="11"/>
      <c r="S796" s="11"/>
      <c r="T796" s="11"/>
      <c r="U796" s="11"/>
      <c r="AN796" s="30"/>
    </row>
    <row r="797" spans="14:40">
      <c r="N797" s="11"/>
      <c r="O797" s="11"/>
      <c r="P797" s="11"/>
      <c r="Q797" s="11"/>
      <c r="R797" s="11"/>
      <c r="S797" s="11"/>
      <c r="T797" s="11"/>
      <c r="U797" s="11"/>
      <c r="AN797" s="30"/>
    </row>
    <row r="798" spans="14:40">
      <c r="N798" s="11"/>
      <c r="O798" s="11"/>
      <c r="P798" s="11"/>
      <c r="Q798" s="11"/>
      <c r="R798" s="11"/>
      <c r="S798" s="11"/>
      <c r="T798" s="11"/>
      <c r="U798" s="11"/>
      <c r="AN798" s="30"/>
    </row>
    <row r="799" spans="14:40">
      <c r="N799" s="11"/>
      <c r="O799" s="11"/>
      <c r="P799" s="11"/>
      <c r="Q799" s="11"/>
      <c r="R799" s="11"/>
      <c r="S799" s="11"/>
      <c r="T799" s="11"/>
      <c r="U799" s="11"/>
      <c r="AN799" s="30"/>
    </row>
    <row r="800" spans="14:40">
      <c r="N800" s="11"/>
      <c r="O800" s="11"/>
      <c r="P800" s="11"/>
      <c r="Q800" s="11"/>
      <c r="R800" s="11"/>
      <c r="S800" s="11"/>
      <c r="T800" s="11"/>
      <c r="U800" s="11"/>
      <c r="AN800" s="30"/>
    </row>
    <row r="801" spans="14:40">
      <c r="N801" s="11"/>
      <c r="O801" s="11"/>
      <c r="P801" s="11"/>
      <c r="Q801" s="11"/>
      <c r="R801" s="11"/>
      <c r="S801" s="11"/>
      <c r="T801" s="11"/>
      <c r="U801" s="11"/>
      <c r="AN801" s="30"/>
    </row>
    <row r="802" spans="14:40">
      <c r="N802" s="11"/>
      <c r="O802" s="11"/>
      <c r="P802" s="11"/>
      <c r="Q802" s="11"/>
      <c r="R802" s="11"/>
      <c r="S802" s="11"/>
      <c r="T802" s="11"/>
      <c r="U802" s="11"/>
      <c r="AN802" s="30"/>
    </row>
    <row r="803" spans="14:40">
      <c r="N803" s="11"/>
      <c r="O803" s="11"/>
      <c r="P803" s="11"/>
      <c r="Q803" s="11"/>
      <c r="R803" s="11"/>
      <c r="S803" s="11"/>
      <c r="T803" s="11"/>
      <c r="U803" s="11"/>
      <c r="AN803" s="30"/>
    </row>
    <row r="804" spans="14:40">
      <c r="N804" s="11"/>
      <c r="O804" s="11"/>
      <c r="P804" s="11"/>
      <c r="Q804" s="11"/>
      <c r="R804" s="11"/>
      <c r="S804" s="11"/>
      <c r="T804" s="11"/>
      <c r="U804" s="11"/>
      <c r="AN804" s="30"/>
    </row>
    <row r="805" spans="14:40">
      <c r="N805" s="11"/>
      <c r="O805" s="11"/>
      <c r="P805" s="11"/>
      <c r="Q805" s="11"/>
      <c r="R805" s="11"/>
      <c r="S805" s="11"/>
      <c r="T805" s="11"/>
      <c r="U805" s="11"/>
      <c r="AN805" s="30"/>
    </row>
    <row r="806" spans="14:40">
      <c r="N806" s="11"/>
      <c r="O806" s="11"/>
      <c r="P806" s="11"/>
      <c r="Q806" s="11"/>
      <c r="R806" s="11"/>
      <c r="S806" s="11"/>
      <c r="T806" s="11"/>
      <c r="U806" s="11"/>
      <c r="AN806" s="30"/>
    </row>
    <row r="807" spans="14:40">
      <c r="N807" s="11"/>
      <c r="O807" s="11"/>
      <c r="P807" s="11"/>
      <c r="Q807" s="11"/>
      <c r="R807" s="11"/>
      <c r="S807" s="11"/>
      <c r="T807" s="11"/>
      <c r="U807" s="11"/>
      <c r="AN807" s="30"/>
    </row>
    <row r="808" spans="14:40">
      <c r="N808" s="11"/>
      <c r="O808" s="11"/>
      <c r="P808" s="11"/>
      <c r="Q808" s="11"/>
      <c r="R808" s="11"/>
      <c r="S808" s="11"/>
      <c r="T808" s="11"/>
      <c r="U808" s="11"/>
      <c r="AN808" s="30"/>
    </row>
    <row r="809" spans="14:40">
      <c r="N809" s="11"/>
      <c r="O809" s="11"/>
      <c r="P809" s="11"/>
      <c r="Q809" s="11"/>
      <c r="R809" s="11"/>
      <c r="S809" s="11"/>
      <c r="T809" s="11"/>
      <c r="U809" s="11"/>
      <c r="AN809" s="30"/>
    </row>
    <row r="810" spans="14:40">
      <c r="N810" s="11"/>
      <c r="O810" s="11"/>
      <c r="P810" s="11"/>
      <c r="Q810" s="11"/>
      <c r="R810" s="11"/>
      <c r="S810" s="11"/>
      <c r="T810" s="11"/>
      <c r="U810" s="11"/>
      <c r="AN810" s="30"/>
    </row>
    <row r="811" spans="14:40">
      <c r="N811" s="11"/>
      <c r="O811" s="11"/>
      <c r="P811" s="11"/>
      <c r="Q811" s="11"/>
      <c r="R811" s="11"/>
      <c r="S811" s="11"/>
      <c r="T811" s="11"/>
      <c r="U811" s="11"/>
      <c r="AN811" s="30"/>
    </row>
    <row r="812" spans="14:40">
      <c r="N812" s="11"/>
      <c r="O812" s="11"/>
      <c r="P812" s="11"/>
      <c r="Q812" s="11"/>
      <c r="R812" s="11"/>
      <c r="S812" s="11"/>
      <c r="T812" s="11"/>
      <c r="U812" s="11"/>
      <c r="AN812" s="30"/>
    </row>
    <row r="813" spans="14:40">
      <c r="N813" s="11"/>
      <c r="O813" s="11"/>
      <c r="P813" s="11"/>
      <c r="Q813" s="11"/>
      <c r="R813" s="11"/>
      <c r="S813" s="11"/>
      <c r="T813" s="11"/>
      <c r="U813" s="11"/>
      <c r="AN813" s="30"/>
    </row>
    <row r="814" spans="14:40">
      <c r="N814" s="11"/>
      <c r="O814" s="11"/>
      <c r="P814" s="11"/>
      <c r="Q814" s="11"/>
      <c r="R814" s="11"/>
      <c r="S814" s="11"/>
      <c r="T814" s="11"/>
      <c r="U814" s="11"/>
      <c r="AN814" s="30"/>
    </row>
    <row r="815" spans="14:40">
      <c r="N815" s="11"/>
      <c r="O815" s="11"/>
      <c r="P815" s="11"/>
      <c r="Q815" s="11"/>
      <c r="R815" s="11"/>
      <c r="S815" s="11"/>
      <c r="T815" s="11"/>
      <c r="U815" s="11"/>
      <c r="AN815" s="30"/>
    </row>
    <row r="816" spans="14:40">
      <c r="N816" s="11"/>
      <c r="O816" s="11"/>
      <c r="P816" s="11"/>
      <c r="Q816" s="11"/>
      <c r="R816" s="11"/>
      <c r="S816" s="11"/>
      <c r="T816" s="11"/>
      <c r="U816" s="11"/>
      <c r="AN816" s="30"/>
    </row>
    <row r="817" spans="14:40">
      <c r="N817" s="11"/>
      <c r="O817" s="11"/>
      <c r="P817" s="11"/>
      <c r="Q817" s="11"/>
      <c r="R817" s="11"/>
      <c r="S817" s="11"/>
      <c r="T817" s="11"/>
      <c r="U817" s="11"/>
      <c r="AN817" s="30"/>
    </row>
    <row r="818" spans="14:40">
      <c r="N818" s="11"/>
      <c r="O818" s="11"/>
      <c r="P818" s="11"/>
      <c r="Q818" s="11"/>
      <c r="R818" s="11"/>
      <c r="S818" s="11"/>
      <c r="T818" s="11"/>
      <c r="U818" s="11"/>
      <c r="AN818" s="30"/>
    </row>
    <row r="819" spans="14:40">
      <c r="N819" s="11"/>
      <c r="O819" s="11"/>
      <c r="P819" s="11"/>
      <c r="Q819" s="11"/>
      <c r="R819" s="11"/>
      <c r="S819" s="11"/>
      <c r="T819" s="11"/>
      <c r="U819" s="11"/>
      <c r="AN819" s="30"/>
    </row>
    <row r="820" spans="14:40">
      <c r="N820" s="11"/>
      <c r="O820" s="11"/>
      <c r="P820" s="11"/>
      <c r="Q820" s="11"/>
      <c r="R820" s="11"/>
      <c r="S820" s="11"/>
      <c r="T820" s="11"/>
      <c r="U820" s="11"/>
      <c r="AN820" s="30"/>
    </row>
    <row r="821" spans="14:40">
      <c r="N821" s="11"/>
      <c r="O821" s="11"/>
      <c r="P821" s="11"/>
      <c r="Q821" s="11"/>
      <c r="R821" s="11"/>
      <c r="S821" s="11"/>
      <c r="T821" s="11"/>
      <c r="U821" s="11"/>
      <c r="AN821" s="30"/>
    </row>
    <row r="822" spans="14:40">
      <c r="N822" s="11"/>
      <c r="O822" s="11"/>
      <c r="P822" s="11"/>
      <c r="Q822" s="11"/>
      <c r="R822" s="11"/>
      <c r="S822" s="11"/>
      <c r="T822" s="11"/>
      <c r="U822" s="11"/>
      <c r="AN822" s="30"/>
    </row>
    <row r="823" spans="14:40">
      <c r="N823" s="11"/>
      <c r="O823" s="11"/>
      <c r="P823" s="11"/>
      <c r="Q823" s="11"/>
      <c r="R823" s="11"/>
      <c r="S823" s="11"/>
      <c r="T823" s="11"/>
      <c r="U823" s="11"/>
      <c r="AN823" s="30"/>
    </row>
    <row r="824" spans="14:40">
      <c r="N824" s="11"/>
      <c r="O824" s="11"/>
      <c r="P824" s="11"/>
      <c r="Q824" s="11"/>
      <c r="R824" s="11"/>
      <c r="S824" s="11"/>
      <c r="T824" s="11"/>
      <c r="U824" s="11"/>
      <c r="AN824" s="30"/>
    </row>
    <row r="825" spans="14:40">
      <c r="N825" s="11"/>
      <c r="O825" s="11"/>
      <c r="P825" s="11"/>
      <c r="Q825" s="11"/>
      <c r="R825" s="11"/>
      <c r="S825" s="11"/>
      <c r="T825" s="11"/>
      <c r="U825" s="11"/>
      <c r="AN825" s="30"/>
    </row>
    <row r="826" spans="14:40">
      <c r="N826" s="11"/>
      <c r="O826" s="11"/>
      <c r="P826" s="11"/>
      <c r="Q826" s="11"/>
      <c r="R826" s="11"/>
      <c r="S826" s="11"/>
      <c r="T826" s="11"/>
      <c r="U826" s="11"/>
      <c r="AN826" s="30"/>
    </row>
    <row r="827" spans="14:40">
      <c r="N827" s="11"/>
      <c r="O827" s="11"/>
      <c r="P827" s="11"/>
      <c r="Q827" s="11"/>
      <c r="R827" s="11"/>
      <c r="S827" s="11"/>
      <c r="T827" s="11"/>
      <c r="U827" s="11"/>
      <c r="AN827" s="30"/>
    </row>
    <row r="828" spans="14:40">
      <c r="N828" s="11"/>
      <c r="O828" s="11"/>
      <c r="P828" s="11"/>
      <c r="Q828" s="11"/>
      <c r="R828" s="11"/>
      <c r="S828" s="11"/>
      <c r="T828" s="11"/>
      <c r="U828" s="11"/>
      <c r="AN828" s="30"/>
    </row>
    <row r="829" spans="14:40">
      <c r="N829" s="11"/>
      <c r="O829" s="11"/>
      <c r="P829" s="11"/>
      <c r="Q829" s="11"/>
      <c r="R829" s="11"/>
      <c r="S829" s="11"/>
      <c r="T829" s="11"/>
      <c r="U829" s="11"/>
      <c r="AN829" s="30"/>
    </row>
    <row r="830" spans="14:40">
      <c r="N830" s="11"/>
      <c r="O830" s="11"/>
      <c r="P830" s="11"/>
      <c r="Q830" s="11"/>
      <c r="R830" s="11"/>
      <c r="S830" s="11"/>
      <c r="T830" s="11"/>
      <c r="U830" s="11"/>
      <c r="AN830" s="30"/>
    </row>
    <row r="831" spans="14:40">
      <c r="N831" s="11"/>
      <c r="O831" s="11"/>
      <c r="P831" s="11"/>
      <c r="Q831" s="11"/>
      <c r="R831" s="11"/>
      <c r="S831" s="11"/>
      <c r="T831" s="11"/>
      <c r="U831" s="11"/>
      <c r="AN831" s="30"/>
    </row>
    <row r="832" spans="14:40">
      <c r="N832" s="11"/>
      <c r="O832" s="11"/>
      <c r="P832" s="11"/>
      <c r="Q832" s="11"/>
      <c r="R832" s="11"/>
      <c r="S832" s="11"/>
      <c r="T832" s="11"/>
      <c r="U832" s="11"/>
      <c r="AN832" s="30"/>
    </row>
    <row r="833" spans="14:40">
      <c r="N833" s="11"/>
      <c r="O833" s="11"/>
      <c r="P833" s="11"/>
      <c r="Q833" s="11"/>
      <c r="R833" s="11"/>
      <c r="S833" s="11"/>
      <c r="T833" s="11"/>
      <c r="U833" s="11"/>
      <c r="AN833" s="30"/>
    </row>
    <row r="834" spans="14:40">
      <c r="N834" s="11"/>
      <c r="O834" s="11"/>
      <c r="P834" s="11"/>
      <c r="Q834" s="11"/>
      <c r="R834" s="11"/>
      <c r="S834" s="11"/>
      <c r="T834" s="11"/>
      <c r="U834" s="11"/>
      <c r="AN834" s="30"/>
    </row>
    <row r="835" spans="14:40">
      <c r="N835" s="11"/>
      <c r="O835" s="11"/>
      <c r="P835" s="11"/>
      <c r="Q835" s="11"/>
      <c r="R835" s="11"/>
      <c r="S835" s="11"/>
      <c r="T835" s="11"/>
      <c r="U835" s="11"/>
      <c r="AN835" s="30"/>
    </row>
    <row r="836" spans="14:40">
      <c r="N836" s="11"/>
      <c r="O836" s="11"/>
      <c r="P836" s="11"/>
      <c r="Q836" s="11"/>
      <c r="R836" s="11"/>
      <c r="S836" s="11"/>
      <c r="T836" s="11"/>
      <c r="U836" s="11"/>
      <c r="AN836" s="30"/>
    </row>
    <row r="837" spans="14:40">
      <c r="N837" s="11"/>
      <c r="O837" s="11"/>
      <c r="P837" s="11"/>
      <c r="Q837" s="11"/>
      <c r="R837" s="11"/>
      <c r="S837" s="11"/>
      <c r="T837" s="11"/>
      <c r="U837" s="11"/>
      <c r="AN837" s="30"/>
    </row>
    <row r="838" spans="14:40">
      <c r="N838" s="11"/>
      <c r="O838" s="11"/>
      <c r="P838" s="11"/>
      <c r="Q838" s="11"/>
      <c r="R838" s="11"/>
      <c r="S838" s="11"/>
      <c r="T838" s="11"/>
      <c r="U838" s="11"/>
      <c r="AN838" s="30"/>
    </row>
    <row r="839" spans="14:40">
      <c r="N839" s="11"/>
      <c r="O839" s="11"/>
      <c r="P839" s="11"/>
      <c r="Q839" s="11"/>
      <c r="R839" s="11"/>
      <c r="S839" s="11"/>
      <c r="T839" s="11"/>
      <c r="U839" s="11"/>
      <c r="AN839" s="30"/>
    </row>
    <row r="840" spans="14:40">
      <c r="N840" s="11"/>
      <c r="O840" s="11"/>
      <c r="P840" s="11"/>
      <c r="Q840" s="11"/>
      <c r="R840" s="11"/>
      <c r="S840" s="11"/>
      <c r="T840" s="11"/>
      <c r="U840" s="11"/>
      <c r="AN840" s="30"/>
    </row>
    <row r="841" spans="14:40">
      <c r="N841" s="11"/>
      <c r="O841" s="11"/>
      <c r="P841" s="11"/>
      <c r="Q841" s="11"/>
      <c r="R841" s="11"/>
      <c r="S841" s="11"/>
      <c r="T841" s="11"/>
      <c r="U841" s="11"/>
      <c r="AN841" s="30"/>
    </row>
    <row r="842" spans="14:40">
      <c r="N842" s="11"/>
      <c r="O842" s="11"/>
      <c r="P842" s="11"/>
      <c r="Q842" s="11"/>
      <c r="R842" s="11"/>
      <c r="S842" s="11"/>
      <c r="T842" s="11"/>
      <c r="U842" s="11"/>
      <c r="AN842" s="30"/>
    </row>
    <row r="843" spans="14:40">
      <c r="N843" s="11"/>
      <c r="O843" s="11"/>
      <c r="P843" s="11"/>
      <c r="Q843" s="11"/>
      <c r="R843" s="11"/>
      <c r="S843" s="11"/>
      <c r="T843" s="11"/>
      <c r="U843" s="11"/>
      <c r="AN843" s="30"/>
    </row>
    <row r="844" spans="14:40">
      <c r="N844" s="11"/>
      <c r="O844" s="11"/>
      <c r="P844" s="11"/>
      <c r="Q844" s="11"/>
      <c r="R844" s="11"/>
      <c r="S844" s="11"/>
      <c r="T844" s="11"/>
      <c r="U844" s="11"/>
      <c r="AN844" s="30"/>
    </row>
    <row r="845" spans="14:40">
      <c r="N845" s="11"/>
      <c r="O845" s="11"/>
      <c r="P845" s="11"/>
      <c r="Q845" s="11"/>
      <c r="R845" s="11"/>
      <c r="S845" s="11"/>
      <c r="T845" s="11"/>
      <c r="U845" s="11"/>
      <c r="AN845" s="30"/>
    </row>
    <row r="846" spans="14:40">
      <c r="N846" s="11"/>
      <c r="O846" s="11"/>
      <c r="P846" s="11"/>
      <c r="Q846" s="11"/>
      <c r="R846" s="11"/>
      <c r="S846" s="11"/>
      <c r="T846" s="11"/>
      <c r="U846" s="11"/>
      <c r="AN846" s="30"/>
    </row>
    <row r="847" spans="14:40">
      <c r="N847" s="11"/>
      <c r="O847" s="11"/>
      <c r="P847" s="11"/>
      <c r="Q847" s="11"/>
      <c r="R847" s="11"/>
      <c r="S847" s="11"/>
      <c r="T847" s="11"/>
      <c r="U847" s="11"/>
      <c r="AN847" s="30"/>
    </row>
    <row r="848" spans="14:40">
      <c r="N848" s="11"/>
      <c r="O848" s="11"/>
      <c r="P848" s="11"/>
      <c r="Q848" s="11"/>
      <c r="R848" s="11"/>
      <c r="S848" s="11"/>
      <c r="T848" s="11"/>
      <c r="U848" s="11"/>
      <c r="AN848" s="30"/>
    </row>
    <row r="849" spans="14:40">
      <c r="N849" s="11"/>
      <c r="O849" s="11"/>
      <c r="P849" s="11"/>
      <c r="Q849" s="11"/>
      <c r="R849" s="11"/>
      <c r="S849" s="11"/>
      <c r="T849" s="11"/>
      <c r="U849" s="11"/>
      <c r="AN849" s="30"/>
    </row>
    <row r="850" spans="14:40">
      <c r="N850" s="11"/>
      <c r="O850" s="11"/>
      <c r="P850" s="11"/>
      <c r="Q850" s="11"/>
      <c r="R850" s="11"/>
      <c r="S850" s="11"/>
      <c r="T850" s="11"/>
      <c r="U850" s="11"/>
      <c r="AN850" s="30"/>
    </row>
    <row r="851" spans="14:40">
      <c r="N851" s="11"/>
      <c r="O851" s="11"/>
      <c r="P851" s="11"/>
      <c r="Q851" s="11"/>
      <c r="R851" s="11"/>
      <c r="S851" s="11"/>
      <c r="T851" s="11"/>
      <c r="U851" s="11"/>
      <c r="AN851" s="30"/>
    </row>
    <row r="852" spans="14:40">
      <c r="N852" s="11"/>
      <c r="O852" s="11"/>
      <c r="P852" s="11"/>
      <c r="Q852" s="11"/>
      <c r="R852" s="11"/>
      <c r="S852" s="11"/>
      <c r="T852" s="11"/>
      <c r="U852" s="11"/>
      <c r="AN852" s="30"/>
    </row>
    <row r="853" spans="14:40">
      <c r="N853" s="11"/>
      <c r="O853" s="11"/>
      <c r="P853" s="11"/>
      <c r="Q853" s="11"/>
      <c r="R853" s="11"/>
      <c r="S853" s="11"/>
      <c r="T853" s="11"/>
      <c r="U853" s="11"/>
      <c r="AN853" s="30"/>
    </row>
    <row r="854" spans="14:40">
      <c r="N854" s="11"/>
      <c r="O854" s="11"/>
      <c r="P854" s="11"/>
      <c r="Q854" s="11"/>
      <c r="R854" s="11"/>
      <c r="S854" s="11"/>
      <c r="T854" s="11"/>
      <c r="U854" s="11"/>
      <c r="AN854" s="30"/>
    </row>
    <row r="855" spans="14:40">
      <c r="N855" s="11"/>
      <c r="O855" s="11"/>
      <c r="P855" s="11"/>
      <c r="Q855" s="11"/>
      <c r="R855" s="11"/>
      <c r="S855" s="11"/>
      <c r="T855" s="11"/>
      <c r="U855" s="11"/>
      <c r="AN855" s="30"/>
    </row>
    <row r="856" spans="14:40">
      <c r="N856" s="11"/>
      <c r="O856" s="11"/>
      <c r="P856" s="11"/>
      <c r="Q856" s="11"/>
      <c r="R856" s="11"/>
      <c r="S856" s="11"/>
      <c r="T856" s="11"/>
      <c r="U856" s="11"/>
      <c r="AN856" s="30"/>
    </row>
    <row r="857" spans="14:40">
      <c r="N857" s="11"/>
      <c r="O857" s="11"/>
      <c r="P857" s="11"/>
      <c r="Q857" s="11"/>
      <c r="R857" s="11"/>
      <c r="S857" s="11"/>
      <c r="T857" s="11"/>
      <c r="U857" s="11"/>
      <c r="AN857" s="30"/>
    </row>
    <row r="858" spans="14:40">
      <c r="N858" s="11"/>
      <c r="O858" s="11"/>
      <c r="P858" s="11"/>
      <c r="Q858" s="11"/>
      <c r="R858" s="11"/>
      <c r="S858" s="11"/>
      <c r="T858" s="11"/>
      <c r="U858" s="11"/>
      <c r="AN858" s="30"/>
    </row>
    <row r="859" spans="14:40">
      <c r="N859" s="11"/>
      <c r="O859" s="11"/>
      <c r="P859" s="11"/>
      <c r="Q859" s="11"/>
      <c r="R859" s="11"/>
      <c r="S859" s="11"/>
      <c r="T859" s="11"/>
      <c r="U859" s="11"/>
      <c r="AN859" s="30"/>
    </row>
    <row r="860" spans="14:40">
      <c r="N860" s="11"/>
      <c r="O860" s="11"/>
      <c r="P860" s="11"/>
      <c r="Q860" s="11"/>
      <c r="R860" s="11"/>
      <c r="S860" s="11"/>
      <c r="T860" s="11"/>
      <c r="U860" s="11"/>
      <c r="AN860" s="30"/>
    </row>
    <row r="861" spans="14:40">
      <c r="N861" s="11"/>
      <c r="O861" s="11"/>
      <c r="P861" s="11"/>
      <c r="Q861" s="11"/>
      <c r="R861" s="11"/>
      <c r="S861" s="11"/>
      <c r="T861" s="11"/>
      <c r="U861" s="11"/>
      <c r="AN861" s="30"/>
    </row>
    <row r="862" spans="14:40">
      <c r="N862" s="11"/>
      <c r="O862" s="11"/>
      <c r="P862" s="11"/>
      <c r="Q862" s="11"/>
      <c r="R862" s="11"/>
      <c r="S862" s="11"/>
      <c r="T862" s="11"/>
      <c r="U862" s="11"/>
      <c r="AN862" s="30"/>
    </row>
    <row r="863" spans="14:40">
      <c r="N863" s="11"/>
      <c r="O863" s="11"/>
      <c r="P863" s="11"/>
      <c r="Q863" s="11"/>
      <c r="R863" s="11"/>
      <c r="S863" s="11"/>
      <c r="T863" s="11"/>
      <c r="U863" s="11"/>
      <c r="AN863" s="30"/>
    </row>
    <row r="864" spans="14:40">
      <c r="N864" s="11"/>
      <c r="O864" s="11"/>
      <c r="P864" s="11"/>
      <c r="Q864" s="11"/>
      <c r="R864" s="11"/>
      <c r="S864" s="11"/>
      <c r="T864" s="11"/>
      <c r="U864" s="11"/>
      <c r="AN864" s="30"/>
    </row>
    <row r="865" spans="14:40">
      <c r="N865" s="11"/>
      <c r="O865" s="11"/>
      <c r="P865" s="11"/>
      <c r="Q865" s="11"/>
      <c r="R865" s="11"/>
      <c r="S865" s="11"/>
      <c r="T865" s="11"/>
      <c r="U865" s="11"/>
      <c r="AN865" s="30"/>
    </row>
    <row r="866" spans="14:40">
      <c r="N866" s="11"/>
      <c r="O866" s="11"/>
      <c r="P866" s="11"/>
      <c r="Q866" s="11"/>
      <c r="R866" s="11"/>
      <c r="S866" s="11"/>
      <c r="T866" s="11"/>
      <c r="U866" s="11"/>
      <c r="AN866" s="30"/>
    </row>
    <row r="867" spans="14:40">
      <c r="N867" s="11"/>
      <c r="O867" s="11"/>
      <c r="P867" s="11"/>
      <c r="Q867" s="11"/>
      <c r="R867" s="11"/>
      <c r="S867" s="11"/>
      <c r="T867" s="11"/>
      <c r="U867" s="11"/>
      <c r="AN867" s="30"/>
    </row>
    <row r="868" spans="14:40">
      <c r="N868" s="11"/>
      <c r="O868" s="11"/>
      <c r="P868" s="11"/>
      <c r="Q868" s="11"/>
      <c r="R868" s="11"/>
      <c r="S868" s="11"/>
      <c r="T868" s="11"/>
      <c r="U868" s="11"/>
      <c r="AN868" s="30"/>
    </row>
    <row r="869" spans="14:40">
      <c r="N869" s="11"/>
      <c r="O869" s="11"/>
      <c r="P869" s="11"/>
      <c r="Q869" s="11"/>
      <c r="R869" s="11"/>
      <c r="S869" s="11"/>
      <c r="T869" s="11"/>
      <c r="U869" s="11"/>
      <c r="AN869" s="30"/>
    </row>
    <row r="870" spans="14:40">
      <c r="N870" s="11"/>
      <c r="O870" s="11"/>
      <c r="P870" s="11"/>
      <c r="Q870" s="11"/>
      <c r="R870" s="11"/>
      <c r="S870" s="11"/>
      <c r="T870" s="11"/>
      <c r="U870" s="11"/>
      <c r="AN870" s="30"/>
    </row>
    <row r="871" spans="14:40">
      <c r="N871" s="11"/>
      <c r="O871" s="11"/>
      <c r="P871" s="11"/>
      <c r="Q871" s="11"/>
      <c r="R871" s="11"/>
      <c r="S871" s="11"/>
      <c r="T871" s="11"/>
      <c r="U871" s="11"/>
      <c r="AN871" s="30"/>
    </row>
    <row r="872" spans="14:40">
      <c r="N872" s="11"/>
      <c r="O872" s="11"/>
      <c r="P872" s="11"/>
      <c r="Q872" s="11"/>
      <c r="R872" s="11"/>
      <c r="S872" s="11"/>
      <c r="T872" s="11"/>
      <c r="U872" s="11"/>
      <c r="AN872" s="30"/>
    </row>
    <row r="873" spans="14:40">
      <c r="N873" s="11"/>
      <c r="O873" s="11"/>
      <c r="P873" s="11"/>
      <c r="Q873" s="11"/>
      <c r="R873" s="11"/>
      <c r="S873" s="11"/>
      <c r="T873" s="11"/>
      <c r="U873" s="11"/>
      <c r="AN873" s="30"/>
    </row>
    <row r="874" spans="14:40">
      <c r="N874" s="11"/>
      <c r="O874" s="11"/>
      <c r="P874" s="11"/>
      <c r="Q874" s="11"/>
      <c r="R874" s="11"/>
      <c r="S874" s="11"/>
      <c r="T874" s="11"/>
      <c r="U874" s="11"/>
      <c r="AN874" s="30"/>
    </row>
    <row r="875" spans="14:40">
      <c r="N875" s="11"/>
      <c r="O875" s="11"/>
      <c r="P875" s="11"/>
      <c r="Q875" s="11"/>
      <c r="R875" s="11"/>
      <c r="S875" s="11"/>
      <c r="T875" s="11"/>
      <c r="U875" s="11"/>
      <c r="AN875" s="30"/>
    </row>
    <row r="876" spans="14:40">
      <c r="N876" s="11"/>
      <c r="O876" s="11"/>
      <c r="P876" s="11"/>
      <c r="Q876" s="11"/>
      <c r="R876" s="11"/>
      <c r="S876" s="11"/>
      <c r="T876" s="11"/>
      <c r="U876" s="11"/>
      <c r="AN876" s="30"/>
    </row>
    <row r="877" spans="14:40">
      <c r="N877" s="11"/>
      <c r="O877" s="11"/>
      <c r="P877" s="11"/>
      <c r="Q877" s="11"/>
      <c r="R877" s="11"/>
      <c r="S877" s="11"/>
      <c r="T877" s="11"/>
      <c r="U877" s="11"/>
      <c r="AN877" s="30"/>
    </row>
    <row r="878" spans="14:40">
      <c r="N878" s="11"/>
      <c r="O878" s="11"/>
      <c r="P878" s="11"/>
      <c r="Q878" s="11"/>
      <c r="R878" s="11"/>
      <c r="S878" s="11"/>
      <c r="T878" s="11"/>
      <c r="U878" s="11"/>
      <c r="AN878" s="30"/>
    </row>
    <row r="879" spans="14:40">
      <c r="N879" s="11"/>
      <c r="O879" s="11"/>
      <c r="P879" s="11"/>
      <c r="Q879" s="11"/>
      <c r="R879" s="11"/>
      <c r="S879" s="11"/>
      <c r="T879" s="11"/>
      <c r="U879" s="11"/>
      <c r="AN879" s="30"/>
    </row>
    <row r="880" spans="14:40">
      <c r="N880" s="11"/>
      <c r="O880" s="11"/>
      <c r="P880" s="11"/>
      <c r="Q880" s="11"/>
      <c r="R880" s="11"/>
      <c r="S880" s="11"/>
      <c r="T880" s="11"/>
      <c r="U880" s="11"/>
      <c r="AN880" s="30"/>
    </row>
    <row r="881" spans="14:40">
      <c r="N881" s="11"/>
      <c r="O881" s="11"/>
      <c r="P881" s="11"/>
      <c r="Q881" s="11"/>
      <c r="R881" s="11"/>
      <c r="S881" s="11"/>
      <c r="T881" s="11"/>
      <c r="U881" s="11"/>
      <c r="AN881" s="30"/>
    </row>
    <row r="882" spans="14:40">
      <c r="N882" s="11"/>
      <c r="O882" s="11"/>
      <c r="P882" s="11"/>
      <c r="Q882" s="11"/>
      <c r="R882" s="11"/>
      <c r="S882" s="11"/>
      <c r="T882" s="11"/>
      <c r="U882" s="11"/>
      <c r="AN882" s="30"/>
    </row>
    <row r="883" spans="14:40">
      <c r="N883" s="11"/>
      <c r="O883" s="11"/>
      <c r="P883" s="11"/>
      <c r="Q883" s="11"/>
      <c r="R883" s="11"/>
      <c r="S883" s="11"/>
      <c r="T883" s="11"/>
      <c r="U883" s="11"/>
      <c r="AN883" s="30"/>
    </row>
    <row r="884" spans="14:40">
      <c r="N884" s="11"/>
      <c r="O884" s="11"/>
      <c r="P884" s="11"/>
      <c r="Q884" s="11"/>
      <c r="R884" s="11"/>
      <c r="S884" s="11"/>
      <c r="T884" s="11"/>
      <c r="U884" s="11"/>
      <c r="AN884" s="30"/>
    </row>
    <row r="885" spans="14:40">
      <c r="N885" s="11"/>
      <c r="O885" s="11"/>
      <c r="P885" s="11"/>
      <c r="Q885" s="11"/>
      <c r="R885" s="11"/>
      <c r="S885" s="11"/>
      <c r="T885" s="11"/>
      <c r="U885" s="11"/>
      <c r="AN885" s="30"/>
    </row>
    <row r="886" spans="14:40">
      <c r="N886" s="11"/>
      <c r="O886" s="11"/>
      <c r="P886" s="11"/>
      <c r="Q886" s="11"/>
      <c r="R886" s="11"/>
      <c r="S886" s="11"/>
      <c r="T886" s="11"/>
      <c r="U886" s="11"/>
      <c r="AN886" s="30"/>
    </row>
    <row r="887" spans="14:40">
      <c r="N887" s="11"/>
      <c r="O887" s="11"/>
      <c r="P887" s="11"/>
      <c r="Q887" s="11"/>
      <c r="R887" s="11"/>
      <c r="S887" s="11"/>
      <c r="T887" s="11"/>
      <c r="U887" s="11"/>
      <c r="AN887" s="30"/>
    </row>
    <row r="888" spans="14:40">
      <c r="N888" s="11"/>
      <c r="O888" s="11"/>
      <c r="P888" s="11"/>
      <c r="Q888" s="11"/>
      <c r="R888" s="11"/>
      <c r="S888" s="11"/>
      <c r="T888" s="11"/>
      <c r="U888" s="11"/>
      <c r="AN888" s="30"/>
    </row>
    <row r="889" spans="14:40">
      <c r="N889" s="11"/>
      <c r="O889" s="11"/>
      <c r="P889" s="11"/>
      <c r="Q889" s="11"/>
      <c r="R889" s="11"/>
      <c r="S889" s="11"/>
      <c r="T889" s="11"/>
      <c r="U889" s="11"/>
      <c r="AN889" s="30"/>
    </row>
    <row r="890" spans="14:40">
      <c r="N890" s="11"/>
      <c r="O890" s="11"/>
      <c r="P890" s="11"/>
      <c r="Q890" s="11"/>
      <c r="R890" s="11"/>
      <c r="S890" s="11"/>
      <c r="T890" s="11"/>
      <c r="U890" s="11"/>
      <c r="AN890" s="30"/>
    </row>
    <row r="891" spans="14:40">
      <c r="N891" s="11"/>
      <c r="O891" s="11"/>
      <c r="P891" s="11"/>
      <c r="Q891" s="11"/>
      <c r="R891" s="11"/>
      <c r="S891" s="11"/>
      <c r="T891" s="11"/>
      <c r="U891" s="11"/>
      <c r="AN891" s="30"/>
    </row>
    <row r="892" spans="14:40">
      <c r="N892" s="11"/>
      <c r="O892" s="11"/>
      <c r="P892" s="11"/>
      <c r="Q892" s="11"/>
      <c r="R892" s="11"/>
      <c r="S892" s="11"/>
      <c r="T892" s="11"/>
      <c r="U892" s="11"/>
      <c r="AN892" s="30"/>
    </row>
    <row r="893" spans="14:40">
      <c r="N893" s="11"/>
      <c r="O893" s="11"/>
      <c r="P893" s="11"/>
      <c r="Q893" s="11"/>
      <c r="R893" s="11"/>
      <c r="S893" s="11"/>
      <c r="T893" s="11"/>
      <c r="U893" s="11"/>
      <c r="AN893" s="30"/>
    </row>
    <row r="894" spans="14:40">
      <c r="N894" s="11"/>
      <c r="O894" s="11"/>
      <c r="P894" s="11"/>
      <c r="Q894" s="11"/>
      <c r="R894" s="11"/>
      <c r="S894" s="11"/>
      <c r="T894" s="11"/>
      <c r="U894" s="11"/>
      <c r="AN894" s="30"/>
    </row>
    <row r="895" spans="14:40">
      <c r="N895" s="11"/>
      <c r="O895" s="11"/>
      <c r="P895" s="11"/>
      <c r="Q895" s="11"/>
      <c r="R895" s="11"/>
      <c r="S895" s="11"/>
      <c r="T895" s="11"/>
      <c r="U895" s="11"/>
      <c r="AN895" s="30"/>
    </row>
    <row r="896" spans="14:40">
      <c r="N896" s="11"/>
      <c r="O896" s="11"/>
      <c r="P896" s="11"/>
      <c r="Q896" s="11"/>
      <c r="R896" s="11"/>
      <c r="S896" s="11"/>
      <c r="T896" s="11"/>
      <c r="U896" s="11"/>
      <c r="AN896" s="30"/>
    </row>
    <row r="897" spans="14:40">
      <c r="N897" s="11"/>
      <c r="O897" s="11"/>
      <c r="P897" s="11"/>
      <c r="Q897" s="11"/>
      <c r="R897" s="11"/>
      <c r="S897" s="11"/>
      <c r="T897" s="11"/>
      <c r="U897" s="11"/>
      <c r="AN897" s="30"/>
    </row>
    <row r="898" spans="14:40">
      <c r="N898" s="11"/>
      <c r="O898" s="11"/>
      <c r="P898" s="11"/>
      <c r="Q898" s="11"/>
      <c r="R898" s="11"/>
      <c r="S898" s="11"/>
      <c r="T898" s="11"/>
      <c r="U898" s="11"/>
      <c r="AN898" s="30"/>
    </row>
    <row r="899" spans="14:40">
      <c r="N899" s="11"/>
      <c r="O899" s="11"/>
      <c r="P899" s="11"/>
      <c r="Q899" s="11"/>
      <c r="R899" s="11"/>
      <c r="S899" s="11"/>
      <c r="T899" s="11"/>
      <c r="U899" s="11"/>
      <c r="AN899" s="30"/>
    </row>
    <row r="900" spans="14:40">
      <c r="N900" s="11"/>
      <c r="O900" s="11"/>
      <c r="P900" s="11"/>
      <c r="Q900" s="11"/>
      <c r="R900" s="11"/>
      <c r="S900" s="11"/>
      <c r="T900" s="11"/>
      <c r="U900" s="11"/>
      <c r="AN900" s="30"/>
    </row>
    <row r="901" spans="14:40">
      <c r="N901" s="11"/>
      <c r="O901" s="11"/>
      <c r="P901" s="11"/>
      <c r="Q901" s="11"/>
      <c r="R901" s="11"/>
      <c r="S901" s="11"/>
      <c r="T901" s="11"/>
      <c r="U901" s="11"/>
      <c r="AN901" s="30"/>
    </row>
    <row r="902" spans="14:40">
      <c r="N902" s="11"/>
      <c r="O902" s="11"/>
      <c r="P902" s="11"/>
      <c r="Q902" s="11"/>
      <c r="R902" s="11"/>
      <c r="S902" s="11"/>
      <c r="T902" s="11"/>
      <c r="U902" s="11"/>
      <c r="AN902" s="30"/>
    </row>
    <row r="903" spans="14:40">
      <c r="N903" s="11"/>
      <c r="O903" s="11"/>
      <c r="P903" s="11"/>
      <c r="Q903" s="11"/>
      <c r="R903" s="11"/>
      <c r="S903" s="11"/>
      <c r="T903" s="11"/>
      <c r="U903" s="11"/>
      <c r="AN903" s="30"/>
    </row>
    <row r="904" spans="14:40">
      <c r="N904" s="11"/>
      <c r="O904" s="11"/>
      <c r="P904" s="11"/>
      <c r="Q904" s="11"/>
      <c r="R904" s="11"/>
      <c r="S904" s="11"/>
      <c r="T904" s="11"/>
      <c r="U904" s="11"/>
      <c r="AN904" s="30"/>
    </row>
    <row r="905" spans="14:40">
      <c r="N905" s="11"/>
      <c r="O905" s="11"/>
      <c r="P905" s="11"/>
      <c r="Q905" s="11"/>
      <c r="R905" s="11"/>
      <c r="S905" s="11"/>
      <c r="T905" s="11"/>
      <c r="U905" s="11"/>
      <c r="AN905" s="30"/>
    </row>
    <row r="906" spans="14:40">
      <c r="N906" s="11"/>
      <c r="O906" s="11"/>
      <c r="P906" s="11"/>
      <c r="Q906" s="11"/>
      <c r="R906" s="11"/>
      <c r="S906" s="11"/>
      <c r="T906" s="11"/>
      <c r="U906" s="11"/>
      <c r="AN906" s="30"/>
    </row>
    <row r="907" spans="14:40">
      <c r="N907" s="11"/>
      <c r="O907" s="11"/>
      <c r="P907" s="11"/>
      <c r="Q907" s="11"/>
      <c r="R907" s="11"/>
      <c r="S907" s="11"/>
      <c r="T907" s="11"/>
      <c r="U907" s="11"/>
      <c r="AN907" s="30"/>
    </row>
    <row r="908" spans="14:40">
      <c r="N908" s="11"/>
      <c r="O908" s="11"/>
      <c r="P908" s="11"/>
      <c r="Q908" s="11"/>
      <c r="R908" s="11"/>
      <c r="S908" s="11"/>
      <c r="T908" s="11"/>
      <c r="U908" s="11"/>
      <c r="AN908" s="30"/>
    </row>
    <row r="909" spans="14:40">
      <c r="N909" s="11"/>
      <c r="O909" s="11"/>
      <c r="P909" s="11"/>
      <c r="Q909" s="11"/>
      <c r="R909" s="11"/>
      <c r="S909" s="11"/>
      <c r="T909" s="11"/>
      <c r="U909" s="11"/>
      <c r="AN909" s="30"/>
    </row>
    <row r="910" spans="14:40">
      <c r="N910" s="11"/>
      <c r="O910" s="11"/>
      <c r="P910" s="11"/>
      <c r="Q910" s="11"/>
      <c r="R910" s="11"/>
      <c r="S910" s="11"/>
      <c r="T910" s="11"/>
      <c r="U910" s="11"/>
      <c r="AN910" s="30"/>
    </row>
    <row r="911" spans="14:40">
      <c r="N911" s="11"/>
      <c r="O911" s="11"/>
      <c r="P911" s="11"/>
      <c r="Q911" s="11"/>
      <c r="R911" s="11"/>
      <c r="S911" s="11"/>
      <c r="T911" s="11"/>
      <c r="U911" s="11"/>
      <c r="AN911" s="30"/>
    </row>
    <row r="912" spans="14:40">
      <c r="N912" s="11"/>
      <c r="O912" s="11"/>
      <c r="P912" s="11"/>
      <c r="Q912" s="11"/>
      <c r="R912" s="11"/>
      <c r="S912" s="11"/>
      <c r="T912" s="11"/>
      <c r="U912" s="11"/>
      <c r="AN912" s="30"/>
    </row>
    <row r="913" spans="14:40">
      <c r="N913" s="11"/>
      <c r="O913" s="11"/>
      <c r="P913" s="11"/>
      <c r="Q913" s="11"/>
      <c r="R913" s="11"/>
      <c r="S913" s="11"/>
      <c r="T913" s="11"/>
      <c r="U913" s="11"/>
      <c r="AN913" s="30"/>
    </row>
    <row r="914" spans="14:40">
      <c r="N914" s="11"/>
      <c r="O914" s="11"/>
      <c r="P914" s="11"/>
      <c r="Q914" s="11"/>
      <c r="R914" s="11"/>
      <c r="S914" s="11"/>
      <c r="T914" s="11"/>
      <c r="U914" s="11"/>
      <c r="AN914" s="30"/>
    </row>
    <row r="915" spans="14:40">
      <c r="N915" s="11"/>
      <c r="O915" s="11"/>
      <c r="P915" s="11"/>
      <c r="Q915" s="11"/>
      <c r="R915" s="11"/>
      <c r="S915" s="11"/>
      <c r="T915" s="11"/>
      <c r="U915" s="11"/>
      <c r="AN915" s="30"/>
    </row>
    <row r="916" spans="14:40">
      <c r="N916" s="11"/>
      <c r="O916" s="11"/>
      <c r="P916" s="11"/>
      <c r="Q916" s="11"/>
      <c r="R916" s="11"/>
      <c r="S916" s="11"/>
      <c r="T916" s="11"/>
      <c r="U916" s="11"/>
      <c r="AN916" s="30"/>
    </row>
    <row r="917" spans="14:40">
      <c r="N917" s="11"/>
      <c r="O917" s="11"/>
      <c r="P917" s="11"/>
      <c r="Q917" s="11"/>
      <c r="R917" s="11"/>
      <c r="S917" s="11"/>
      <c r="T917" s="11"/>
      <c r="U917" s="11"/>
      <c r="AN917" s="30"/>
    </row>
    <row r="918" spans="14:40">
      <c r="N918" s="11"/>
      <c r="O918" s="11"/>
      <c r="P918" s="11"/>
      <c r="Q918" s="11"/>
      <c r="R918" s="11"/>
      <c r="S918" s="11"/>
      <c r="T918" s="11"/>
      <c r="U918" s="11"/>
      <c r="AN918" s="30"/>
    </row>
    <row r="919" spans="14:40">
      <c r="N919" s="11"/>
      <c r="O919" s="11"/>
      <c r="P919" s="11"/>
      <c r="Q919" s="11"/>
      <c r="R919" s="11"/>
      <c r="S919" s="11"/>
      <c r="T919" s="11"/>
      <c r="U919" s="11"/>
      <c r="AN919" s="30"/>
    </row>
    <row r="920" spans="14:40">
      <c r="N920" s="11"/>
      <c r="O920" s="11"/>
      <c r="P920" s="11"/>
      <c r="Q920" s="11"/>
      <c r="R920" s="11"/>
      <c r="S920" s="11"/>
      <c r="T920" s="11"/>
      <c r="U920" s="11"/>
      <c r="AN920" s="30"/>
    </row>
    <row r="921" spans="14:40">
      <c r="N921" s="11"/>
      <c r="O921" s="11"/>
      <c r="P921" s="11"/>
      <c r="Q921" s="11"/>
      <c r="R921" s="11"/>
      <c r="S921" s="11"/>
      <c r="T921" s="11"/>
      <c r="U921" s="11"/>
      <c r="AN921" s="30"/>
    </row>
    <row r="922" spans="14:40">
      <c r="N922" s="11"/>
      <c r="O922" s="11"/>
      <c r="P922" s="11"/>
      <c r="Q922" s="11"/>
      <c r="R922" s="11"/>
      <c r="S922" s="11"/>
      <c r="T922" s="11"/>
      <c r="U922" s="11"/>
      <c r="AN922" s="30"/>
    </row>
    <row r="923" spans="14:40">
      <c r="N923" s="11"/>
      <c r="O923" s="11"/>
      <c r="P923" s="11"/>
      <c r="Q923" s="11"/>
      <c r="R923" s="11"/>
      <c r="S923" s="11"/>
      <c r="T923" s="11"/>
      <c r="U923" s="11"/>
      <c r="AN923" s="30"/>
    </row>
    <row r="924" spans="14:40">
      <c r="N924" s="11"/>
      <c r="O924" s="11"/>
      <c r="P924" s="11"/>
      <c r="Q924" s="11"/>
      <c r="R924" s="11"/>
      <c r="S924" s="11"/>
      <c r="T924" s="11"/>
      <c r="U924" s="11"/>
      <c r="AN924" s="30"/>
    </row>
    <row r="925" spans="14:40">
      <c r="N925" s="11"/>
      <c r="O925" s="11"/>
      <c r="P925" s="11"/>
      <c r="Q925" s="11"/>
      <c r="R925" s="11"/>
      <c r="S925" s="11"/>
      <c r="T925" s="11"/>
      <c r="U925" s="11"/>
      <c r="AN925" s="30"/>
    </row>
    <row r="926" spans="14:40">
      <c r="N926" s="11"/>
      <c r="O926" s="11"/>
      <c r="P926" s="11"/>
      <c r="Q926" s="11"/>
      <c r="R926" s="11"/>
      <c r="S926" s="11"/>
      <c r="T926" s="11"/>
      <c r="U926" s="11"/>
      <c r="AN926" s="30"/>
    </row>
    <row r="927" spans="14:40">
      <c r="N927" s="11"/>
      <c r="O927" s="11"/>
      <c r="P927" s="11"/>
      <c r="Q927" s="11"/>
      <c r="R927" s="11"/>
      <c r="S927" s="11"/>
      <c r="T927" s="11"/>
      <c r="U927" s="11"/>
      <c r="AN927" s="30"/>
    </row>
    <row r="928" spans="14:40">
      <c r="N928" s="11"/>
      <c r="O928" s="11"/>
      <c r="P928" s="11"/>
      <c r="Q928" s="11"/>
      <c r="R928" s="11"/>
      <c r="S928" s="11"/>
      <c r="T928" s="11"/>
      <c r="U928" s="11"/>
      <c r="AN928" s="30"/>
    </row>
    <row r="929" spans="14:40">
      <c r="N929" s="11"/>
      <c r="O929" s="11"/>
      <c r="P929" s="11"/>
      <c r="Q929" s="11"/>
      <c r="R929" s="11"/>
      <c r="S929" s="11"/>
      <c r="T929" s="11"/>
      <c r="U929" s="11"/>
      <c r="AN929" s="30"/>
    </row>
    <row r="930" spans="14:40">
      <c r="N930" s="11"/>
      <c r="O930" s="11"/>
      <c r="P930" s="11"/>
      <c r="Q930" s="11"/>
      <c r="R930" s="11"/>
      <c r="S930" s="11"/>
      <c r="T930" s="11"/>
      <c r="U930" s="11"/>
      <c r="AN930" s="30"/>
    </row>
    <row r="931" spans="14:40">
      <c r="N931" s="11"/>
      <c r="O931" s="11"/>
      <c r="P931" s="11"/>
      <c r="Q931" s="11"/>
      <c r="R931" s="11"/>
      <c r="S931" s="11"/>
      <c r="T931" s="11"/>
      <c r="U931" s="11"/>
      <c r="AN931" s="30"/>
    </row>
    <row r="932" spans="14:40">
      <c r="N932" s="11"/>
      <c r="O932" s="11"/>
      <c r="P932" s="11"/>
      <c r="Q932" s="11"/>
      <c r="R932" s="11"/>
      <c r="S932" s="11"/>
      <c r="T932" s="11"/>
      <c r="U932" s="11"/>
      <c r="AN932" s="30"/>
    </row>
    <row r="933" spans="14:40">
      <c r="N933" s="11"/>
      <c r="O933" s="11"/>
      <c r="P933" s="11"/>
      <c r="Q933" s="11"/>
      <c r="R933" s="11"/>
      <c r="S933" s="11"/>
      <c r="T933" s="11"/>
      <c r="U933" s="11"/>
      <c r="AN933" s="30"/>
    </row>
    <row r="934" spans="14:40">
      <c r="N934" s="11"/>
      <c r="O934" s="11"/>
      <c r="P934" s="11"/>
      <c r="Q934" s="11"/>
      <c r="R934" s="11"/>
      <c r="S934" s="11"/>
      <c r="T934" s="11"/>
      <c r="U934" s="11"/>
      <c r="AN934" s="30"/>
    </row>
    <row r="935" spans="14:40">
      <c r="N935" s="11"/>
      <c r="O935" s="11"/>
      <c r="P935" s="11"/>
      <c r="Q935" s="11"/>
      <c r="R935" s="11"/>
      <c r="S935" s="11"/>
      <c r="T935" s="11"/>
      <c r="U935" s="11"/>
      <c r="AN935" s="30"/>
    </row>
    <row r="936" spans="14:40">
      <c r="N936" s="11"/>
      <c r="O936" s="11"/>
      <c r="P936" s="11"/>
      <c r="Q936" s="11"/>
      <c r="R936" s="11"/>
      <c r="S936" s="11"/>
      <c r="T936" s="11"/>
      <c r="U936" s="11"/>
      <c r="AN936" s="30"/>
    </row>
    <row r="937" spans="14:40">
      <c r="N937" s="11"/>
      <c r="O937" s="11"/>
      <c r="P937" s="11"/>
      <c r="Q937" s="11"/>
      <c r="R937" s="11"/>
      <c r="S937" s="11"/>
      <c r="T937" s="11"/>
      <c r="U937" s="11"/>
      <c r="AN937" s="30"/>
    </row>
    <row r="938" spans="14:40">
      <c r="N938" s="11"/>
      <c r="O938" s="11"/>
      <c r="P938" s="11"/>
      <c r="Q938" s="11"/>
      <c r="R938" s="11"/>
      <c r="S938" s="11"/>
      <c r="T938" s="11"/>
      <c r="U938" s="11"/>
      <c r="AN938" s="30"/>
    </row>
    <row r="939" spans="14:40">
      <c r="N939" s="11"/>
      <c r="O939" s="11"/>
      <c r="P939" s="11"/>
      <c r="Q939" s="11"/>
      <c r="R939" s="11"/>
      <c r="S939" s="11"/>
      <c r="T939" s="11"/>
      <c r="U939" s="11"/>
      <c r="AN939" s="30"/>
    </row>
    <row r="940" spans="14:40">
      <c r="N940" s="11"/>
      <c r="O940" s="11"/>
      <c r="P940" s="11"/>
      <c r="Q940" s="11"/>
      <c r="R940" s="11"/>
      <c r="S940" s="11"/>
      <c r="T940" s="11"/>
      <c r="U940" s="11"/>
      <c r="AN940" s="30"/>
    </row>
    <row r="941" spans="14:40">
      <c r="N941" s="11"/>
      <c r="O941" s="11"/>
      <c r="P941" s="11"/>
      <c r="Q941" s="11"/>
      <c r="R941" s="11"/>
      <c r="S941" s="11"/>
      <c r="T941" s="11"/>
      <c r="U941" s="11"/>
      <c r="AN941" s="30"/>
    </row>
    <row r="942" spans="14:40">
      <c r="N942" s="11"/>
      <c r="O942" s="11"/>
      <c r="P942" s="11"/>
      <c r="Q942" s="11"/>
      <c r="R942" s="11"/>
      <c r="S942" s="11"/>
      <c r="T942" s="11"/>
      <c r="U942" s="11"/>
      <c r="AN942" s="30"/>
    </row>
    <row r="943" spans="14:40">
      <c r="N943" s="11"/>
      <c r="O943" s="11"/>
      <c r="P943" s="11"/>
      <c r="Q943" s="11"/>
      <c r="R943" s="11"/>
      <c r="S943" s="11"/>
      <c r="T943" s="11"/>
      <c r="U943" s="11"/>
      <c r="AN943" s="30"/>
    </row>
    <row r="944" spans="14:40">
      <c r="N944" s="11"/>
      <c r="O944" s="11"/>
      <c r="P944" s="11"/>
      <c r="Q944" s="11"/>
      <c r="R944" s="11"/>
      <c r="S944" s="11"/>
      <c r="T944" s="11"/>
      <c r="U944" s="11"/>
      <c r="AN944" s="30"/>
    </row>
    <row r="945" spans="14:40">
      <c r="N945" s="11"/>
      <c r="O945" s="11"/>
      <c r="P945" s="11"/>
      <c r="Q945" s="11"/>
      <c r="R945" s="11"/>
      <c r="S945" s="11"/>
      <c r="T945" s="11"/>
      <c r="U945" s="11"/>
      <c r="AN945" s="30"/>
    </row>
    <row r="946" spans="14:40">
      <c r="N946" s="11"/>
      <c r="O946" s="11"/>
      <c r="P946" s="11"/>
      <c r="Q946" s="11"/>
      <c r="R946" s="11"/>
      <c r="S946" s="11"/>
      <c r="T946" s="11"/>
      <c r="U946" s="11"/>
      <c r="AN946" s="30"/>
    </row>
    <row r="947" spans="14:40">
      <c r="N947" s="11"/>
      <c r="O947" s="11"/>
      <c r="P947" s="11"/>
      <c r="Q947" s="11"/>
      <c r="R947" s="11"/>
      <c r="S947" s="11"/>
      <c r="T947" s="11"/>
      <c r="U947" s="11"/>
      <c r="AN947" s="30"/>
    </row>
    <row r="948" spans="14:40">
      <c r="N948" s="11"/>
      <c r="O948" s="11"/>
      <c r="P948" s="11"/>
      <c r="Q948" s="11"/>
      <c r="R948" s="11"/>
      <c r="S948" s="11"/>
      <c r="T948" s="11"/>
      <c r="U948" s="11"/>
      <c r="AN948" s="30"/>
    </row>
    <row r="949" spans="14:40">
      <c r="N949" s="11"/>
      <c r="O949" s="11"/>
      <c r="P949" s="11"/>
      <c r="Q949" s="11"/>
      <c r="R949" s="11"/>
      <c r="S949" s="11"/>
      <c r="T949" s="11"/>
      <c r="U949" s="11"/>
      <c r="AN949" s="30"/>
    </row>
    <row r="950" spans="14:40">
      <c r="N950" s="11"/>
      <c r="O950" s="11"/>
      <c r="P950" s="11"/>
      <c r="Q950" s="11"/>
      <c r="R950" s="11"/>
      <c r="S950" s="11"/>
      <c r="T950" s="11"/>
      <c r="U950" s="11"/>
      <c r="AN950" s="30"/>
    </row>
    <row r="951" spans="14:40">
      <c r="N951" s="11"/>
      <c r="O951" s="11"/>
      <c r="P951" s="11"/>
      <c r="Q951" s="11"/>
      <c r="R951" s="11"/>
      <c r="S951" s="11"/>
      <c r="T951" s="11"/>
      <c r="U951" s="11"/>
      <c r="AN951" s="30"/>
    </row>
    <row r="952" spans="14:40">
      <c r="N952" s="11"/>
      <c r="O952" s="11"/>
      <c r="P952" s="11"/>
      <c r="Q952" s="11"/>
      <c r="R952" s="11"/>
      <c r="S952" s="11"/>
      <c r="T952" s="11"/>
      <c r="U952" s="11"/>
      <c r="AN952" s="30"/>
    </row>
    <row r="953" spans="14:40">
      <c r="N953" s="11"/>
      <c r="O953" s="11"/>
      <c r="P953" s="11"/>
      <c r="Q953" s="11"/>
      <c r="R953" s="11"/>
      <c r="S953" s="11"/>
      <c r="T953" s="11"/>
      <c r="U953" s="11"/>
      <c r="AN953" s="30"/>
    </row>
    <row r="954" spans="14:40">
      <c r="N954" s="11"/>
      <c r="O954" s="11"/>
      <c r="P954" s="11"/>
      <c r="Q954" s="11"/>
      <c r="R954" s="11"/>
      <c r="S954" s="11"/>
      <c r="T954" s="11"/>
      <c r="U954" s="11"/>
      <c r="AN954" s="30"/>
    </row>
    <row r="955" spans="14:40">
      <c r="N955" s="11"/>
      <c r="O955" s="11"/>
      <c r="P955" s="11"/>
      <c r="Q955" s="11"/>
      <c r="R955" s="11"/>
      <c r="S955" s="11"/>
      <c r="T955" s="11"/>
      <c r="U955" s="11"/>
      <c r="AN955" s="30"/>
    </row>
    <row r="956" spans="14:40">
      <c r="N956" s="11"/>
      <c r="O956" s="11"/>
      <c r="P956" s="11"/>
      <c r="Q956" s="11"/>
      <c r="R956" s="11"/>
      <c r="S956" s="11"/>
      <c r="T956" s="11"/>
      <c r="U956" s="11"/>
      <c r="AN956" s="30"/>
    </row>
    <row r="957" spans="14:40">
      <c r="N957" s="11"/>
      <c r="O957" s="11"/>
      <c r="P957" s="11"/>
      <c r="Q957" s="11"/>
      <c r="R957" s="11"/>
      <c r="S957" s="11"/>
      <c r="T957" s="11"/>
      <c r="U957" s="11"/>
      <c r="AN957" s="30"/>
    </row>
    <row r="958" spans="14:40">
      <c r="N958" s="11"/>
      <c r="O958" s="11"/>
      <c r="P958" s="11"/>
      <c r="Q958" s="11"/>
      <c r="R958" s="11"/>
      <c r="S958" s="11"/>
      <c r="T958" s="11"/>
      <c r="U958" s="11"/>
      <c r="AN958" s="30"/>
    </row>
    <row r="959" spans="14:40">
      <c r="N959" s="11"/>
      <c r="O959" s="11"/>
      <c r="P959" s="11"/>
      <c r="Q959" s="11"/>
      <c r="R959" s="11"/>
      <c r="S959" s="11"/>
      <c r="T959" s="11"/>
      <c r="U959" s="11"/>
      <c r="AN959" s="30"/>
    </row>
    <row r="960" spans="14:40">
      <c r="N960" s="11"/>
      <c r="O960" s="11"/>
      <c r="P960" s="11"/>
      <c r="Q960" s="11"/>
      <c r="R960" s="11"/>
      <c r="S960" s="11"/>
      <c r="T960" s="11"/>
      <c r="U960" s="11"/>
      <c r="AN960" s="30"/>
    </row>
    <row r="961" spans="14:40">
      <c r="N961" s="11"/>
      <c r="O961" s="11"/>
      <c r="P961" s="11"/>
      <c r="Q961" s="11"/>
      <c r="R961" s="11"/>
      <c r="S961" s="11"/>
      <c r="T961" s="11"/>
      <c r="U961" s="11"/>
      <c r="AN961" s="30"/>
    </row>
    <row r="962" spans="14:40">
      <c r="N962" s="11"/>
      <c r="O962" s="11"/>
      <c r="P962" s="11"/>
      <c r="Q962" s="11"/>
      <c r="R962" s="11"/>
      <c r="S962" s="11"/>
      <c r="T962" s="11"/>
      <c r="U962" s="11"/>
      <c r="AN962" s="30"/>
    </row>
    <row r="963" spans="14:40">
      <c r="N963" s="11"/>
      <c r="O963" s="11"/>
      <c r="P963" s="11"/>
      <c r="Q963" s="11"/>
      <c r="R963" s="11"/>
      <c r="S963" s="11"/>
      <c r="T963" s="11"/>
      <c r="U963" s="11"/>
      <c r="AN963" s="30"/>
    </row>
    <row r="964" spans="14:40">
      <c r="N964" s="11"/>
      <c r="O964" s="11"/>
      <c r="P964" s="11"/>
      <c r="Q964" s="11"/>
      <c r="R964" s="11"/>
      <c r="S964" s="11"/>
      <c r="T964" s="11"/>
      <c r="U964" s="11"/>
      <c r="AN964" s="30"/>
    </row>
    <row r="965" spans="14:40">
      <c r="N965" s="11"/>
      <c r="O965" s="11"/>
      <c r="P965" s="11"/>
      <c r="Q965" s="11"/>
      <c r="R965" s="11"/>
      <c r="S965" s="11"/>
      <c r="T965" s="11"/>
      <c r="U965" s="11"/>
      <c r="AN965" s="30"/>
    </row>
    <row r="966" spans="14:40">
      <c r="N966" s="11"/>
      <c r="O966" s="11"/>
      <c r="P966" s="11"/>
      <c r="Q966" s="11"/>
      <c r="R966" s="11"/>
      <c r="S966" s="11"/>
      <c r="T966" s="11"/>
      <c r="U966" s="11"/>
      <c r="AN966" s="30"/>
    </row>
    <row r="967" spans="14:40">
      <c r="N967" s="11"/>
      <c r="O967" s="11"/>
      <c r="P967" s="11"/>
      <c r="Q967" s="11"/>
      <c r="R967" s="11"/>
      <c r="S967" s="11"/>
      <c r="T967" s="11"/>
      <c r="U967" s="11"/>
      <c r="AN967" s="30"/>
    </row>
    <row r="968" spans="14:40">
      <c r="N968" s="11"/>
      <c r="O968" s="11"/>
      <c r="P968" s="11"/>
      <c r="Q968" s="11"/>
      <c r="R968" s="11"/>
      <c r="S968" s="11"/>
      <c r="T968" s="11"/>
      <c r="U968" s="11"/>
      <c r="AN968" s="30"/>
    </row>
    <row r="969" spans="14:40">
      <c r="N969" s="11"/>
      <c r="O969" s="11"/>
      <c r="P969" s="11"/>
      <c r="Q969" s="11"/>
      <c r="R969" s="11"/>
      <c r="S969" s="11"/>
      <c r="T969" s="11"/>
      <c r="U969" s="11"/>
      <c r="AN969" s="30"/>
    </row>
    <row r="970" spans="14:40">
      <c r="N970" s="11"/>
      <c r="O970" s="11"/>
      <c r="P970" s="11"/>
      <c r="Q970" s="11"/>
      <c r="R970" s="11"/>
      <c r="S970" s="11"/>
      <c r="T970" s="11"/>
      <c r="U970" s="11"/>
      <c r="AN970" s="30"/>
    </row>
    <row r="971" spans="14:40">
      <c r="N971" s="11"/>
      <c r="O971" s="11"/>
      <c r="P971" s="11"/>
      <c r="Q971" s="11"/>
      <c r="R971" s="11"/>
      <c r="S971" s="11"/>
      <c r="T971" s="11"/>
      <c r="U971" s="11"/>
      <c r="AN971" s="30"/>
    </row>
    <row r="972" spans="14:40">
      <c r="N972" s="11"/>
      <c r="O972" s="11"/>
      <c r="P972" s="11"/>
      <c r="Q972" s="11"/>
      <c r="R972" s="11"/>
      <c r="S972" s="11"/>
      <c r="T972" s="11"/>
      <c r="U972" s="11"/>
      <c r="AN972" s="30"/>
    </row>
    <row r="973" spans="14:40">
      <c r="N973" s="11"/>
      <c r="O973" s="11"/>
      <c r="P973" s="11"/>
      <c r="Q973" s="11"/>
      <c r="R973" s="11"/>
      <c r="S973" s="11"/>
      <c r="T973" s="11"/>
      <c r="U973" s="11"/>
      <c r="AN973" s="30"/>
    </row>
    <row r="974" spans="14:40">
      <c r="N974" s="11"/>
      <c r="O974" s="11"/>
      <c r="P974" s="11"/>
      <c r="Q974" s="11"/>
      <c r="R974" s="11"/>
      <c r="S974" s="11"/>
      <c r="T974" s="11"/>
      <c r="U974" s="11"/>
      <c r="AN974" s="30"/>
    </row>
    <row r="975" spans="14:40">
      <c r="N975" s="11"/>
      <c r="O975" s="11"/>
      <c r="P975" s="11"/>
      <c r="Q975" s="11"/>
      <c r="R975" s="11"/>
      <c r="S975" s="11"/>
      <c r="T975" s="11"/>
      <c r="U975" s="11"/>
      <c r="AN975" s="30"/>
    </row>
    <row r="976" spans="14:40">
      <c r="N976" s="11"/>
      <c r="O976" s="11"/>
      <c r="P976" s="11"/>
      <c r="Q976" s="11"/>
      <c r="R976" s="11"/>
      <c r="S976" s="11"/>
      <c r="T976" s="11"/>
      <c r="U976" s="11"/>
      <c r="AN976" s="30"/>
    </row>
    <row r="977" spans="14:40">
      <c r="N977" s="11"/>
      <c r="O977" s="11"/>
      <c r="P977" s="11"/>
      <c r="Q977" s="11"/>
      <c r="R977" s="11"/>
      <c r="S977" s="11"/>
      <c r="T977" s="11"/>
      <c r="U977" s="11"/>
      <c r="AN977" s="30"/>
    </row>
    <row r="978" spans="14:40">
      <c r="N978" s="11"/>
      <c r="O978" s="11"/>
      <c r="P978" s="11"/>
      <c r="Q978" s="11"/>
      <c r="R978" s="11"/>
      <c r="S978" s="11"/>
      <c r="T978" s="11"/>
      <c r="U978" s="11"/>
      <c r="AN978" s="30"/>
    </row>
    <row r="979" spans="14:40">
      <c r="N979" s="11"/>
      <c r="O979" s="11"/>
      <c r="P979" s="11"/>
      <c r="Q979" s="11"/>
      <c r="R979" s="11"/>
      <c r="S979" s="11"/>
      <c r="T979" s="11"/>
      <c r="U979" s="11"/>
      <c r="AN979" s="30"/>
    </row>
    <row r="980" spans="14:40">
      <c r="N980" s="11"/>
      <c r="O980" s="11"/>
      <c r="P980" s="11"/>
      <c r="Q980" s="11"/>
      <c r="R980" s="11"/>
      <c r="S980" s="11"/>
      <c r="T980" s="11"/>
      <c r="U980" s="11"/>
      <c r="AN980" s="30"/>
    </row>
    <row r="981" spans="14:40">
      <c r="N981" s="11"/>
      <c r="O981" s="11"/>
      <c r="P981" s="11"/>
      <c r="Q981" s="11"/>
      <c r="R981" s="11"/>
      <c r="S981" s="11"/>
      <c r="T981" s="11"/>
      <c r="U981" s="11"/>
      <c r="AN981" s="30"/>
    </row>
    <row r="982" spans="14:40">
      <c r="N982" s="11"/>
      <c r="O982" s="11"/>
      <c r="P982" s="11"/>
      <c r="Q982" s="11"/>
      <c r="R982" s="11"/>
      <c r="S982" s="11"/>
      <c r="T982" s="11"/>
      <c r="U982" s="11"/>
      <c r="AN982" s="30"/>
    </row>
    <row r="983" spans="14:40">
      <c r="N983" s="11"/>
      <c r="O983" s="11"/>
      <c r="P983" s="11"/>
      <c r="Q983" s="11"/>
      <c r="R983" s="11"/>
      <c r="S983" s="11"/>
      <c r="T983" s="11"/>
      <c r="U983" s="11"/>
      <c r="AN983" s="30"/>
    </row>
    <row r="984" spans="14:40">
      <c r="N984" s="11"/>
      <c r="O984" s="11"/>
      <c r="P984" s="11"/>
      <c r="Q984" s="11"/>
      <c r="R984" s="11"/>
      <c r="S984" s="11"/>
      <c r="T984" s="11"/>
      <c r="U984" s="11"/>
      <c r="AN984" s="30"/>
    </row>
    <row r="985" spans="14:40">
      <c r="N985" s="11"/>
      <c r="O985" s="11"/>
      <c r="P985" s="11"/>
      <c r="Q985" s="11"/>
      <c r="R985" s="11"/>
      <c r="S985" s="11"/>
      <c r="T985" s="11"/>
      <c r="U985" s="11"/>
      <c r="AN985" s="30"/>
    </row>
    <row r="986" spans="14:40">
      <c r="N986" s="11"/>
      <c r="O986" s="11"/>
      <c r="P986" s="11"/>
      <c r="Q986" s="11"/>
      <c r="R986" s="11"/>
      <c r="S986" s="11"/>
      <c r="T986" s="11"/>
      <c r="U986" s="11"/>
      <c r="AN986" s="30"/>
    </row>
    <row r="987" spans="14:40">
      <c r="N987" s="11"/>
      <c r="O987" s="11"/>
      <c r="P987" s="11"/>
      <c r="Q987" s="11"/>
      <c r="R987" s="11"/>
      <c r="S987" s="11"/>
      <c r="T987" s="11"/>
      <c r="U987" s="11"/>
      <c r="AN987" s="30"/>
    </row>
    <row r="988" spans="14:40">
      <c r="N988" s="11"/>
      <c r="O988" s="11"/>
      <c r="P988" s="11"/>
      <c r="Q988" s="11"/>
      <c r="R988" s="11"/>
      <c r="S988" s="11"/>
      <c r="T988" s="11"/>
      <c r="U988" s="11"/>
      <c r="AN988" s="30"/>
    </row>
    <row r="989" spans="14:40">
      <c r="N989" s="11"/>
      <c r="O989" s="11"/>
      <c r="P989" s="11"/>
      <c r="Q989" s="11"/>
      <c r="R989" s="11"/>
      <c r="S989" s="11"/>
      <c r="T989" s="11"/>
      <c r="U989" s="11"/>
      <c r="AN989" s="30"/>
    </row>
    <row r="990" spans="14:40">
      <c r="N990" s="11"/>
      <c r="O990" s="11"/>
      <c r="P990" s="11"/>
      <c r="Q990" s="11"/>
      <c r="R990" s="11"/>
      <c r="S990" s="11"/>
      <c r="T990" s="11"/>
      <c r="U990" s="11"/>
      <c r="AN990" s="30"/>
    </row>
    <row r="991" spans="14:40">
      <c r="N991" s="11"/>
      <c r="O991" s="11"/>
      <c r="P991" s="11"/>
      <c r="Q991" s="11"/>
      <c r="R991" s="11"/>
      <c r="S991" s="11"/>
      <c r="T991" s="11"/>
      <c r="U991" s="11"/>
      <c r="AN991" s="30"/>
    </row>
    <row r="992" spans="14:40">
      <c r="N992" s="11"/>
      <c r="O992" s="11"/>
      <c r="P992" s="11"/>
      <c r="Q992" s="11"/>
      <c r="R992" s="11"/>
      <c r="S992" s="11"/>
      <c r="T992" s="11"/>
      <c r="U992" s="11"/>
      <c r="AN992" s="30"/>
    </row>
    <row r="993" spans="14:40">
      <c r="N993" s="11"/>
      <c r="O993" s="11"/>
      <c r="P993" s="11"/>
      <c r="Q993" s="11"/>
      <c r="R993" s="11"/>
      <c r="S993" s="11"/>
      <c r="T993" s="11"/>
      <c r="U993" s="11"/>
      <c r="AN993" s="30"/>
    </row>
    <row r="994" spans="14:40">
      <c r="N994" s="11"/>
      <c r="O994" s="11"/>
      <c r="P994" s="11"/>
      <c r="Q994" s="11"/>
      <c r="R994" s="11"/>
      <c r="S994" s="11"/>
      <c r="T994" s="11"/>
      <c r="U994" s="11"/>
      <c r="AN994" s="30"/>
    </row>
    <row r="995" spans="14:40">
      <c r="N995" s="11"/>
      <c r="O995" s="11"/>
      <c r="P995" s="11"/>
      <c r="Q995" s="11"/>
      <c r="R995" s="11"/>
      <c r="S995" s="11"/>
      <c r="T995" s="11"/>
      <c r="U995" s="11"/>
      <c r="AN995" s="30"/>
    </row>
    <row r="996" spans="14:40">
      <c r="N996" s="11"/>
      <c r="O996" s="11"/>
      <c r="P996" s="11"/>
      <c r="Q996" s="11"/>
      <c r="R996" s="11"/>
      <c r="S996" s="11"/>
      <c r="T996" s="11"/>
      <c r="U996" s="11"/>
      <c r="AN996" s="30"/>
    </row>
    <row r="997" spans="14:40">
      <c r="N997" s="11"/>
      <c r="O997" s="11"/>
      <c r="P997" s="11"/>
      <c r="Q997" s="11"/>
      <c r="R997" s="11"/>
      <c r="S997" s="11"/>
      <c r="T997" s="11"/>
      <c r="U997" s="11"/>
      <c r="AN997" s="30"/>
    </row>
    <row r="998" spans="14:40">
      <c r="N998" s="11"/>
      <c r="O998" s="11"/>
      <c r="P998" s="11"/>
      <c r="Q998" s="11"/>
      <c r="R998" s="11"/>
      <c r="S998" s="11"/>
      <c r="T998" s="11"/>
      <c r="U998" s="11"/>
      <c r="AN998" s="30"/>
    </row>
    <row r="999" spans="14:40">
      <c r="N999" s="11"/>
      <c r="O999" s="11"/>
      <c r="P999" s="11"/>
      <c r="Q999" s="11"/>
      <c r="R999" s="11"/>
      <c r="S999" s="11"/>
      <c r="T999" s="11"/>
      <c r="U999" s="11"/>
      <c r="AN999" s="30"/>
    </row>
    <row r="1000" spans="14:40">
      <c r="N1000" s="11"/>
      <c r="O1000" s="11"/>
      <c r="P1000" s="11"/>
      <c r="Q1000" s="11"/>
      <c r="R1000" s="11"/>
      <c r="S1000" s="11"/>
      <c r="T1000" s="11"/>
      <c r="U1000" s="11"/>
      <c r="AN1000" s="30"/>
    </row>
  </sheetData>
  <mergeCells count="10">
    <mergeCell ref="AF3:AN3"/>
    <mergeCell ref="D4:L4"/>
    <mergeCell ref="AF4:AN4"/>
    <mergeCell ref="N4:V4"/>
    <mergeCell ref="W4:AE4"/>
    <mergeCell ref="A3:A5"/>
    <mergeCell ref="B3:B5"/>
    <mergeCell ref="C3:C5"/>
    <mergeCell ref="D3:M3"/>
    <mergeCell ref="N3:A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3:K99"/>
  <sheetViews>
    <sheetView topLeftCell="D1" workbookViewId="0">
      <selection activeCell="D7" sqref="D7"/>
    </sheetView>
  </sheetViews>
  <sheetFormatPr defaultColWidth="12.6640625" defaultRowHeight="15.75" customHeight="1"/>
  <cols>
    <col min="1" max="1" width="4.109375" customWidth="1"/>
    <col min="3" max="3" width="32.109375" customWidth="1"/>
    <col min="8" max="8" width="18.109375" customWidth="1"/>
    <col min="9" max="9" width="9.21875" customWidth="1"/>
    <col min="10" max="10" width="8.33203125" customWidth="1"/>
    <col min="11" max="11" width="9.21875" customWidth="1"/>
  </cols>
  <sheetData>
    <row r="3" spans="1:11">
      <c r="A3" s="46" t="s">
        <v>1</v>
      </c>
      <c r="B3" s="46" t="s">
        <v>2</v>
      </c>
      <c r="C3" s="46" t="s">
        <v>3</v>
      </c>
      <c r="D3" s="53" t="s">
        <v>102</v>
      </c>
      <c r="E3" s="50"/>
      <c r="F3" s="53" t="s">
        <v>103</v>
      </c>
      <c r="G3" s="50"/>
      <c r="H3" s="36" t="s">
        <v>104</v>
      </c>
      <c r="I3" s="54" t="s">
        <v>110</v>
      </c>
      <c r="J3" s="54" t="s">
        <v>111</v>
      </c>
      <c r="K3" s="54" t="s">
        <v>112</v>
      </c>
    </row>
    <row r="4" spans="1:11">
      <c r="A4" s="52"/>
      <c r="B4" s="52"/>
      <c r="C4" s="52"/>
      <c r="D4" s="36" t="s">
        <v>105</v>
      </c>
      <c r="E4" s="36" t="s">
        <v>106</v>
      </c>
      <c r="F4" s="36" t="s">
        <v>107</v>
      </c>
      <c r="G4" s="36" t="s">
        <v>113</v>
      </c>
      <c r="H4" s="36" t="s">
        <v>114</v>
      </c>
      <c r="I4" s="52"/>
      <c r="J4" s="52"/>
      <c r="K4" s="52"/>
    </row>
    <row r="5" spans="1:11">
      <c r="A5" s="47"/>
      <c r="B5" s="47"/>
      <c r="C5" s="47"/>
      <c r="D5" s="37">
        <v>0.1</v>
      </c>
      <c r="E5" s="37">
        <v>0.1</v>
      </c>
      <c r="F5" s="37">
        <v>0.1</v>
      </c>
      <c r="G5" s="37">
        <v>0.2</v>
      </c>
      <c r="H5" s="37">
        <v>0.5</v>
      </c>
      <c r="I5" s="47"/>
      <c r="J5" s="47"/>
      <c r="K5" s="47"/>
    </row>
    <row r="6" spans="1:11">
      <c r="A6" s="4">
        <f>'INPUT DAFTAR PESERTA'!A4</f>
        <v>1</v>
      </c>
      <c r="B6" s="4">
        <f>'INPUT DAFTAR PESERTA'!B4</f>
        <v>2209076028</v>
      </c>
      <c r="C6" s="6" t="str">
        <f>'INPUT DAFTAR PESERTA'!C4</f>
        <v>Mirza Syihabudin Almas</v>
      </c>
      <c r="D6" s="33" t="e">
        <f>NILAI [1]AKHIR!I11</f>
        <v>#NAME?</v>
      </c>
      <c r="E6" s="14">
        <f>'NILAI HARIAN'!M6</f>
        <v>48.4375</v>
      </c>
      <c r="F6" s="14">
        <f>'NILAI HARIAN'!V6</f>
        <v>70</v>
      </c>
      <c r="G6" s="14">
        <f>'NILAI HARIAN'!AE6</f>
        <v>33.75</v>
      </c>
      <c r="H6" s="14">
        <f>'NILAI HARIAN'!AN6</f>
        <v>62.812500000000007</v>
      </c>
      <c r="I6" s="14" t="e">
        <f t="shared" ref="I6:I65" si="0">(D6*$D$5)+(E6*$E$5)+(F6*$F$5)+(G6*$G$5)+(H6*$H$5)</f>
        <v>#NAME?</v>
      </c>
      <c r="J6" s="4" t="e">
        <f t="shared" ref="J6:J65" si="1">IF(I6&lt;=39.9,"0.0",IF(I6&lt;=49.9,"1.0",IF(I6&lt;=59.9,"1.5",IF(I6&lt;=64.9,"2.0",IF(I6&lt;=69.9,"2.5",IF(I6&lt;=74.9,"3.0",IF(I6&lt;=79.99,"3.5",IF(I6&gt;=80,"4.0"))))))))</f>
        <v>#NAME?</v>
      </c>
      <c r="K6" s="38" t="e">
        <f t="shared" ref="K6:K65" si="2">IF(I6&gt;=80,"A",IF(I6&gt;=70,"B",IF(I6&gt;=60,"C",IF(I6&gt;=40,"D","E"))))</f>
        <v>#NAME?</v>
      </c>
    </row>
    <row r="7" spans="1:11">
      <c r="A7" s="4">
        <f>'INPUT DAFTAR PESERTA'!A5</f>
        <v>2</v>
      </c>
      <c r="B7" s="4">
        <f>'INPUT DAFTAR PESERTA'!B5</f>
        <v>2509076001</v>
      </c>
      <c r="C7" s="6" t="str">
        <f>'INPUT DAFTAR PESERTA'!C5</f>
        <v>Mohammad Ali Murtadlo</v>
      </c>
      <c r="D7" s="33">
        <f>'NILAI HARIAN'!L7</f>
        <v>100</v>
      </c>
      <c r="E7" s="14">
        <f>'NILAI HARIAN'!M7</f>
        <v>67.424999999999997</v>
      </c>
      <c r="F7" s="14">
        <f>'NILAI HARIAN'!V7</f>
        <v>80</v>
      </c>
      <c r="G7" s="4">
        <f>'NILAI HARIAN'!AE7</f>
        <v>55</v>
      </c>
      <c r="H7" s="14">
        <f>'NILAI HARIAN'!AN7</f>
        <v>66</v>
      </c>
      <c r="I7" s="14">
        <f t="shared" si="0"/>
        <v>68.742500000000007</v>
      </c>
      <c r="J7" s="4" t="str">
        <f t="shared" si="1"/>
        <v>2.5</v>
      </c>
      <c r="K7" s="38" t="str">
        <f t="shared" si="2"/>
        <v>C</v>
      </c>
    </row>
    <row r="8" spans="1:11">
      <c r="A8" s="4">
        <f>'INPUT DAFTAR PESERTA'!A6</f>
        <v>3</v>
      </c>
      <c r="B8" s="4">
        <f>'INPUT DAFTAR PESERTA'!B6</f>
        <v>2509076002</v>
      </c>
      <c r="C8" s="6" t="str">
        <f>'INPUT DAFTAR PESERTA'!C6</f>
        <v>Muhammad Zahid Sabil</v>
      </c>
      <c r="D8" s="33">
        <f>'NILAI HARIAN'!L8</f>
        <v>100</v>
      </c>
      <c r="E8" s="14">
        <f>'NILAI HARIAN'!M8</f>
        <v>76.71875</v>
      </c>
      <c r="F8" s="14">
        <f>'NILAI HARIAN'!V8</f>
        <v>86</v>
      </c>
      <c r="G8" s="4">
        <f>'NILAI HARIAN'!AE8</f>
        <v>67.5</v>
      </c>
      <c r="H8" s="14">
        <f>'NILAI HARIAN'!AN8</f>
        <v>71.625</v>
      </c>
      <c r="I8" s="14">
        <f t="shared" si="0"/>
        <v>75.584374999999994</v>
      </c>
      <c r="J8" s="4" t="str">
        <f t="shared" si="1"/>
        <v>3.5</v>
      </c>
      <c r="K8" s="38" t="str">
        <f t="shared" si="2"/>
        <v>B</v>
      </c>
    </row>
    <row r="9" spans="1:11">
      <c r="A9" s="4">
        <f>'INPUT DAFTAR PESERTA'!A7</f>
        <v>4</v>
      </c>
      <c r="B9" s="4">
        <f>'INPUT DAFTAR PESERTA'!B7</f>
        <v>2509076003</v>
      </c>
      <c r="C9" s="6" t="str">
        <f>'INPUT DAFTAR PESERTA'!C7</f>
        <v>Javier Abid Danapati</v>
      </c>
      <c r="D9" s="33">
        <f>'NILAI HARIAN'!L9</f>
        <v>100</v>
      </c>
      <c r="E9" s="14">
        <f>'NILAI HARIAN'!M9</f>
        <v>68.6875</v>
      </c>
      <c r="F9" s="14">
        <f>'NILAI HARIAN'!V9</f>
        <v>88</v>
      </c>
      <c r="G9" s="4">
        <f>'NILAI HARIAN'!AE9</f>
        <v>58.75</v>
      </c>
      <c r="H9" s="14">
        <f>'NILAI HARIAN'!AN9</f>
        <v>61.3125</v>
      </c>
      <c r="I9" s="14">
        <f t="shared" si="0"/>
        <v>68.075000000000003</v>
      </c>
      <c r="J9" s="4" t="str">
        <f t="shared" si="1"/>
        <v>2.5</v>
      </c>
      <c r="K9" s="38" t="str">
        <f t="shared" si="2"/>
        <v>C</v>
      </c>
    </row>
    <row r="10" spans="1:11">
      <c r="A10" s="4">
        <f>'INPUT DAFTAR PESERTA'!A8</f>
        <v>5</v>
      </c>
      <c r="B10" s="4">
        <f>'INPUT DAFTAR PESERTA'!B8</f>
        <v>2509076004</v>
      </c>
      <c r="C10" s="6" t="str">
        <f>'INPUT DAFTAR PESERTA'!C8</f>
        <v>Cristian Mouses</v>
      </c>
      <c r="D10" s="33">
        <f>'NILAI HARIAN'!L10</f>
        <v>100</v>
      </c>
      <c r="E10" s="14">
        <f>'NILAI HARIAN'!M10</f>
        <v>77.8125</v>
      </c>
      <c r="F10" s="14">
        <f>'NILAI HARIAN'!V10</f>
        <v>64</v>
      </c>
      <c r="G10" s="4">
        <f>'NILAI HARIAN'!AE10</f>
        <v>60</v>
      </c>
      <c r="H10" s="14">
        <f>'NILAI HARIAN'!AN10</f>
        <v>69.5625</v>
      </c>
      <c r="I10" s="14">
        <f t="shared" si="0"/>
        <v>70.962500000000006</v>
      </c>
      <c r="J10" s="4" t="str">
        <f t="shared" si="1"/>
        <v>3.0</v>
      </c>
      <c r="K10" s="38" t="str">
        <f t="shared" si="2"/>
        <v>B</v>
      </c>
    </row>
    <row r="11" spans="1:11">
      <c r="A11" s="4">
        <f>'INPUT DAFTAR PESERTA'!A9</f>
        <v>6</v>
      </c>
      <c r="B11" s="4">
        <f>'INPUT DAFTAR PESERTA'!B9</f>
        <v>2509076005</v>
      </c>
      <c r="C11" s="6" t="str">
        <f>'INPUT DAFTAR PESERTA'!C9</f>
        <v>Guarimus Rinaldi Ngera</v>
      </c>
      <c r="D11" s="33">
        <f>'NILAI HARIAN'!L11</f>
        <v>97.5</v>
      </c>
      <c r="E11" s="14">
        <f>'NILAI HARIAN'!M11</f>
        <v>79.78125</v>
      </c>
      <c r="F11" s="14">
        <f>'NILAI HARIAN'!V11</f>
        <v>0</v>
      </c>
      <c r="G11" s="4">
        <f>'NILAI HARIAN'!AE11</f>
        <v>60</v>
      </c>
      <c r="H11" s="14">
        <f>'NILAI HARIAN'!AN11</f>
        <v>64.3125</v>
      </c>
      <c r="I11" s="14">
        <f t="shared" si="0"/>
        <v>61.884374999999999</v>
      </c>
      <c r="J11" s="4" t="str">
        <f t="shared" si="1"/>
        <v>2.0</v>
      </c>
      <c r="K11" s="38" t="str">
        <f t="shared" si="2"/>
        <v>C</v>
      </c>
    </row>
    <row r="12" spans="1:11">
      <c r="A12" s="4">
        <f>'INPUT DAFTAR PESERTA'!A10</f>
        <v>7</v>
      </c>
      <c r="B12" s="4">
        <f>'INPUT DAFTAR PESERTA'!B10</f>
        <v>2509076006</v>
      </c>
      <c r="C12" s="6" t="str">
        <f>'INPUT DAFTAR PESERTA'!C10</f>
        <v>Rafly Khoirul Rizky</v>
      </c>
      <c r="D12" s="33">
        <f>'NILAI HARIAN'!L12</f>
        <v>100</v>
      </c>
      <c r="E12" s="14">
        <f>'NILAI HARIAN'!M12</f>
        <v>60.768749999999997</v>
      </c>
      <c r="F12" s="14">
        <f>'NILAI HARIAN'!V12</f>
        <v>98</v>
      </c>
      <c r="G12" s="4">
        <f>'NILAI HARIAN'!AE12</f>
        <v>63.75</v>
      </c>
      <c r="H12" s="14">
        <f>'NILAI HARIAN'!AN12</f>
        <v>58.3125</v>
      </c>
      <c r="I12" s="14">
        <f t="shared" si="0"/>
        <v>67.783124999999998</v>
      </c>
      <c r="J12" s="4" t="str">
        <f t="shared" si="1"/>
        <v>2.5</v>
      </c>
      <c r="K12" s="38" t="str">
        <f t="shared" si="2"/>
        <v>C</v>
      </c>
    </row>
    <row r="13" spans="1:11">
      <c r="A13" s="4">
        <f>'INPUT DAFTAR PESERTA'!A11</f>
        <v>8</v>
      </c>
      <c r="B13" s="4">
        <f>'INPUT DAFTAR PESERTA'!B11</f>
        <v>2509076007</v>
      </c>
      <c r="C13" s="6" t="str">
        <f>'INPUT DAFTAR PESERTA'!C11</f>
        <v>Nurdian Bagus Setiawan</v>
      </c>
      <c r="D13" s="33">
        <f>'NILAI HARIAN'!L13</f>
        <v>100</v>
      </c>
      <c r="E13" s="14">
        <f>'NILAI HARIAN'!M13</f>
        <v>62.84375</v>
      </c>
      <c r="F13" s="14">
        <f>'NILAI HARIAN'!V13</f>
        <v>82</v>
      </c>
      <c r="G13" s="4">
        <f>'NILAI HARIAN'!AE13</f>
        <v>58.75</v>
      </c>
      <c r="H13" s="14">
        <f>'NILAI HARIAN'!AN13</f>
        <v>57.75</v>
      </c>
      <c r="I13" s="14">
        <f t="shared" si="0"/>
        <v>65.109375</v>
      </c>
      <c r="J13" s="4" t="str">
        <f t="shared" si="1"/>
        <v>2.5</v>
      </c>
      <c r="K13" s="38" t="str">
        <f t="shared" si="2"/>
        <v>C</v>
      </c>
    </row>
    <row r="14" spans="1:11">
      <c r="A14" s="4">
        <f>'INPUT DAFTAR PESERTA'!A12</f>
        <v>9</v>
      </c>
      <c r="B14" s="4">
        <f>'INPUT DAFTAR PESERTA'!B12</f>
        <v>2509076008</v>
      </c>
      <c r="C14" s="6" t="str">
        <f>'INPUT DAFTAR PESERTA'!C12</f>
        <v>Krisna Akbar</v>
      </c>
      <c r="D14" s="33">
        <f>'NILAI HARIAN'!L14</f>
        <v>100</v>
      </c>
      <c r="E14" s="14">
        <f>'NILAI HARIAN'!M14</f>
        <v>72.46875</v>
      </c>
      <c r="F14" s="14">
        <f>'NILAI HARIAN'!V14</f>
        <v>80</v>
      </c>
      <c r="G14" s="4">
        <f>'NILAI HARIAN'!AE14</f>
        <v>66.25</v>
      </c>
      <c r="H14" s="14">
        <f>'NILAI HARIAN'!AN14</f>
        <v>64.5</v>
      </c>
      <c r="I14" s="14">
        <f t="shared" si="0"/>
        <v>70.746875000000003</v>
      </c>
      <c r="J14" s="4" t="str">
        <f t="shared" si="1"/>
        <v>3.0</v>
      </c>
      <c r="K14" s="38" t="str">
        <f t="shared" si="2"/>
        <v>B</v>
      </c>
    </row>
    <row r="15" spans="1:11">
      <c r="A15" s="4">
        <f>'INPUT DAFTAR PESERTA'!A13</f>
        <v>10</v>
      </c>
      <c r="B15" s="4">
        <f>'INPUT DAFTAR PESERTA'!B13</f>
        <v>2509076009</v>
      </c>
      <c r="C15" s="6" t="str">
        <f>'INPUT DAFTAR PESERTA'!C13</f>
        <v>Muhammad Naufal Ammar Dzakiy</v>
      </c>
      <c r="D15" s="33">
        <f>'NILAI HARIAN'!L15</f>
        <v>100</v>
      </c>
      <c r="E15" s="14">
        <f>'NILAI HARIAN'!M15</f>
        <v>60.15625</v>
      </c>
      <c r="F15" s="14">
        <f>'NILAI HARIAN'!V15</f>
        <v>86</v>
      </c>
      <c r="G15" s="4">
        <f>'NILAI HARIAN'!AE15</f>
        <v>53.75</v>
      </c>
      <c r="H15" s="14">
        <f>'NILAI HARIAN'!AN15</f>
        <v>55.875</v>
      </c>
      <c r="I15" s="14">
        <f t="shared" si="0"/>
        <v>63.303125000000001</v>
      </c>
      <c r="J15" s="4" t="str">
        <f t="shared" si="1"/>
        <v>2.0</v>
      </c>
      <c r="K15" s="38" t="str">
        <f t="shared" si="2"/>
        <v>C</v>
      </c>
    </row>
    <row r="16" spans="1:11">
      <c r="A16" s="4">
        <f>'INPUT DAFTAR PESERTA'!A14</f>
        <v>11</v>
      </c>
      <c r="B16" s="4">
        <f>'INPUT DAFTAR PESERTA'!B14</f>
        <v>2509076010</v>
      </c>
      <c r="C16" s="6" t="str">
        <f>'INPUT DAFTAR PESERTA'!C14</f>
        <v>Muhammad Fathir</v>
      </c>
      <c r="D16" s="33">
        <f>'NILAI HARIAN'!L16</f>
        <v>100</v>
      </c>
      <c r="E16" s="14">
        <f>'NILAI HARIAN'!M16</f>
        <v>72.84375</v>
      </c>
      <c r="F16" s="14">
        <f>'NILAI HARIAN'!V16</f>
        <v>80</v>
      </c>
      <c r="G16" s="4">
        <f>'NILAI HARIAN'!AE16</f>
        <v>62.5</v>
      </c>
      <c r="H16" s="14">
        <f>'NILAI HARIAN'!AN16</f>
        <v>63.375</v>
      </c>
      <c r="I16" s="14">
        <f t="shared" si="0"/>
        <v>69.471874999999997</v>
      </c>
      <c r="J16" s="4" t="str">
        <f t="shared" si="1"/>
        <v>2.5</v>
      </c>
      <c r="K16" s="38" t="str">
        <f t="shared" si="2"/>
        <v>C</v>
      </c>
    </row>
    <row r="17" spans="1:11">
      <c r="A17" s="4">
        <f>'INPUT DAFTAR PESERTA'!A15</f>
        <v>12</v>
      </c>
      <c r="B17" s="4">
        <f>'INPUT DAFTAR PESERTA'!B15</f>
        <v>2509076011</v>
      </c>
      <c r="C17" s="6" t="str">
        <f>'INPUT DAFTAR PESERTA'!C15</f>
        <v>Waiz Ar Rozzaq</v>
      </c>
      <c r="D17" s="33">
        <f>'NILAI HARIAN'!L17</f>
        <v>100</v>
      </c>
      <c r="E17" s="14">
        <f>'NILAI HARIAN'!M17</f>
        <v>77.34375</v>
      </c>
      <c r="F17" s="14">
        <f>'NILAI HARIAN'!V17</f>
        <v>94</v>
      </c>
      <c r="G17" s="4">
        <f>'NILAI HARIAN'!AE17</f>
        <v>71.25</v>
      </c>
      <c r="H17" s="14">
        <f>'NILAI HARIAN'!AN17</f>
        <v>77.25</v>
      </c>
      <c r="I17" s="14">
        <f t="shared" si="0"/>
        <v>80.009375000000006</v>
      </c>
      <c r="J17" s="4" t="str">
        <f t="shared" si="1"/>
        <v>4.0</v>
      </c>
      <c r="K17" s="38" t="str">
        <f t="shared" si="2"/>
        <v>A</v>
      </c>
    </row>
    <row r="18" spans="1:11">
      <c r="A18" s="4">
        <f>'INPUT DAFTAR PESERTA'!A16</f>
        <v>13</v>
      </c>
      <c r="B18" s="4">
        <f>'INPUT DAFTAR PESERTA'!B16</f>
        <v>2509076012</v>
      </c>
      <c r="C18" s="6" t="str">
        <f>'INPUT DAFTAR PESERTA'!C16</f>
        <v>Aditya Windri Andra</v>
      </c>
      <c r="D18" s="33">
        <f>'NILAI HARIAN'!L18</f>
        <v>100</v>
      </c>
      <c r="E18" s="14">
        <f>'NILAI HARIAN'!M18</f>
        <v>74.981250000000003</v>
      </c>
      <c r="F18" s="14">
        <f>'NILAI HARIAN'!V18</f>
        <v>96</v>
      </c>
      <c r="G18" s="4">
        <f>'NILAI HARIAN'!AE18</f>
        <v>60</v>
      </c>
      <c r="H18" s="14">
        <f>'NILAI HARIAN'!AN18</f>
        <v>69.75</v>
      </c>
      <c r="I18" s="14">
        <f t="shared" si="0"/>
        <v>73.97312500000001</v>
      </c>
      <c r="J18" s="4" t="str">
        <f t="shared" si="1"/>
        <v>3.0</v>
      </c>
      <c r="K18" s="38" t="str">
        <f t="shared" si="2"/>
        <v>B</v>
      </c>
    </row>
    <row r="19" spans="1:11">
      <c r="A19" s="4">
        <f>'INPUT DAFTAR PESERTA'!A17</f>
        <v>14</v>
      </c>
      <c r="B19" s="4">
        <f>'INPUT DAFTAR PESERTA'!B17</f>
        <v>2509076013</v>
      </c>
      <c r="C19" s="6" t="str">
        <f>'INPUT DAFTAR PESERTA'!C17</f>
        <v>Wisnu Gafur</v>
      </c>
      <c r="D19" s="33">
        <f>'NILAI HARIAN'!L19</f>
        <v>97.5</v>
      </c>
      <c r="E19" s="14">
        <f>'NILAI HARIAN'!M19</f>
        <v>60.356250000000003</v>
      </c>
      <c r="F19" s="14">
        <f>'NILAI HARIAN'!V19</f>
        <v>0</v>
      </c>
      <c r="G19" s="4">
        <f>'NILAI HARIAN'!AE19</f>
        <v>56.25</v>
      </c>
      <c r="H19" s="14">
        <f>'NILAI HARIAN'!AN19</f>
        <v>54.75</v>
      </c>
      <c r="I19" s="14">
        <f t="shared" si="0"/>
        <v>54.410624999999996</v>
      </c>
      <c r="J19" s="4" t="str">
        <f t="shared" si="1"/>
        <v>1.5</v>
      </c>
      <c r="K19" s="38" t="str">
        <f t="shared" si="2"/>
        <v>D</v>
      </c>
    </row>
    <row r="20" spans="1:11">
      <c r="A20" s="4">
        <f>'INPUT DAFTAR PESERTA'!A18</f>
        <v>15</v>
      </c>
      <c r="B20" s="4">
        <f>'INPUT DAFTAR PESERTA'!B18</f>
        <v>2509076014</v>
      </c>
      <c r="C20" s="6" t="str">
        <f>'INPUT DAFTAR PESERTA'!C18</f>
        <v>Given Subagja</v>
      </c>
      <c r="D20" s="33">
        <f>'NILAI HARIAN'!L20</f>
        <v>100</v>
      </c>
      <c r="E20" s="14">
        <f>'NILAI HARIAN'!M20</f>
        <v>80.043750000000003</v>
      </c>
      <c r="F20" s="14">
        <f>'NILAI HARIAN'!V20</f>
        <v>60</v>
      </c>
      <c r="G20" s="4">
        <f>'NILAI HARIAN'!AE20</f>
        <v>62.5</v>
      </c>
      <c r="H20" s="14">
        <f>'NILAI HARIAN'!AN20</f>
        <v>73.500000000000014</v>
      </c>
      <c r="I20" s="14">
        <f t="shared" si="0"/>
        <v>73.25437500000001</v>
      </c>
      <c r="J20" s="4" t="str">
        <f t="shared" si="1"/>
        <v>3.0</v>
      </c>
      <c r="K20" s="38" t="str">
        <f t="shared" si="2"/>
        <v>B</v>
      </c>
    </row>
    <row r="21" spans="1:11">
      <c r="A21" s="4">
        <f>'INPUT DAFTAR PESERTA'!A19</f>
        <v>16</v>
      </c>
      <c r="B21" s="4">
        <f>'INPUT DAFTAR PESERTA'!B19</f>
        <v>2509076015</v>
      </c>
      <c r="C21" s="6" t="str">
        <f>'INPUT DAFTAR PESERTA'!C19</f>
        <v>Taufiqurrahman</v>
      </c>
      <c r="D21" s="33">
        <f>'NILAI HARIAN'!L21</f>
        <v>100</v>
      </c>
      <c r="E21" s="14">
        <f>'NILAI HARIAN'!M21</f>
        <v>81.575000000000003</v>
      </c>
      <c r="F21" s="14">
        <f>'NILAI HARIAN'!V21</f>
        <v>88</v>
      </c>
      <c r="G21" s="4">
        <f>'NILAI HARIAN'!AE21</f>
        <v>68.75</v>
      </c>
      <c r="H21" s="14">
        <f>'NILAI HARIAN'!AN21</f>
        <v>72</v>
      </c>
      <c r="I21" s="14">
        <f t="shared" si="0"/>
        <v>76.707499999999996</v>
      </c>
      <c r="J21" s="4" t="str">
        <f t="shared" si="1"/>
        <v>3.5</v>
      </c>
      <c r="K21" s="38" t="str">
        <f t="shared" si="2"/>
        <v>B</v>
      </c>
    </row>
    <row r="22" spans="1:11">
      <c r="A22" s="4">
        <f>'INPUT DAFTAR PESERTA'!A20</f>
        <v>17</v>
      </c>
      <c r="B22" s="4">
        <f>'INPUT DAFTAR PESERTA'!B20</f>
        <v>2509076016</v>
      </c>
      <c r="C22" s="6" t="str">
        <f>'INPUT DAFTAR PESERTA'!C20</f>
        <v>Nazwa Gizza Putri Bayu</v>
      </c>
      <c r="D22" s="33">
        <f>'NILAI HARIAN'!L22</f>
        <v>100</v>
      </c>
      <c r="E22" s="14">
        <f>'NILAI HARIAN'!M22</f>
        <v>80.981250000000003</v>
      </c>
      <c r="F22" s="14">
        <f>'NILAI HARIAN'!V22</f>
        <v>86</v>
      </c>
      <c r="G22" s="4">
        <f>'NILAI HARIAN'!AE22</f>
        <v>62.5</v>
      </c>
      <c r="H22" s="14">
        <f>'NILAI HARIAN'!AN22</f>
        <v>72.75</v>
      </c>
      <c r="I22" s="14">
        <f t="shared" si="0"/>
        <v>75.573125000000005</v>
      </c>
      <c r="J22" s="4" t="str">
        <f t="shared" si="1"/>
        <v>3.5</v>
      </c>
      <c r="K22" s="38" t="str">
        <f t="shared" si="2"/>
        <v>B</v>
      </c>
    </row>
    <row r="23" spans="1:11">
      <c r="A23" s="4">
        <f>'INPUT DAFTAR PESERTA'!A21</f>
        <v>18</v>
      </c>
      <c r="B23" s="4">
        <f>'INPUT DAFTAR PESERTA'!B21</f>
        <v>2509076017</v>
      </c>
      <c r="C23" s="6" t="str">
        <f>'INPUT DAFTAR PESERTA'!C21</f>
        <v>Ryan Maulana Malik</v>
      </c>
      <c r="D23" s="33">
        <f>'NILAI HARIAN'!L23</f>
        <v>100</v>
      </c>
      <c r="E23" s="14">
        <f>'NILAI HARIAN'!M23</f>
        <v>83.731250000000003</v>
      </c>
      <c r="F23" s="14">
        <f>'NILAI HARIAN'!V23</f>
        <v>86</v>
      </c>
      <c r="G23" s="4">
        <f>'NILAI HARIAN'!AE23</f>
        <v>63.75</v>
      </c>
      <c r="H23" s="14">
        <f>'NILAI HARIAN'!AN23</f>
        <v>72.5625</v>
      </c>
      <c r="I23" s="14">
        <f t="shared" si="0"/>
        <v>76.00437500000001</v>
      </c>
      <c r="J23" s="4" t="str">
        <f t="shared" si="1"/>
        <v>3.5</v>
      </c>
      <c r="K23" s="38" t="str">
        <f t="shared" si="2"/>
        <v>B</v>
      </c>
    </row>
    <row r="24" spans="1:11">
      <c r="A24" s="4">
        <f>'INPUT DAFTAR PESERTA'!A22</f>
        <v>19</v>
      </c>
      <c r="B24" s="4">
        <f>'INPUT DAFTAR PESERTA'!B22</f>
        <v>2509076018</v>
      </c>
      <c r="C24" s="6" t="str">
        <f>'INPUT DAFTAR PESERTA'!C22</f>
        <v>Fajar Ihsan</v>
      </c>
      <c r="D24" s="33">
        <f>'NILAI HARIAN'!L24</f>
        <v>100</v>
      </c>
      <c r="E24" s="14">
        <f>'NILAI HARIAN'!M24</f>
        <v>77.0625</v>
      </c>
      <c r="F24" s="14">
        <f>'NILAI HARIAN'!V24</f>
        <v>78</v>
      </c>
      <c r="G24" s="4">
        <f>'NILAI HARIAN'!AE24</f>
        <v>53.75</v>
      </c>
      <c r="H24" s="14">
        <f>'NILAI HARIAN'!AN24</f>
        <v>71.4375</v>
      </c>
      <c r="I24" s="14">
        <f t="shared" si="0"/>
        <v>71.974999999999994</v>
      </c>
      <c r="J24" s="4" t="str">
        <f t="shared" si="1"/>
        <v>3.0</v>
      </c>
      <c r="K24" s="38" t="str">
        <f t="shared" si="2"/>
        <v>B</v>
      </c>
    </row>
    <row r="25" spans="1:11">
      <c r="A25" s="4">
        <f>'INPUT DAFTAR PESERTA'!A23</f>
        <v>20</v>
      </c>
      <c r="B25" s="4">
        <f>'INPUT DAFTAR PESERTA'!B23</f>
        <v>2509076019</v>
      </c>
      <c r="C25" s="6" t="str">
        <f>'INPUT DAFTAR PESERTA'!C23</f>
        <v>Rava Erika Putri</v>
      </c>
      <c r="D25" s="33">
        <f>'NILAI HARIAN'!L25</f>
        <v>100</v>
      </c>
      <c r="E25" s="14">
        <f>'NILAI HARIAN'!M25</f>
        <v>77.625</v>
      </c>
      <c r="F25" s="14">
        <f>'NILAI HARIAN'!V25</f>
        <v>94</v>
      </c>
      <c r="G25" s="4">
        <f>'NILAI HARIAN'!AE25</f>
        <v>58.75</v>
      </c>
      <c r="H25" s="14">
        <f>'NILAI HARIAN'!AN25</f>
        <v>66.375</v>
      </c>
      <c r="I25" s="14">
        <f t="shared" si="0"/>
        <v>72.099999999999994</v>
      </c>
      <c r="J25" s="4" t="str">
        <f t="shared" si="1"/>
        <v>3.0</v>
      </c>
      <c r="K25" s="38" t="str">
        <f t="shared" si="2"/>
        <v>B</v>
      </c>
    </row>
    <row r="26" spans="1:11">
      <c r="A26" s="4">
        <f>'INPUT DAFTAR PESERTA'!A24</f>
        <v>21</v>
      </c>
      <c r="B26" s="4">
        <f>'INPUT DAFTAR PESERTA'!B24</f>
        <v>2509076020</v>
      </c>
      <c r="C26" s="6" t="str">
        <f>'INPUT DAFTAR PESERTA'!C24</f>
        <v>Ikhsan Nur</v>
      </c>
      <c r="D26" s="33">
        <f>'NILAI HARIAN'!L26</f>
        <v>100</v>
      </c>
      <c r="E26" s="14">
        <f>'NILAI HARIAN'!M26</f>
        <v>84.9375</v>
      </c>
      <c r="F26" s="14">
        <f>'NILAI HARIAN'!V26</f>
        <v>62</v>
      </c>
      <c r="G26" s="4">
        <f>'NILAI HARIAN'!AE26</f>
        <v>67.5</v>
      </c>
      <c r="H26" s="14">
        <f>'NILAI HARIAN'!AN26</f>
        <v>71.0625</v>
      </c>
      <c r="I26" s="14">
        <f t="shared" si="0"/>
        <v>73.724999999999994</v>
      </c>
      <c r="J26" s="4" t="str">
        <f t="shared" si="1"/>
        <v>3.0</v>
      </c>
      <c r="K26" s="38" t="str">
        <f t="shared" si="2"/>
        <v>B</v>
      </c>
    </row>
    <row r="27" spans="1:11">
      <c r="A27" s="4">
        <f>'INPUT DAFTAR PESERTA'!A25</f>
        <v>22</v>
      </c>
      <c r="B27" s="4">
        <f>'INPUT DAFTAR PESERTA'!B25</f>
        <v>2509076021</v>
      </c>
      <c r="C27" s="6" t="str">
        <f>'INPUT DAFTAR PESERTA'!C25</f>
        <v>Fahri Fadil Afif</v>
      </c>
      <c r="D27" s="33">
        <f>'NILAI HARIAN'!L27</f>
        <v>100</v>
      </c>
      <c r="E27" s="14">
        <f>'NILAI HARIAN'!M27</f>
        <v>67.875</v>
      </c>
      <c r="F27" s="14">
        <f>'NILAI HARIAN'!V27</f>
        <v>42</v>
      </c>
      <c r="G27" s="4">
        <f>'NILAI HARIAN'!AE27</f>
        <v>56.25</v>
      </c>
      <c r="H27" s="14">
        <f>'NILAI HARIAN'!AN27</f>
        <v>61.5</v>
      </c>
      <c r="I27" s="14">
        <f t="shared" si="0"/>
        <v>62.987499999999997</v>
      </c>
      <c r="J27" s="4" t="str">
        <f t="shared" si="1"/>
        <v>2.0</v>
      </c>
      <c r="K27" s="39" t="str">
        <f t="shared" si="2"/>
        <v>C</v>
      </c>
    </row>
    <row r="28" spans="1:11">
      <c r="A28" s="4">
        <f>'INPUT DAFTAR PESERTA'!A26</f>
        <v>23</v>
      </c>
      <c r="B28" s="4">
        <f>'INPUT DAFTAR PESERTA'!B26</f>
        <v>2509076022</v>
      </c>
      <c r="C28" s="6" t="str">
        <f>'INPUT DAFTAR PESERTA'!C26</f>
        <v>Andika Yanuardani</v>
      </c>
      <c r="D28" s="33">
        <f>'NILAI HARIAN'!L28</f>
        <v>100</v>
      </c>
      <c r="E28" s="14">
        <f>'NILAI HARIAN'!M28</f>
        <v>82.8125</v>
      </c>
      <c r="F28" s="14">
        <f>'NILAI HARIAN'!V28</f>
        <v>70</v>
      </c>
      <c r="G28" s="4">
        <f>'NILAI HARIAN'!AE28</f>
        <v>71.25</v>
      </c>
      <c r="H28" s="14">
        <f>'NILAI HARIAN'!AN28</f>
        <v>75</v>
      </c>
      <c r="I28" s="14">
        <f t="shared" si="0"/>
        <v>77.03125</v>
      </c>
      <c r="J28" s="4" t="str">
        <f t="shared" si="1"/>
        <v>3.5</v>
      </c>
      <c r="K28" s="39" t="str">
        <f t="shared" si="2"/>
        <v>B</v>
      </c>
    </row>
    <row r="29" spans="1:11">
      <c r="A29" s="4">
        <f>'INPUT DAFTAR PESERTA'!A27</f>
        <v>24</v>
      </c>
      <c r="B29" s="4">
        <f>'INPUT DAFTAR PESERTA'!B27</f>
        <v>2509076023</v>
      </c>
      <c r="C29" s="6" t="str">
        <f>'INPUT DAFTAR PESERTA'!C27</f>
        <v>Muhammad Hernanditya Rizky Susanto</v>
      </c>
      <c r="D29" s="33">
        <f>'NILAI HARIAN'!L29</f>
        <v>100</v>
      </c>
      <c r="E29" s="14">
        <f>'NILAI HARIAN'!M29</f>
        <v>72.5625</v>
      </c>
      <c r="F29" s="14">
        <f>'NILAI HARIAN'!V29</f>
        <v>90</v>
      </c>
      <c r="G29" s="4">
        <f>'NILAI HARIAN'!AE29</f>
        <v>66.25</v>
      </c>
      <c r="H29" s="14">
        <f>'NILAI HARIAN'!AN29</f>
        <v>70.875</v>
      </c>
      <c r="I29" s="14">
        <f t="shared" si="0"/>
        <v>74.943749999999994</v>
      </c>
      <c r="J29" s="4" t="str">
        <f t="shared" si="1"/>
        <v>3.5</v>
      </c>
      <c r="K29" s="39" t="str">
        <f t="shared" si="2"/>
        <v>B</v>
      </c>
    </row>
    <row r="30" spans="1:11">
      <c r="A30" s="4">
        <f>'INPUT DAFTAR PESERTA'!A28</f>
        <v>25</v>
      </c>
      <c r="B30" s="4">
        <f>'INPUT DAFTAR PESERTA'!B28</f>
        <v>2509076024</v>
      </c>
      <c r="C30" s="6" t="str">
        <f>'INPUT DAFTAR PESERTA'!C28</f>
        <v>Febrianto Paa Linthin</v>
      </c>
      <c r="D30" s="33">
        <f>'NILAI HARIAN'!L30</f>
        <v>100</v>
      </c>
      <c r="E30" s="14">
        <f>'NILAI HARIAN'!M30</f>
        <v>81.6875</v>
      </c>
      <c r="F30" s="14">
        <f>'NILAI HARIAN'!V30</f>
        <v>88</v>
      </c>
      <c r="G30" s="4">
        <f>'NILAI HARIAN'!AE30</f>
        <v>70</v>
      </c>
      <c r="H30" s="14">
        <f>'NILAI HARIAN'!AN30</f>
        <v>78.1875</v>
      </c>
      <c r="I30" s="14">
        <f t="shared" si="0"/>
        <v>80.0625</v>
      </c>
      <c r="J30" s="4" t="str">
        <f t="shared" si="1"/>
        <v>4.0</v>
      </c>
      <c r="K30" s="39" t="str">
        <f t="shared" si="2"/>
        <v>A</v>
      </c>
    </row>
    <row r="31" spans="1:11">
      <c r="A31" s="4">
        <f>'INPUT DAFTAR PESERTA'!A29</f>
        <v>26</v>
      </c>
      <c r="B31" s="4">
        <f>'INPUT DAFTAR PESERTA'!B29</f>
        <v>2509076025</v>
      </c>
      <c r="C31" s="6" t="str">
        <f>'INPUT DAFTAR PESERTA'!C29</f>
        <v>Sandriko Pebrian Silaen</v>
      </c>
      <c r="D31" s="33">
        <f>'NILAI HARIAN'!L31</f>
        <v>100</v>
      </c>
      <c r="E31" s="14">
        <f>'NILAI HARIAN'!M31</f>
        <v>76.5</v>
      </c>
      <c r="F31" s="14">
        <f>'NILAI HARIAN'!V31</f>
        <v>78</v>
      </c>
      <c r="G31" s="4">
        <f>'NILAI HARIAN'!AE31</f>
        <v>68.75</v>
      </c>
      <c r="H31" s="14">
        <f>'NILAI HARIAN'!AN31</f>
        <v>73.875</v>
      </c>
      <c r="I31" s="14">
        <f t="shared" si="0"/>
        <v>76.137500000000003</v>
      </c>
      <c r="J31" s="4" t="str">
        <f t="shared" si="1"/>
        <v>3.5</v>
      </c>
      <c r="K31" s="39" t="str">
        <f t="shared" si="2"/>
        <v>B</v>
      </c>
    </row>
    <row r="32" spans="1:11">
      <c r="A32" s="4">
        <f>'INPUT DAFTAR PESERTA'!A30</f>
        <v>27</v>
      </c>
      <c r="B32" s="4">
        <f>'INPUT DAFTAR PESERTA'!B30</f>
        <v>2509076026</v>
      </c>
      <c r="C32" s="6" t="str">
        <f>'INPUT DAFTAR PESERTA'!C30</f>
        <v>Alifka Pasha Assiddiq</v>
      </c>
      <c r="D32" s="33">
        <f>'NILAI HARIAN'!L32</f>
        <v>97.5</v>
      </c>
      <c r="E32" s="14">
        <f>'NILAI HARIAN'!M32</f>
        <v>71.381249999999994</v>
      </c>
      <c r="F32" s="14">
        <f>'NILAI HARIAN'!V32</f>
        <v>94</v>
      </c>
      <c r="G32" s="4">
        <f>'NILAI HARIAN'!AE32</f>
        <v>56.25</v>
      </c>
      <c r="H32" s="14">
        <f>'NILAI HARIAN'!AN32</f>
        <v>76.5</v>
      </c>
      <c r="I32" s="14">
        <f t="shared" si="0"/>
        <v>75.788125000000008</v>
      </c>
      <c r="J32" s="4" t="str">
        <f t="shared" si="1"/>
        <v>3.5</v>
      </c>
      <c r="K32" s="39" t="str">
        <f t="shared" si="2"/>
        <v>B</v>
      </c>
    </row>
    <row r="33" spans="1:11">
      <c r="A33" s="4">
        <f>'INPUT DAFTAR PESERTA'!A31</f>
        <v>28</v>
      </c>
      <c r="B33" s="4">
        <f>'INPUT DAFTAR PESERTA'!B31</f>
        <v>2509076027</v>
      </c>
      <c r="C33" s="6" t="str">
        <f>'INPUT DAFTAR PESERTA'!C31</f>
        <v>Firaas Nur Atsaal</v>
      </c>
      <c r="D33" s="33">
        <f>'NILAI HARIAN'!L33</f>
        <v>100</v>
      </c>
      <c r="E33" s="14">
        <f>'NILAI HARIAN'!M33</f>
        <v>84.25</v>
      </c>
      <c r="F33" s="14">
        <f>'NILAI HARIAN'!V33</f>
        <v>78</v>
      </c>
      <c r="G33" s="4">
        <f>'NILAI HARIAN'!AE33</f>
        <v>70</v>
      </c>
      <c r="H33" s="14">
        <f>'NILAI HARIAN'!AN33</f>
        <v>81.5625</v>
      </c>
      <c r="I33" s="14">
        <f t="shared" si="0"/>
        <v>81.006249999999994</v>
      </c>
      <c r="J33" s="4" t="str">
        <f t="shared" si="1"/>
        <v>4.0</v>
      </c>
      <c r="K33" s="39" t="str">
        <f t="shared" si="2"/>
        <v>A</v>
      </c>
    </row>
    <row r="34" spans="1:11">
      <c r="A34" s="4">
        <f>'INPUT DAFTAR PESERTA'!A32</f>
        <v>29</v>
      </c>
      <c r="B34" s="4">
        <f>'INPUT DAFTAR PESERTA'!B32</f>
        <v>2509076028</v>
      </c>
      <c r="C34" s="6" t="str">
        <f>'INPUT DAFTAR PESERTA'!C32</f>
        <v>M. Davy Ananda</v>
      </c>
      <c r="D34" s="33">
        <f>'NILAI HARIAN'!L34</f>
        <v>100</v>
      </c>
      <c r="E34" s="14">
        <f>'NILAI HARIAN'!M34</f>
        <v>73.65625</v>
      </c>
      <c r="F34" s="14">
        <f>'NILAI HARIAN'!V34</f>
        <v>82</v>
      </c>
      <c r="G34" s="4">
        <f>'NILAI HARIAN'!AE34</f>
        <v>62.5</v>
      </c>
      <c r="H34" s="14">
        <f>'NILAI HARIAN'!AN34</f>
        <v>72.75</v>
      </c>
      <c r="I34" s="14">
        <f t="shared" si="0"/>
        <v>74.440625000000011</v>
      </c>
      <c r="J34" s="4" t="str">
        <f t="shared" si="1"/>
        <v>3.0</v>
      </c>
      <c r="K34" s="39" t="str">
        <f t="shared" si="2"/>
        <v>B</v>
      </c>
    </row>
    <row r="35" spans="1:11">
      <c r="A35" s="4">
        <f>'INPUT DAFTAR PESERTA'!A33</f>
        <v>30</v>
      </c>
      <c r="B35" s="4">
        <f>'INPUT DAFTAR PESERTA'!B33</f>
        <v>2509076029</v>
      </c>
      <c r="C35" s="6" t="str">
        <f>'INPUT DAFTAR PESERTA'!C33</f>
        <v>Abimanyu Putra Nugroho</v>
      </c>
      <c r="D35" s="33">
        <f>'NILAI HARIAN'!L35</f>
        <v>100</v>
      </c>
      <c r="E35" s="14">
        <f>'NILAI HARIAN'!M35</f>
        <v>62.75</v>
      </c>
      <c r="F35" s="14">
        <f>'NILAI HARIAN'!V35</f>
        <v>80</v>
      </c>
      <c r="G35" s="4">
        <f>'NILAI HARIAN'!AE35</f>
        <v>52.5</v>
      </c>
      <c r="H35" s="14">
        <f>'NILAI HARIAN'!AN35</f>
        <v>71.8125</v>
      </c>
      <c r="I35" s="14">
        <f t="shared" si="0"/>
        <v>70.681250000000006</v>
      </c>
      <c r="J35" s="4" t="str">
        <f t="shared" si="1"/>
        <v>3.0</v>
      </c>
      <c r="K35" s="39" t="str">
        <f t="shared" si="2"/>
        <v>B</v>
      </c>
    </row>
    <row r="36" spans="1:11">
      <c r="A36" s="4">
        <f>'INPUT DAFTAR PESERTA'!A34</f>
        <v>31</v>
      </c>
      <c r="B36" s="4">
        <f>'INPUT DAFTAR PESERTA'!B34</f>
        <v>2509076030</v>
      </c>
      <c r="C36" s="6" t="str">
        <f>'INPUT DAFTAR PESERTA'!C34</f>
        <v>Nur Fahmi Saputra</v>
      </c>
      <c r="D36" s="33">
        <f>'NILAI HARIAN'!L36</f>
        <v>100</v>
      </c>
      <c r="E36" s="14">
        <f>'NILAI HARIAN'!M36</f>
        <v>63.8125</v>
      </c>
      <c r="F36" s="14">
        <f>'NILAI HARIAN'!V36</f>
        <v>70</v>
      </c>
      <c r="G36" s="4">
        <f>'NILAI HARIAN'!AE36</f>
        <v>52.5</v>
      </c>
      <c r="H36" s="14">
        <f>'NILAI HARIAN'!AN36</f>
        <v>60.75</v>
      </c>
      <c r="I36" s="14">
        <f t="shared" si="0"/>
        <v>64.256249999999994</v>
      </c>
      <c r="J36" s="4" t="str">
        <f t="shared" si="1"/>
        <v>2.0</v>
      </c>
      <c r="K36" s="38" t="str">
        <f t="shared" si="2"/>
        <v>C</v>
      </c>
    </row>
    <row r="37" spans="1:11">
      <c r="A37" s="4">
        <f>'INPUT DAFTAR PESERTA'!A35</f>
        <v>32</v>
      </c>
      <c r="B37" s="4">
        <f>'INPUT DAFTAR PESERTA'!B35</f>
        <v>2509076031</v>
      </c>
      <c r="C37" s="6" t="str">
        <f>'INPUT DAFTAR PESERTA'!C35</f>
        <v>Sentike Baso'</v>
      </c>
      <c r="D37" s="33">
        <f>'NILAI HARIAN'!L37</f>
        <v>100</v>
      </c>
      <c r="E37" s="14">
        <f>'NILAI HARIAN'!M37</f>
        <v>66.125</v>
      </c>
      <c r="F37" s="14">
        <f>'NILAI HARIAN'!V37</f>
        <v>86</v>
      </c>
      <c r="G37" s="4">
        <f>'NILAI HARIAN'!AE37</f>
        <v>60</v>
      </c>
      <c r="H37" s="14">
        <f>'NILAI HARIAN'!AN37</f>
        <v>63.375</v>
      </c>
      <c r="I37" s="14">
        <f t="shared" si="0"/>
        <v>68.900000000000006</v>
      </c>
      <c r="J37" s="4" t="str">
        <f t="shared" si="1"/>
        <v>2.5</v>
      </c>
      <c r="K37" s="38" t="str">
        <f t="shared" si="2"/>
        <v>C</v>
      </c>
    </row>
    <row r="38" spans="1:11">
      <c r="A38" s="4">
        <f>'INPUT DAFTAR PESERTA'!A36</f>
        <v>33</v>
      </c>
      <c r="B38" s="4">
        <f>'INPUT DAFTAR PESERTA'!B36</f>
        <v>2509076032</v>
      </c>
      <c r="C38" s="6" t="str">
        <f>'INPUT DAFTAR PESERTA'!C36</f>
        <v>Muhammad Dzaky Nirwasita</v>
      </c>
      <c r="D38" s="33">
        <f>'NILAI HARIAN'!L38</f>
        <v>100</v>
      </c>
      <c r="E38" s="14">
        <f>'NILAI HARIAN'!M38</f>
        <v>78.1875</v>
      </c>
      <c r="F38" s="14">
        <f>'NILAI HARIAN'!V38</f>
        <v>82</v>
      </c>
      <c r="G38" s="4">
        <f>'NILAI HARIAN'!AE38</f>
        <v>62.5</v>
      </c>
      <c r="H38" s="14">
        <f>'NILAI HARIAN'!AN38</f>
        <v>74.8125</v>
      </c>
      <c r="I38" s="14">
        <f t="shared" si="0"/>
        <v>75.925000000000011</v>
      </c>
      <c r="J38" s="4" t="str">
        <f t="shared" si="1"/>
        <v>3.5</v>
      </c>
      <c r="K38" s="38" t="str">
        <f t="shared" si="2"/>
        <v>B</v>
      </c>
    </row>
    <row r="39" spans="1:11">
      <c r="A39" s="4">
        <f>'INPUT DAFTAR PESERTA'!A37</f>
        <v>34</v>
      </c>
      <c r="B39" s="4">
        <f>'INPUT DAFTAR PESERTA'!B37</f>
        <v>2509076033</v>
      </c>
      <c r="C39" s="6" t="str">
        <f>'INPUT DAFTAR PESERTA'!C37</f>
        <v>Ilham Pratama</v>
      </c>
      <c r="D39" s="33">
        <f>'NILAI HARIAN'!L39</f>
        <v>100</v>
      </c>
      <c r="E39" s="14">
        <f>'NILAI HARIAN'!M39</f>
        <v>74.2</v>
      </c>
      <c r="F39" s="14">
        <f>'NILAI HARIAN'!V39</f>
        <v>72</v>
      </c>
      <c r="G39" s="4">
        <f>'NILAI HARIAN'!AE39</f>
        <v>61.25</v>
      </c>
      <c r="H39" s="14">
        <f>'NILAI HARIAN'!AN39</f>
        <v>68.25</v>
      </c>
      <c r="I39" s="14">
        <f t="shared" si="0"/>
        <v>70.995000000000005</v>
      </c>
      <c r="J39" s="4" t="str">
        <f t="shared" si="1"/>
        <v>3.0</v>
      </c>
      <c r="K39" s="38" t="str">
        <f t="shared" si="2"/>
        <v>B</v>
      </c>
    </row>
    <row r="40" spans="1:11">
      <c r="A40" s="4">
        <f>'INPUT DAFTAR PESERTA'!A38</f>
        <v>35</v>
      </c>
      <c r="B40" s="4">
        <f>'INPUT DAFTAR PESERTA'!B38</f>
        <v>2509076034</v>
      </c>
      <c r="C40" s="6" t="str">
        <f>'INPUT DAFTAR PESERTA'!C38</f>
        <v>Muhammad Azwa Brilianto</v>
      </c>
      <c r="D40" s="33">
        <f>'NILAI HARIAN'!L40</f>
        <v>100</v>
      </c>
      <c r="E40" s="14">
        <f>'NILAI HARIAN'!M40</f>
        <v>83.043750000000003</v>
      </c>
      <c r="F40" s="14">
        <f>'NILAI HARIAN'!V40</f>
        <v>84</v>
      </c>
      <c r="G40" s="4">
        <f>'NILAI HARIAN'!AE40</f>
        <v>66.25</v>
      </c>
      <c r="H40" s="14">
        <f>'NILAI HARIAN'!AN40</f>
        <v>74.25</v>
      </c>
      <c r="I40" s="14">
        <f t="shared" si="0"/>
        <v>77.079374999999999</v>
      </c>
      <c r="J40" s="4" t="str">
        <f t="shared" si="1"/>
        <v>3.5</v>
      </c>
      <c r="K40" s="38" t="str">
        <f t="shared" si="2"/>
        <v>B</v>
      </c>
    </row>
    <row r="41" spans="1:11">
      <c r="A41" s="4">
        <f>'INPUT DAFTAR PESERTA'!A39</f>
        <v>36</v>
      </c>
      <c r="B41" s="4">
        <f>'INPUT DAFTAR PESERTA'!B39</f>
        <v>2509076035</v>
      </c>
      <c r="C41" s="6" t="str">
        <f>'INPUT DAFTAR PESERTA'!C39</f>
        <v>Mario Renhard Simanullang</v>
      </c>
      <c r="D41" s="33">
        <f>'NILAI HARIAN'!L41</f>
        <v>100</v>
      </c>
      <c r="E41" s="14">
        <f>'NILAI HARIAN'!M41</f>
        <v>78.512500000000003</v>
      </c>
      <c r="F41" s="14">
        <f>'NILAI HARIAN'!V41</f>
        <v>92</v>
      </c>
      <c r="G41" s="4">
        <f>'NILAI HARIAN'!AE41</f>
        <v>67.5</v>
      </c>
      <c r="H41" s="14">
        <f>'NILAI HARIAN'!AN41</f>
        <v>69.5625</v>
      </c>
      <c r="I41" s="14">
        <f t="shared" si="0"/>
        <v>75.33250000000001</v>
      </c>
      <c r="J41" s="4" t="str">
        <f t="shared" si="1"/>
        <v>3.5</v>
      </c>
      <c r="K41" s="38" t="str">
        <f t="shared" si="2"/>
        <v>B</v>
      </c>
    </row>
    <row r="42" spans="1:11">
      <c r="A42" s="4">
        <f>'INPUT DAFTAR PESERTA'!A40</f>
        <v>37</v>
      </c>
      <c r="B42" s="4">
        <f>'INPUT DAFTAR PESERTA'!B40</f>
        <v>2509076036</v>
      </c>
      <c r="C42" s="6" t="str">
        <f>'INPUT DAFTAR PESERTA'!C40</f>
        <v>Andhika Ananda Gusthy</v>
      </c>
      <c r="D42" s="33">
        <f>'NILAI HARIAN'!L42</f>
        <v>100</v>
      </c>
      <c r="E42" s="14">
        <f>'NILAI HARIAN'!M42</f>
        <v>87.681250000000006</v>
      </c>
      <c r="F42" s="14">
        <f>'NILAI HARIAN'!V42</f>
        <v>82</v>
      </c>
      <c r="G42" s="4">
        <f>'NILAI HARIAN'!AE42</f>
        <v>76.25</v>
      </c>
      <c r="H42" s="14">
        <f>'NILAI HARIAN'!AN42</f>
        <v>76.3125</v>
      </c>
      <c r="I42" s="14">
        <f t="shared" si="0"/>
        <v>80.374375000000001</v>
      </c>
      <c r="J42" s="4" t="str">
        <f t="shared" si="1"/>
        <v>4.0</v>
      </c>
      <c r="K42" s="38" t="str">
        <f t="shared" si="2"/>
        <v>A</v>
      </c>
    </row>
    <row r="43" spans="1:11">
      <c r="A43" s="4">
        <f>'INPUT DAFTAR PESERTA'!A41</f>
        <v>38</v>
      </c>
      <c r="B43" s="4">
        <f>'INPUT DAFTAR PESERTA'!B41</f>
        <v>2509076037</v>
      </c>
      <c r="C43" s="6" t="str">
        <f>'INPUT DAFTAR PESERTA'!C41</f>
        <v>Zherfaqih Al Barki</v>
      </c>
      <c r="D43" s="33">
        <f>'NILAI HARIAN'!L43</f>
        <v>87.5</v>
      </c>
      <c r="E43" s="14">
        <f>'NILAI HARIAN'!M43</f>
        <v>63.96875</v>
      </c>
      <c r="F43" s="14">
        <f>'NILAI HARIAN'!V43</f>
        <v>92</v>
      </c>
      <c r="G43" s="4">
        <f>'NILAI HARIAN'!AE43</f>
        <v>65</v>
      </c>
      <c r="H43" s="14">
        <f>'NILAI HARIAN'!AN43</f>
        <v>58.875000000000007</v>
      </c>
      <c r="I43" s="14">
        <f t="shared" si="0"/>
        <v>66.784375000000011</v>
      </c>
      <c r="J43" s="4" t="str">
        <f t="shared" si="1"/>
        <v>2.5</v>
      </c>
      <c r="K43" s="38" t="str">
        <f t="shared" si="2"/>
        <v>C</v>
      </c>
    </row>
    <row r="44" spans="1:11">
      <c r="A44" s="4">
        <f>'INPUT DAFTAR PESERTA'!A42</f>
        <v>39</v>
      </c>
      <c r="B44" s="4">
        <f>'INPUT DAFTAR PESERTA'!B42</f>
        <v>2509076038</v>
      </c>
      <c r="C44" s="6" t="str">
        <f>'INPUT DAFTAR PESERTA'!C42</f>
        <v>Reihan Aidil Adha</v>
      </c>
      <c r="D44" s="33">
        <f>'NILAI HARIAN'!L44</f>
        <v>100</v>
      </c>
      <c r="E44" s="14">
        <f>'NILAI HARIAN'!M44</f>
        <v>61.46875</v>
      </c>
      <c r="F44" s="14">
        <f>'NILAI HARIAN'!V44</f>
        <v>80</v>
      </c>
      <c r="G44" s="4">
        <f>'NILAI HARIAN'!AE44</f>
        <v>51</v>
      </c>
      <c r="H44" s="14">
        <f>'NILAI HARIAN'!AN44</f>
        <v>60</v>
      </c>
      <c r="I44" s="14">
        <f t="shared" si="0"/>
        <v>64.346875000000011</v>
      </c>
      <c r="J44" s="4" t="str">
        <f t="shared" si="1"/>
        <v>2.0</v>
      </c>
      <c r="K44" s="38" t="str">
        <f t="shared" si="2"/>
        <v>C</v>
      </c>
    </row>
    <row r="45" spans="1:11">
      <c r="A45" s="4">
        <f>'INPUT DAFTAR PESERTA'!A43</f>
        <v>40</v>
      </c>
      <c r="B45" s="4">
        <f>'INPUT DAFTAR PESERTA'!B43</f>
        <v>2509076039</v>
      </c>
      <c r="C45" s="6" t="str">
        <f>'INPUT DAFTAR PESERTA'!C43</f>
        <v>Baso Syamsurya</v>
      </c>
      <c r="D45" s="33">
        <f>'NILAI HARIAN'!L45</f>
        <v>100</v>
      </c>
      <c r="E45" s="14">
        <f>'NILAI HARIAN'!M45</f>
        <v>73.34375</v>
      </c>
      <c r="F45" s="14">
        <f>'NILAI HARIAN'!V45</f>
        <v>90</v>
      </c>
      <c r="G45" s="4">
        <f>'NILAI HARIAN'!AE45</f>
        <v>68.75</v>
      </c>
      <c r="H45" s="14">
        <f>'NILAI HARIAN'!AN45</f>
        <v>67.875</v>
      </c>
      <c r="I45" s="14">
        <f t="shared" si="0"/>
        <v>74.021874999999994</v>
      </c>
      <c r="J45" s="4" t="str">
        <f t="shared" si="1"/>
        <v>3.0</v>
      </c>
      <c r="K45" s="38" t="str">
        <f t="shared" si="2"/>
        <v>B</v>
      </c>
    </row>
    <row r="46" spans="1:11">
      <c r="A46" s="4">
        <f>'INPUT DAFTAR PESERTA'!A44</f>
        <v>41</v>
      </c>
      <c r="B46" s="4">
        <f>'INPUT DAFTAR PESERTA'!B44</f>
        <v>2509076040</v>
      </c>
      <c r="C46" s="6" t="str">
        <f>'INPUT DAFTAR PESERTA'!C44</f>
        <v>Andriadi Supardi</v>
      </c>
      <c r="D46" s="33">
        <f>'NILAI HARIAN'!L46</f>
        <v>100</v>
      </c>
      <c r="E46" s="14">
        <f>'NILAI HARIAN'!M46</f>
        <v>88.793750000000003</v>
      </c>
      <c r="F46" s="14">
        <f>'NILAI HARIAN'!V46</f>
        <v>76</v>
      </c>
      <c r="G46" s="4">
        <f>'NILAI HARIAN'!AE46</f>
        <v>75</v>
      </c>
      <c r="H46" s="14">
        <f>'NILAI HARIAN'!AN46</f>
        <v>77.25</v>
      </c>
      <c r="I46" s="14">
        <f t="shared" si="0"/>
        <v>80.104375000000005</v>
      </c>
      <c r="J46" s="4" t="str">
        <f t="shared" si="1"/>
        <v>4.0</v>
      </c>
      <c r="K46" s="38" t="str">
        <f t="shared" si="2"/>
        <v>A</v>
      </c>
    </row>
    <row r="47" spans="1:11">
      <c r="A47" s="4">
        <f>'INPUT DAFTAR PESERTA'!A45</f>
        <v>42</v>
      </c>
      <c r="B47" s="4">
        <f>'INPUT DAFTAR PESERTA'!B45</f>
        <v>2509076041</v>
      </c>
      <c r="C47" s="6" t="str">
        <f>'INPUT DAFTAR PESERTA'!C45</f>
        <v>Achmad Fahri Kurniawan</v>
      </c>
      <c r="D47" s="33">
        <f>'NILAI HARIAN'!L47</f>
        <v>100</v>
      </c>
      <c r="E47" s="14">
        <f>'NILAI HARIAN'!M47</f>
        <v>70.7</v>
      </c>
      <c r="F47" s="14">
        <f>'NILAI HARIAN'!V47</f>
        <v>94</v>
      </c>
      <c r="G47" s="4">
        <f>'NILAI HARIAN'!AE47</f>
        <v>70</v>
      </c>
      <c r="H47" s="14">
        <f>'NILAI HARIAN'!AN47</f>
        <v>66.375</v>
      </c>
      <c r="I47" s="14">
        <f t="shared" si="0"/>
        <v>73.657499999999999</v>
      </c>
      <c r="J47" s="4" t="str">
        <f t="shared" si="1"/>
        <v>3.0</v>
      </c>
      <c r="K47" s="38" t="str">
        <f t="shared" si="2"/>
        <v>B</v>
      </c>
    </row>
    <row r="48" spans="1:11">
      <c r="A48" s="4">
        <f>'INPUT DAFTAR PESERTA'!A46</f>
        <v>43</v>
      </c>
      <c r="B48" s="4">
        <f>'INPUT DAFTAR PESERTA'!B46</f>
        <v>2509076042</v>
      </c>
      <c r="C48" s="6" t="str">
        <f>'INPUT DAFTAR PESERTA'!C46</f>
        <v>Saktianata Eja Assami</v>
      </c>
      <c r="D48" s="33">
        <f>'NILAI HARIAN'!L48</f>
        <v>100</v>
      </c>
      <c r="E48" s="14">
        <f>'NILAI HARIAN'!M48</f>
        <v>71.606250000000003</v>
      </c>
      <c r="F48" s="14">
        <f>'NILAI HARIAN'!V48</f>
        <v>96</v>
      </c>
      <c r="G48" s="4">
        <f>'NILAI HARIAN'!AE48</f>
        <v>53.75</v>
      </c>
      <c r="H48" s="14">
        <f>'NILAI HARIAN'!AN48</f>
        <v>69.1875</v>
      </c>
      <c r="I48" s="14">
        <f t="shared" si="0"/>
        <v>72.104375000000005</v>
      </c>
      <c r="J48" s="4" t="str">
        <f t="shared" si="1"/>
        <v>3.0</v>
      </c>
      <c r="K48" s="38" t="str">
        <f t="shared" si="2"/>
        <v>B</v>
      </c>
    </row>
    <row r="49" spans="1:11">
      <c r="A49" s="4">
        <f>'INPUT DAFTAR PESERTA'!A47</f>
        <v>44</v>
      </c>
      <c r="B49" s="4">
        <f>'INPUT DAFTAR PESERTA'!B47</f>
        <v>2509076043</v>
      </c>
      <c r="C49" s="6" t="str">
        <f>'INPUT DAFTAR PESERTA'!C47</f>
        <v>Zhafanya Maydeline Robert</v>
      </c>
      <c r="D49" s="33">
        <f>'NILAI HARIAN'!L49</f>
        <v>100</v>
      </c>
      <c r="E49" s="14">
        <f>'NILAI HARIAN'!M49</f>
        <v>72.762500000000003</v>
      </c>
      <c r="F49" s="14">
        <f>'NILAI HARIAN'!V49</f>
        <v>42</v>
      </c>
      <c r="G49" s="4">
        <f>'NILAI HARIAN'!AE49</f>
        <v>71.25</v>
      </c>
      <c r="H49" s="14">
        <f>'NILAI HARIAN'!AN49</f>
        <v>64.125</v>
      </c>
      <c r="I49" s="14">
        <f t="shared" si="0"/>
        <v>67.788749999999993</v>
      </c>
      <c r="J49" s="4" t="str">
        <f t="shared" si="1"/>
        <v>2.5</v>
      </c>
      <c r="K49" s="38" t="str">
        <f t="shared" si="2"/>
        <v>C</v>
      </c>
    </row>
    <row r="50" spans="1:11">
      <c r="A50" s="4">
        <f>'INPUT DAFTAR PESERTA'!A48</f>
        <v>45</v>
      </c>
      <c r="B50" s="4">
        <f>'INPUT DAFTAR PESERTA'!B48</f>
        <v>2509076044</v>
      </c>
      <c r="C50" s="6" t="str">
        <f>'INPUT DAFTAR PESERTA'!C48</f>
        <v>Dhifan Rangga Purwanto</v>
      </c>
      <c r="D50" s="33">
        <f>'NILAI HARIAN'!L50</f>
        <v>100</v>
      </c>
      <c r="E50" s="14">
        <f>'NILAI HARIAN'!M50</f>
        <v>70.762500000000003</v>
      </c>
      <c r="F50" s="14">
        <f>'NILAI HARIAN'!V50</f>
        <v>92</v>
      </c>
      <c r="G50" s="4">
        <f>'NILAI HARIAN'!AE50</f>
        <v>72.5</v>
      </c>
      <c r="H50" s="14">
        <f>'NILAI HARIAN'!AN50</f>
        <v>66.375</v>
      </c>
      <c r="I50" s="14">
        <f t="shared" si="0"/>
        <v>73.963750000000005</v>
      </c>
      <c r="J50" s="4" t="str">
        <f t="shared" si="1"/>
        <v>3.0</v>
      </c>
      <c r="K50" s="38" t="str">
        <f t="shared" si="2"/>
        <v>B</v>
      </c>
    </row>
    <row r="51" spans="1:11">
      <c r="A51" s="4">
        <f>'INPUT DAFTAR PESERTA'!A49</f>
        <v>46</v>
      </c>
      <c r="B51" s="4">
        <f>'INPUT DAFTAR PESERTA'!B49</f>
        <v>2509076046</v>
      </c>
      <c r="C51" s="6" t="str">
        <f>'INPUT DAFTAR PESERTA'!C49</f>
        <v>Mohamad Hafid</v>
      </c>
      <c r="D51" s="33">
        <f>'NILAI HARIAN'!L51</f>
        <v>100</v>
      </c>
      <c r="E51" s="14">
        <f>'NILAI HARIAN'!M51</f>
        <v>66.375</v>
      </c>
      <c r="F51" s="14">
        <f>'NILAI HARIAN'!V51</f>
        <v>92</v>
      </c>
      <c r="G51" s="4">
        <f>'NILAI HARIAN'!AE51</f>
        <v>48.75</v>
      </c>
      <c r="H51" s="14">
        <f>'NILAI HARIAN'!AN51</f>
        <v>66.9375</v>
      </c>
      <c r="I51" s="14">
        <f t="shared" si="0"/>
        <v>69.056250000000006</v>
      </c>
      <c r="J51" s="4" t="str">
        <f t="shared" si="1"/>
        <v>2.5</v>
      </c>
      <c r="K51" s="38" t="str">
        <f t="shared" si="2"/>
        <v>C</v>
      </c>
    </row>
    <row r="52" spans="1:11">
      <c r="A52" s="4">
        <f>'INPUT DAFTAR PESERTA'!A50</f>
        <v>47</v>
      </c>
      <c r="B52" s="4">
        <f>'INPUT DAFTAR PESERTA'!B50</f>
        <v>2509076047</v>
      </c>
      <c r="C52" s="6" t="str">
        <f>'INPUT DAFTAR PESERTA'!C50</f>
        <v>Rifky Prasetya</v>
      </c>
      <c r="D52" s="33">
        <f>'NILAI HARIAN'!L52</f>
        <v>100</v>
      </c>
      <c r="E52" s="14">
        <f>'NILAI HARIAN'!M52</f>
        <v>73</v>
      </c>
      <c r="F52" s="14">
        <f>'NILAI HARIAN'!V52</f>
        <v>90</v>
      </c>
      <c r="G52" s="4">
        <f>'NILAI HARIAN'!AE52</f>
        <v>53.75</v>
      </c>
      <c r="H52" s="14">
        <f>'NILAI HARIAN'!AN52</f>
        <v>73.3125</v>
      </c>
      <c r="I52" s="14">
        <f t="shared" si="0"/>
        <v>73.706249999999997</v>
      </c>
      <c r="J52" s="4" t="str">
        <f t="shared" si="1"/>
        <v>3.0</v>
      </c>
      <c r="K52" s="38" t="str">
        <f t="shared" si="2"/>
        <v>B</v>
      </c>
    </row>
    <row r="53" spans="1:11">
      <c r="A53" s="4">
        <f>'INPUT DAFTAR PESERTA'!A51</f>
        <v>48</v>
      </c>
      <c r="B53" s="4">
        <f>'INPUT DAFTAR PESERTA'!B51</f>
        <v>2509076048</v>
      </c>
      <c r="C53" s="6" t="str">
        <f>'INPUT DAFTAR PESERTA'!C51</f>
        <v>Yusriel Ramadhan</v>
      </c>
      <c r="D53" s="33">
        <f>'NILAI HARIAN'!L53</f>
        <v>100</v>
      </c>
      <c r="E53" s="14">
        <f>'NILAI HARIAN'!M53</f>
        <v>48.25</v>
      </c>
      <c r="F53" s="14">
        <f>'NILAI HARIAN'!V53</f>
        <v>82</v>
      </c>
      <c r="G53" s="4">
        <f>'NILAI HARIAN'!AE53</f>
        <v>37.5</v>
      </c>
      <c r="H53" s="14">
        <f>'NILAI HARIAN'!AN53</f>
        <v>54</v>
      </c>
      <c r="I53" s="14">
        <f t="shared" si="0"/>
        <v>57.524999999999999</v>
      </c>
      <c r="J53" s="4" t="str">
        <f t="shared" si="1"/>
        <v>1.5</v>
      </c>
      <c r="K53" s="38" t="str">
        <f t="shared" si="2"/>
        <v>D</v>
      </c>
    </row>
    <row r="54" spans="1:11">
      <c r="A54" s="4">
        <f>'INPUT DAFTAR PESERTA'!A52</f>
        <v>49</v>
      </c>
      <c r="B54" s="4">
        <f>'INPUT DAFTAR PESERTA'!B52</f>
        <v>2509076049</v>
      </c>
      <c r="C54" s="6" t="str">
        <f>'INPUT DAFTAR PESERTA'!C52</f>
        <v>Jiyad Prasetyo Abimanyu</v>
      </c>
      <c r="D54" s="33">
        <f>'NILAI HARIAN'!L54</f>
        <v>87.5</v>
      </c>
      <c r="E54" s="14">
        <f>'NILAI HARIAN'!M54</f>
        <v>63.8</v>
      </c>
      <c r="F54" s="14">
        <f>'NILAI HARIAN'!V54</f>
        <v>96</v>
      </c>
      <c r="G54" s="4">
        <f>'NILAI HARIAN'!AE54</f>
        <v>45</v>
      </c>
      <c r="H54" s="14">
        <f>'NILAI HARIAN'!AN54</f>
        <v>64.125</v>
      </c>
      <c r="I54" s="14">
        <f t="shared" si="0"/>
        <v>65.792500000000004</v>
      </c>
      <c r="J54" s="4" t="str">
        <f t="shared" si="1"/>
        <v>2.5</v>
      </c>
      <c r="K54" s="38" t="str">
        <f t="shared" si="2"/>
        <v>C</v>
      </c>
    </row>
    <row r="55" spans="1:11">
      <c r="A55" s="4">
        <f>'INPUT DAFTAR PESERTA'!A53</f>
        <v>50</v>
      </c>
      <c r="B55" s="4">
        <f>'INPUT DAFTAR PESERTA'!B53</f>
        <v>2509076050</v>
      </c>
      <c r="C55" s="6" t="str">
        <f>'INPUT DAFTAR PESERTA'!C53</f>
        <v>Muhammad Alfin Al Hakim</v>
      </c>
      <c r="D55" s="33">
        <f>'NILAI HARIAN'!L55</f>
        <v>100</v>
      </c>
      <c r="E55" s="14">
        <f>'NILAI HARIAN'!M55</f>
        <v>62.5625</v>
      </c>
      <c r="F55" s="14">
        <f>'NILAI HARIAN'!V55</f>
        <v>84</v>
      </c>
      <c r="G55" s="4">
        <f>'NILAI HARIAN'!AE55</f>
        <v>51.25</v>
      </c>
      <c r="H55" s="14">
        <f>'NILAI HARIAN'!AN55</f>
        <v>66.75</v>
      </c>
      <c r="I55" s="14">
        <f t="shared" si="0"/>
        <v>68.28125</v>
      </c>
      <c r="J55" s="4" t="str">
        <f t="shared" si="1"/>
        <v>2.5</v>
      </c>
      <c r="K55" s="38" t="str">
        <f t="shared" si="2"/>
        <v>C</v>
      </c>
    </row>
    <row r="56" spans="1:11">
      <c r="A56" s="4">
        <f>'INPUT DAFTAR PESERTA'!A54</f>
        <v>51</v>
      </c>
      <c r="B56" s="4">
        <f>'INPUT DAFTAR PESERTA'!B54</f>
        <v>2509076051</v>
      </c>
      <c r="C56" s="6" t="str">
        <f>'INPUT DAFTAR PESERTA'!C54</f>
        <v>Naufal Kurniawan</v>
      </c>
      <c r="D56" s="33">
        <f>'NILAI HARIAN'!L56</f>
        <v>100</v>
      </c>
      <c r="E56" s="14">
        <f>'NILAI HARIAN'!M56</f>
        <v>62.8125</v>
      </c>
      <c r="F56" s="14">
        <f>'NILAI HARIAN'!V56</f>
        <v>94</v>
      </c>
      <c r="G56" s="4">
        <f>'NILAI HARIAN'!AE56</f>
        <v>53.75</v>
      </c>
      <c r="H56" s="14">
        <f>'NILAI HARIAN'!AN56</f>
        <v>62.625</v>
      </c>
      <c r="I56" s="14">
        <f t="shared" si="0"/>
        <v>67.743750000000006</v>
      </c>
      <c r="J56" s="4" t="str">
        <f t="shared" si="1"/>
        <v>2.5</v>
      </c>
      <c r="K56" s="38" t="str">
        <f t="shared" si="2"/>
        <v>C</v>
      </c>
    </row>
    <row r="57" spans="1:11">
      <c r="A57" s="4">
        <f>'INPUT DAFTAR PESERTA'!A55</f>
        <v>52</v>
      </c>
      <c r="B57" s="4">
        <f>'INPUT DAFTAR PESERTA'!B55</f>
        <v>2509076052</v>
      </c>
      <c r="C57" s="6" t="str">
        <f>'INPUT DAFTAR PESERTA'!C55</f>
        <v>Rifky Maulana Ilham</v>
      </c>
      <c r="D57" s="33">
        <f>'NILAI HARIAN'!L57</f>
        <v>100</v>
      </c>
      <c r="E57" s="14">
        <f>'NILAI HARIAN'!M57</f>
        <v>77.55</v>
      </c>
      <c r="F57" s="14">
        <f>'NILAI HARIAN'!V57</f>
        <v>94</v>
      </c>
      <c r="G57" s="4">
        <f>'NILAI HARIAN'!AE57</f>
        <v>66.25</v>
      </c>
      <c r="H57" s="14">
        <f>'NILAI HARIAN'!AN57</f>
        <v>67.5</v>
      </c>
      <c r="I57" s="14">
        <f t="shared" si="0"/>
        <v>74.155000000000001</v>
      </c>
      <c r="J57" s="4" t="str">
        <f t="shared" si="1"/>
        <v>3.0</v>
      </c>
      <c r="K57" s="38" t="str">
        <f t="shared" si="2"/>
        <v>B</v>
      </c>
    </row>
    <row r="58" spans="1:11">
      <c r="A58" s="4">
        <f>'INPUT DAFTAR PESERTA'!A56</f>
        <v>53</v>
      </c>
      <c r="B58" s="4">
        <f>'INPUT DAFTAR PESERTA'!B56</f>
        <v>2509076053</v>
      </c>
      <c r="C58" s="6" t="str">
        <f>'INPUT DAFTAR PESERTA'!C56</f>
        <v>Aditia Prayoga</v>
      </c>
      <c r="D58" s="33">
        <f>'NILAI HARIAN'!L58</f>
        <v>87.5</v>
      </c>
      <c r="E58" s="14">
        <f>'NILAI HARIAN'!M58</f>
        <v>55.5</v>
      </c>
      <c r="F58" s="14">
        <f>'NILAI HARIAN'!V58</f>
        <v>56</v>
      </c>
      <c r="G58" s="4">
        <f>'NILAI HARIAN'!AE58</f>
        <v>41.25</v>
      </c>
      <c r="H58" s="14">
        <f>'NILAI HARIAN'!AN58</f>
        <v>58.5</v>
      </c>
      <c r="I58" s="14">
        <f t="shared" si="0"/>
        <v>57.400000000000006</v>
      </c>
      <c r="J58" s="4" t="str">
        <f t="shared" si="1"/>
        <v>1.5</v>
      </c>
      <c r="K58" s="38" t="str">
        <f t="shared" si="2"/>
        <v>D</v>
      </c>
    </row>
    <row r="59" spans="1:11">
      <c r="A59" s="4">
        <f>'INPUT DAFTAR PESERTA'!A57</f>
        <v>54</v>
      </c>
      <c r="B59" s="4">
        <f>'INPUT DAFTAR PESERTA'!B57</f>
        <v>2509076054</v>
      </c>
      <c r="C59" s="6" t="str">
        <f>'INPUT DAFTAR PESERTA'!C57</f>
        <v>Muhammad Andi Faris De'mozart</v>
      </c>
      <c r="D59" s="33">
        <f>'NILAI HARIAN'!L59</f>
        <v>100</v>
      </c>
      <c r="E59" s="14">
        <f>'NILAI HARIAN'!M59</f>
        <v>60.3125</v>
      </c>
      <c r="F59" s="14">
        <f>'NILAI HARIAN'!V59</f>
        <v>52</v>
      </c>
      <c r="G59" s="4">
        <f>'NILAI HARIAN'!AE59</f>
        <v>57.5</v>
      </c>
      <c r="H59" s="14">
        <f>'NILAI HARIAN'!AN59</f>
        <v>60.375000000000007</v>
      </c>
      <c r="I59" s="14">
        <f t="shared" si="0"/>
        <v>62.918750000000003</v>
      </c>
      <c r="J59" s="4" t="str">
        <f t="shared" si="1"/>
        <v>2.0</v>
      </c>
      <c r="K59" s="38" t="str">
        <f t="shared" si="2"/>
        <v>C</v>
      </c>
    </row>
    <row r="60" spans="1:11">
      <c r="A60" s="4">
        <f>'INPUT DAFTAR PESERTA'!A58</f>
        <v>55</v>
      </c>
      <c r="B60" s="4">
        <f>'INPUT DAFTAR PESERTA'!B58</f>
        <v>2509076055</v>
      </c>
      <c r="C60" s="6" t="str">
        <f>'INPUT DAFTAR PESERTA'!C58</f>
        <v>Faiq Ramadhan Firdaus</v>
      </c>
      <c r="D60" s="33">
        <f>'NILAI HARIAN'!L60</f>
        <v>87.5</v>
      </c>
      <c r="E60" s="14">
        <f>'NILAI HARIAN'!M60</f>
        <v>18.9375</v>
      </c>
      <c r="F60" s="14">
        <f>'NILAI HARIAN'!V60</f>
        <v>82</v>
      </c>
      <c r="G60" s="4">
        <f>'NILAI HARIAN'!AE60</f>
        <v>8.75</v>
      </c>
      <c r="H60" s="14">
        <f>'NILAI HARIAN'!AN60</f>
        <v>52.125</v>
      </c>
      <c r="I60" s="14">
        <f t="shared" si="0"/>
        <v>46.65625</v>
      </c>
      <c r="J60" s="4" t="str">
        <f t="shared" si="1"/>
        <v>1.0</v>
      </c>
      <c r="K60" s="38" t="str">
        <f t="shared" si="2"/>
        <v>D</v>
      </c>
    </row>
    <row r="61" spans="1:11">
      <c r="A61" s="4">
        <f>'INPUT DAFTAR PESERTA'!A59</f>
        <v>56</v>
      </c>
      <c r="B61" s="4">
        <f>'INPUT DAFTAR PESERTA'!B59</f>
        <v>2509076056</v>
      </c>
      <c r="C61" s="6" t="str">
        <f>'INPUT DAFTAR PESERTA'!C59</f>
        <v>Fachry Nazrul Ramadhan</v>
      </c>
      <c r="D61" s="33">
        <f>'NILAI HARIAN'!L61</f>
        <v>100</v>
      </c>
      <c r="E61" s="14">
        <f>'NILAI HARIAN'!M61</f>
        <v>79.53125</v>
      </c>
      <c r="F61" s="14">
        <f>'NILAI HARIAN'!V61</f>
        <v>62</v>
      </c>
      <c r="G61" s="4">
        <f>'NILAI HARIAN'!AE61</f>
        <v>67.5</v>
      </c>
      <c r="H61" s="14">
        <f>'NILAI HARIAN'!AN61</f>
        <v>76.3125</v>
      </c>
      <c r="I61" s="14">
        <f t="shared" si="0"/>
        <v>75.809375000000003</v>
      </c>
      <c r="J61" s="4" t="str">
        <f t="shared" si="1"/>
        <v>3.5</v>
      </c>
      <c r="K61" s="38" t="str">
        <f t="shared" si="2"/>
        <v>B</v>
      </c>
    </row>
    <row r="62" spans="1:11">
      <c r="A62" s="4">
        <f>'INPUT DAFTAR PESERTA'!A60</f>
        <v>57</v>
      </c>
      <c r="B62" s="4">
        <f>'INPUT DAFTAR PESERTA'!B60</f>
        <v>2509076057</v>
      </c>
      <c r="C62" s="6" t="str">
        <f>'INPUT DAFTAR PESERTA'!C60</f>
        <v>Bagas Sudidi</v>
      </c>
      <c r="D62" s="33">
        <f>'NILAI HARIAN'!L62</f>
        <v>87.5</v>
      </c>
      <c r="E62" s="14">
        <f>'NILAI HARIAN'!M62</f>
        <v>50.625</v>
      </c>
      <c r="F62" s="14">
        <f>'NILAI HARIAN'!V62</f>
        <v>68</v>
      </c>
      <c r="G62" s="4">
        <f>'NILAI HARIAN'!AE62</f>
        <v>42.5</v>
      </c>
      <c r="H62" s="14">
        <f>'NILAI HARIAN'!AN62</f>
        <v>66.75</v>
      </c>
      <c r="I62" s="14">
        <f t="shared" si="0"/>
        <v>62.487499999999997</v>
      </c>
      <c r="J62" s="4" t="str">
        <f t="shared" si="1"/>
        <v>2.0</v>
      </c>
      <c r="K62" s="38" t="str">
        <f t="shared" si="2"/>
        <v>C</v>
      </c>
    </row>
    <row r="63" spans="1:11">
      <c r="A63" s="4">
        <f>'INPUT DAFTAR PESERTA'!A61</f>
        <v>58</v>
      </c>
      <c r="B63" s="4">
        <f>'INPUT DAFTAR PESERTA'!B61</f>
        <v>2509106133</v>
      </c>
      <c r="C63" s="6" t="str">
        <f>'INPUT DAFTAR PESERTA'!C61</f>
        <v>Ridho Putra Darma</v>
      </c>
      <c r="D63" s="33">
        <f>'NILAI HARIAN'!L63</f>
        <v>62.5</v>
      </c>
      <c r="E63" s="14">
        <f>'NILAI HARIAN'!M63</f>
        <v>7.875</v>
      </c>
      <c r="F63" s="14">
        <f>'NILAI HARIAN'!V63</f>
        <v>66</v>
      </c>
      <c r="G63" s="4">
        <f>'NILAI HARIAN'!AE63</f>
        <v>30</v>
      </c>
      <c r="H63" s="14">
        <f>'NILAI HARIAN'!AN63</f>
        <v>35.25</v>
      </c>
      <c r="I63" s="14">
        <f t="shared" si="0"/>
        <v>37.262500000000003</v>
      </c>
      <c r="J63" s="4" t="str">
        <f t="shared" si="1"/>
        <v>0.0</v>
      </c>
      <c r="K63" s="38" t="str">
        <f t="shared" si="2"/>
        <v>E</v>
      </c>
    </row>
    <row r="64" spans="1:11">
      <c r="A64" s="4">
        <f>'INPUT DAFTAR PESERTA'!A62</f>
        <v>59</v>
      </c>
      <c r="B64" s="4">
        <f>'INPUT DAFTAR PESERTA'!B62</f>
        <v>2509106134</v>
      </c>
      <c r="C64" s="6" t="str">
        <f>'INPUT DAFTAR PESERTA'!C62</f>
        <v>Syarif Hidayat</v>
      </c>
      <c r="D64" s="33">
        <f>'NILAI HARIAN'!L64</f>
        <v>62.5</v>
      </c>
      <c r="E64" s="14">
        <f>'NILAI HARIAN'!M64</f>
        <v>7.0625</v>
      </c>
      <c r="F64" s="14">
        <f>'NILAI HARIAN'!V64</f>
        <v>78</v>
      </c>
      <c r="G64" s="4">
        <f>'NILAI HARIAN'!AE64</f>
        <v>30</v>
      </c>
      <c r="H64" s="14">
        <f>'NILAI HARIAN'!AN64</f>
        <v>31.5</v>
      </c>
      <c r="I64" s="14">
        <f t="shared" si="0"/>
        <v>36.506250000000001</v>
      </c>
      <c r="J64" s="4" t="str">
        <f t="shared" si="1"/>
        <v>0.0</v>
      </c>
      <c r="K64" s="38" t="str">
        <f t="shared" si="2"/>
        <v>E</v>
      </c>
    </row>
    <row r="65" spans="1:11">
      <c r="A65" s="4">
        <f>'INPUT DAFTAR PESERTA'!A63</f>
        <v>60</v>
      </c>
      <c r="B65" s="4">
        <f>'INPUT DAFTAR PESERTA'!B63</f>
        <v>2509106135</v>
      </c>
      <c r="C65" s="6" t="str">
        <f>'INPUT DAFTAR PESERTA'!C63</f>
        <v>Muhammad Dzaky Syachraini</v>
      </c>
      <c r="D65" s="33">
        <f>'NILAI HARIAN'!L65</f>
        <v>75</v>
      </c>
      <c r="E65" s="14">
        <f>'NILAI HARIAN'!M65</f>
        <v>7.625</v>
      </c>
      <c r="F65" s="14">
        <f>'NILAI HARIAN'!V65</f>
        <v>88</v>
      </c>
      <c r="G65" s="4">
        <f>'NILAI HARIAN'!AE65</f>
        <v>30</v>
      </c>
      <c r="H65" s="14">
        <f>'NILAI HARIAN'!AN65</f>
        <v>35.25</v>
      </c>
      <c r="I65" s="14">
        <f t="shared" si="0"/>
        <v>40.6875</v>
      </c>
      <c r="J65" s="4" t="str">
        <f t="shared" si="1"/>
        <v>1.0</v>
      </c>
      <c r="K65" s="38" t="str">
        <f t="shared" si="2"/>
        <v>D</v>
      </c>
    </row>
    <row r="81" spans="1:10">
      <c r="A81" s="11"/>
      <c r="B81" s="11"/>
      <c r="C81" s="8"/>
      <c r="D81" s="40"/>
      <c r="E81" s="27"/>
      <c r="F81" s="27"/>
      <c r="G81" s="11"/>
      <c r="H81" s="11"/>
      <c r="I81" s="27"/>
      <c r="J81" s="11"/>
    </row>
    <row r="82" spans="1:10">
      <c r="A82" s="11"/>
      <c r="B82" s="11"/>
      <c r="C82" s="8"/>
      <c r="D82" s="40"/>
      <c r="E82" s="27"/>
      <c r="F82" s="27"/>
      <c r="G82" s="11"/>
      <c r="H82" s="11"/>
      <c r="I82" s="27"/>
      <c r="J82" s="11"/>
    </row>
    <row r="83" spans="1:10">
      <c r="A83" s="11"/>
      <c r="B83" s="11"/>
      <c r="C83" s="8"/>
      <c r="D83" s="40"/>
      <c r="E83" s="27"/>
      <c r="F83" s="27"/>
      <c r="G83" s="11"/>
      <c r="H83" s="11"/>
      <c r="I83" s="27"/>
      <c r="J83" s="11"/>
    </row>
    <row r="84" spans="1:10">
      <c r="A84" s="11"/>
      <c r="B84" s="11"/>
      <c r="C84" s="8"/>
      <c r="D84" s="40"/>
      <c r="E84" s="27"/>
      <c r="F84" s="27"/>
      <c r="G84" s="11"/>
      <c r="H84" s="11"/>
      <c r="I84" s="27"/>
      <c r="J84" s="11"/>
    </row>
    <row r="85" spans="1:10">
      <c r="A85" s="11"/>
      <c r="B85" s="11"/>
      <c r="C85" s="8"/>
      <c r="D85" s="40"/>
      <c r="E85" s="27"/>
      <c r="F85" s="27"/>
      <c r="G85" s="11"/>
      <c r="H85" s="11"/>
      <c r="I85" s="27"/>
      <c r="J85" s="11"/>
    </row>
    <row r="86" spans="1:10">
      <c r="A86" s="11"/>
      <c r="B86" s="11"/>
      <c r="C86" s="8"/>
      <c r="D86" s="40"/>
      <c r="E86" s="27"/>
      <c r="F86" s="27"/>
      <c r="G86" s="11"/>
      <c r="H86" s="11"/>
      <c r="I86" s="27"/>
      <c r="J86" s="11"/>
    </row>
    <row r="87" spans="1:10">
      <c r="A87" s="11"/>
      <c r="B87" s="11"/>
      <c r="C87" s="8"/>
      <c r="D87" s="40"/>
      <c r="E87" s="27"/>
      <c r="F87" s="27"/>
      <c r="G87" s="11"/>
      <c r="H87" s="11"/>
      <c r="I87" s="27"/>
      <c r="J87" s="11"/>
    </row>
    <row r="88" spans="1:10">
      <c r="A88" s="11"/>
      <c r="B88" s="11"/>
      <c r="C88" s="8"/>
      <c r="D88" s="40"/>
      <c r="E88" s="27"/>
      <c r="F88" s="27"/>
      <c r="G88" s="11"/>
      <c r="H88" s="11"/>
      <c r="I88" s="27"/>
      <c r="J88" s="11"/>
    </row>
    <row r="89" spans="1:10">
      <c r="A89" s="11"/>
      <c r="B89" s="11"/>
      <c r="C89" s="8"/>
      <c r="D89" s="40"/>
      <c r="E89" s="27"/>
      <c r="F89" s="27"/>
      <c r="G89" s="11"/>
      <c r="H89" s="11"/>
      <c r="I89" s="27"/>
      <c r="J89" s="11"/>
    </row>
    <row r="90" spans="1:10">
      <c r="A90" s="11"/>
      <c r="B90" s="11"/>
      <c r="C90" s="8"/>
      <c r="D90" s="40"/>
      <c r="E90" s="27"/>
      <c r="F90" s="27"/>
      <c r="G90" s="11"/>
      <c r="H90" s="11"/>
      <c r="I90" s="27"/>
      <c r="J90" s="11"/>
    </row>
    <row r="91" spans="1:10">
      <c r="A91" s="11"/>
      <c r="B91" s="11"/>
      <c r="C91" s="8"/>
      <c r="D91" s="40"/>
      <c r="E91" s="27"/>
      <c r="F91" s="27"/>
      <c r="G91" s="11"/>
      <c r="H91" s="11"/>
      <c r="I91" s="27"/>
      <c r="J91" s="11"/>
    </row>
    <row r="92" spans="1:10">
      <c r="A92" s="11"/>
      <c r="B92" s="11"/>
      <c r="C92" s="8"/>
      <c r="D92" s="40"/>
      <c r="E92" s="27"/>
      <c r="F92" s="27"/>
      <c r="G92" s="11"/>
      <c r="H92" s="11"/>
      <c r="I92" s="27"/>
      <c r="J92" s="11"/>
    </row>
    <row r="93" spans="1:10">
      <c r="A93" s="11"/>
      <c r="B93" s="11"/>
      <c r="C93" s="8"/>
      <c r="D93" s="40"/>
      <c r="E93" s="27"/>
      <c r="F93" s="27"/>
      <c r="G93" s="11"/>
      <c r="H93" s="11"/>
      <c r="I93" s="27"/>
      <c r="J93" s="11"/>
    </row>
    <row r="94" spans="1:10">
      <c r="A94" s="11"/>
      <c r="B94" s="11"/>
      <c r="C94" s="8"/>
      <c r="D94" s="40"/>
      <c r="E94" s="27"/>
      <c r="F94" s="27"/>
      <c r="G94" s="11"/>
      <c r="H94" s="11"/>
      <c r="I94" s="27"/>
      <c r="J94" s="11"/>
    </row>
    <row r="95" spans="1:10">
      <c r="A95" s="11"/>
      <c r="B95" s="11"/>
      <c r="C95" s="8"/>
      <c r="D95" s="40"/>
      <c r="E95" s="27"/>
      <c r="F95" s="27"/>
      <c r="G95" s="11"/>
      <c r="H95" s="11"/>
      <c r="I95" s="27"/>
      <c r="J95" s="11"/>
    </row>
    <row r="96" spans="1:10">
      <c r="A96" s="11"/>
      <c r="B96" s="11"/>
      <c r="C96" s="8"/>
      <c r="D96" s="40"/>
      <c r="E96" s="27"/>
      <c r="F96" s="27"/>
      <c r="G96" s="11"/>
      <c r="H96" s="11"/>
      <c r="I96" s="27"/>
      <c r="J96" s="11"/>
    </row>
    <row r="97" spans="1:10">
      <c r="A97" s="11"/>
      <c r="B97" s="11"/>
      <c r="C97" s="8"/>
      <c r="D97" s="40"/>
      <c r="E97" s="27"/>
      <c r="F97" s="27"/>
      <c r="G97" s="11"/>
      <c r="H97" s="11"/>
      <c r="I97" s="27"/>
      <c r="J97" s="11"/>
    </row>
    <row r="98" spans="1:10">
      <c r="A98" s="11"/>
      <c r="B98" s="11"/>
      <c r="C98" s="8"/>
      <c r="D98" s="40"/>
      <c r="E98" s="27"/>
      <c r="F98" s="27"/>
      <c r="G98" s="11"/>
      <c r="H98" s="11"/>
      <c r="I98" s="27"/>
      <c r="J98" s="11"/>
    </row>
    <row r="99" spans="1:10">
      <c r="A99" s="11"/>
      <c r="B99" s="11"/>
      <c r="C99" s="8"/>
      <c r="D99" s="40"/>
      <c r="E99" s="27"/>
      <c r="F99" s="27"/>
      <c r="G99" s="11"/>
      <c r="H99" s="11"/>
      <c r="I99" s="27"/>
      <c r="J99" s="11"/>
    </row>
  </sheetData>
  <mergeCells count="8">
    <mergeCell ref="I3:I5"/>
    <mergeCell ref="J3:J5"/>
    <mergeCell ref="K3:K5"/>
    <mergeCell ref="A3:A5"/>
    <mergeCell ref="B3:B5"/>
    <mergeCell ref="C3:C5"/>
    <mergeCell ref="D3:E3"/>
    <mergeCell ref="F3:G3"/>
  </mergeCells>
  <conditionalFormatting sqref="K6:K65">
    <cfRule type="cellIs" dxfId="4" priority="1" operator="equal">
      <formula>"A"</formula>
    </cfRule>
    <cfRule type="cellIs" dxfId="3" priority="2" operator="equal">
      <formula>"B"</formula>
    </cfRule>
    <cfRule type="cellIs" dxfId="2" priority="3" operator="equal">
      <formula>"C"</formula>
    </cfRule>
    <cfRule type="cellIs" dxfId="1" priority="4" operator="equal">
      <formula>"D"</formula>
    </cfRule>
    <cfRule type="cellIs" dxfId="0" priority="5" operator="equal">
      <formula>"E"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3:H98"/>
  <sheetViews>
    <sheetView showGridLines="0" topLeftCell="A7" workbookViewId="0"/>
  </sheetViews>
  <sheetFormatPr defaultColWidth="12.6640625" defaultRowHeight="15.75" customHeight="1"/>
  <cols>
    <col min="1" max="1" width="5.21875" customWidth="1"/>
    <col min="3" max="3" width="27.33203125" customWidth="1"/>
    <col min="4" max="4" width="10" customWidth="1"/>
    <col min="5" max="5" width="9" customWidth="1"/>
  </cols>
  <sheetData>
    <row r="3" spans="1:8">
      <c r="A3" s="46" t="s">
        <v>115</v>
      </c>
      <c r="B3" s="46" t="s">
        <v>2</v>
      </c>
      <c r="C3" s="46" t="s">
        <v>3</v>
      </c>
      <c r="D3" s="55" t="s">
        <v>110</v>
      </c>
      <c r="E3" s="55" t="s">
        <v>112</v>
      </c>
      <c r="F3" s="3"/>
      <c r="G3" s="3"/>
      <c r="H3" s="3"/>
    </row>
    <row r="4" spans="1:8">
      <c r="A4" s="47"/>
      <c r="B4" s="47"/>
      <c r="C4" s="47"/>
      <c r="D4" s="47"/>
      <c r="E4" s="47"/>
      <c r="F4" s="41"/>
      <c r="G4" s="41"/>
      <c r="H4" s="41"/>
    </row>
    <row r="5" spans="1:8">
      <c r="A5" s="4">
        <f>'INPUT DAFTAR PESERTA'!A4</f>
        <v>1</v>
      </c>
      <c r="B5" s="4">
        <f>'INPUT DAFTAR PESERTA'!B4</f>
        <v>2209076028</v>
      </c>
      <c r="C5" s="6" t="str">
        <f>'INPUT DAFTAR PESERTA'!C4</f>
        <v>Mirza Syihabudin Almas</v>
      </c>
      <c r="D5" s="14" t="e">
        <f>'NILAI AKHIR'!I6</f>
        <v>#NAME?</v>
      </c>
      <c r="E5" s="4" t="e">
        <f>'NILAI AKHIR'!K6</f>
        <v>#NAME?</v>
      </c>
      <c r="F5" s="3"/>
      <c r="G5" s="3"/>
      <c r="H5" s="3"/>
    </row>
    <row r="6" spans="1:8" ht="15.75" customHeight="1">
      <c r="A6" s="4">
        <f>'INPUT DAFTAR PESERTA'!A5</f>
        <v>2</v>
      </c>
      <c r="B6" s="4">
        <f>'INPUT DAFTAR PESERTA'!B5</f>
        <v>2509076001</v>
      </c>
      <c r="C6" s="6" t="str">
        <f>'INPUT DAFTAR PESERTA'!C5</f>
        <v>Mohammad Ali Murtadlo</v>
      </c>
      <c r="D6" s="14">
        <f>'NILAI AKHIR'!I7</f>
        <v>68.742500000000007</v>
      </c>
      <c r="E6" s="4" t="str">
        <f>'NILAI AKHIR'!K7</f>
        <v>C</v>
      </c>
      <c r="F6" s="3"/>
      <c r="G6" s="42" t="s">
        <v>116</v>
      </c>
      <c r="H6" s="42" t="s">
        <v>117</v>
      </c>
    </row>
    <row r="7" spans="1:8" ht="15.75" customHeight="1">
      <c r="A7" s="4">
        <f>'INPUT DAFTAR PESERTA'!A6</f>
        <v>3</v>
      </c>
      <c r="B7" s="4">
        <f>'INPUT DAFTAR PESERTA'!B6</f>
        <v>2509076002</v>
      </c>
      <c r="C7" s="6" t="str">
        <f>'INPUT DAFTAR PESERTA'!C6</f>
        <v>Muhammad Zahid Sabil</v>
      </c>
      <c r="D7" s="14">
        <f>'NILAI AKHIR'!I8</f>
        <v>75.584374999999994</v>
      </c>
      <c r="E7" s="4" t="str">
        <f>'NILAI AKHIR'!K8</f>
        <v>B</v>
      </c>
      <c r="F7" s="3"/>
      <c r="G7" s="43" t="s">
        <v>118</v>
      </c>
      <c r="H7" s="43">
        <f>COUNTIF(E5:E79,"A")</f>
        <v>5</v>
      </c>
    </row>
    <row r="8" spans="1:8" ht="15.75" customHeight="1">
      <c r="A8" s="4">
        <f>'INPUT DAFTAR PESERTA'!A7</f>
        <v>4</v>
      </c>
      <c r="B8" s="4">
        <f>'INPUT DAFTAR PESERTA'!B7</f>
        <v>2509076003</v>
      </c>
      <c r="C8" s="6" t="str">
        <f>'INPUT DAFTAR PESERTA'!C7</f>
        <v>Javier Abid Danapati</v>
      </c>
      <c r="D8" s="14">
        <f>'NILAI AKHIR'!I9</f>
        <v>68.075000000000003</v>
      </c>
      <c r="E8" s="4" t="str">
        <f>'NILAI AKHIR'!K9</f>
        <v>C</v>
      </c>
      <c r="F8" s="3"/>
      <c r="G8" s="43" t="s">
        <v>119</v>
      </c>
      <c r="H8" s="43">
        <f>COUNTIF(E5:E79,"B")</f>
        <v>28</v>
      </c>
    </row>
    <row r="9" spans="1:8" ht="15.75" customHeight="1">
      <c r="A9" s="4">
        <f>'INPUT DAFTAR PESERTA'!A8</f>
        <v>5</v>
      </c>
      <c r="B9" s="4">
        <f>'INPUT DAFTAR PESERTA'!B8</f>
        <v>2509076004</v>
      </c>
      <c r="C9" s="6" t="str">
        <f>'INPUT DAFTAR PESERTA'!C8</f>
        <v>Cristian Mouses</v>
      </c>
      <c r="D9" s="14">
        <f>'NILAI AKHIR'!I10</f>
        <v>70.962500000000006</v>
      </c>
      <c r="E9" s="4" t="str">
        <f>'NILAI AKHIR'!K10</f>
        <v>B</v>
      </c>
      <c r="F9" s="3"/>
      <c r="G9" s="43" t="s">
        <v>120</v>
      </c>
      <c r="H9" s="43">
        <f>COUNTIF(E5:E79,"C")</f>
        <v>19</v>
      </c>
    </row>
    <row r="10" spans="1:8" ht="15.75" customHeight="1">
      <c r="A10" s="4">
        <f>'INPUT DAFTAR PESERTA'!A9</f>
        <v>6</v>
      </c>
      <c r="B10" s="4">
        <f>'INPUT DAFTAR PESERTA'!B9</f>
        <v>2509076005</v>
      </c>
      <c r="C10" s="6" t="str">
        <f>'INPUT DAFTAR PESERTA'!C9</f>
        <v>Guarimus Rinaldi Ngera</v>
      </c>
      <c r="D10" s="14">
        <f>'NILAI AKHIR'!I11</f>
        <v>61.884374999999999</v>
      </c>
      <c r="E10" s="4" t="str">
        <f>'NILAI AKHIR'!K11</f>
        <v>C</v>
      </c>
      <c r="F10" s="3"/>
      <c r="G10" s="43" t="s">
        <v>121</v>
      </c>
      <c r="H10" s="43">
        <f>COUNTIF(E5:E79,"D")</f>
        <v>5</v>
      </c>
    </row>
    <row r="11" spans="1:8" ht="15.75" customHeight="1">
      <c r="A11" s="4">
        <f>'INPUT DAFTAR PESERTA'!A10</f>
        <v>7</v>
      </c>
      <c r="B11" s="4">
        <f>'INPUT DAFTAR PESERTA'!B10</f>
        <v>2509076006</v>
      </c>
      <c r="C11" s="6" t="str">
        <f>'INPUT DAFTAR PESERTA'!C10</f>
        <v>Rafly Khoirul Rizky</v>
      </c>
      <c r="D11" s="14">
        <f>'NILAI AKHIR'!I12</f>
        <v>67.783124999999998</v>
      </c>
      <c r="E11" s="4" t="str">
        <f>'NILAI AKHIR'!K12</f>
        <v>C</v>
      </c>
      <c r="F11" s="3"/>
      <c r="G11" s="43" t="s">
        <v>122</v>
      </c>
      <c r="H11" s="43">
        <f>COUNTIF(E5:E79,"E")</f>
        <v>2</v>
      </c>
    </row>
    <row r="12" spans="1:8">
      <c r="A12" s="4">
        <f>'INPUT DAFTAR PESERTA'!A11</f>
        <v>8</v>
      </c>
      <c r="B12" s="4">
        <f>'INPUT DAFTAR PESERTA'!B11</f>
        <v>2509076007</v>
      </c>
      <c r="C12" s="6" t="str">
        <f>'INPUT DAFTAR PESERTA'!C11</f>
        <v>Nurdian Bagus Setiawan</v>
      </c>
      <c r="D12" s="14">
        <f>'NILAI AKHIR'!I13</f>
        <v>65.109375</v>
      </c>
      <c r="E12" s="4" t="str">
        <f>'NILAI AKHIR'!K13</f>
        <v>C</v>
      </c>
      <c r="F12" s="3"/>
      <c r="G12" s="3"/>
      <c r="H12" s="3"/>
    </row>
    <row r="13" spans="1:8">
      <c r="A13" s="4">
        <f>'INPUT DAFTAR PESERTA'!A12</f>
        <v>9</v>
      </c>
      <c r="B13" s="4">
        <f>'INPUT DAFTAR PESERTA'!B12</f>
        <v>2509076008</v>
      </c>
      <c r="C13" s="6" t="str">
        <f>'INPUT DAFTAR PESERTA'!C12</f>
        <v>Krisna Akbar</v>
      </c>
      <c r="D13" s="14">
        <f>'NILAI AKHIR'!I14</f>
        <v>70.746875000000003</v>
      </c>
      <c r="E13" s="4" t="str">
        <f>'NILAI AKHIR'!K14</f>
        <v>B</v>
      </c>
      <c r="F13" s="3"/>
      <c r="G13" s="3"/>
      <c r="H13" s="3"/>
    </row>
    <row r="14" spans="1:8">
      <c r="A14" s="4">
        <f>'INPUT DAFTAR PESERTA'!A13</f>
        <v>10</v>
      </c>
      <c r="B14" s="4">
        <f>'INPUT DAFTAR PESERTA'!B13</f>
        <v>2509076009</v>
      </c>
      <c r="C14" s="6" t="str">
        <f>'INPUT DAFTAR PESERTA'!C13</f>
        <v>Muhammad Naufal Ammar Dzakiy</v>
      </c>
      <c r="D14" s="14">
        <f>'NILAI AKHIR'!I15</f>
        <v>63.303125000000001</v>
      </c>
      <c r="E14" s="4" t="str">
        <f>'NILAI AKHIR'!K15</f>
        <v>C</v>
      </c>
      <c r="F14" s="3"/>
      <c r="G14" s="3"/>
      <c r="H14" s="3"/>
    </row>
    <row r="15" spans="1:8">
      <c r="A15" s="4">
        <f>'INPUT DAFTAR PESERTA'!A14</f>
        <v>11</v>
      </c>
      <c r="B15" s="4">
        <f>'INPUT DAFTAR PESERTA'!B14</f>
        <v>2509076010</v>
      </c>
      <c r="C15" s="6" t="str">
        <f>'INPUT DAFTAR PESERTA'!C14</f>
        <v>Muhammad Fathir</v>
      </c>
      <c r="D15" s="14">
        <f>'NILAI AKHIR'!I16</f>
        <v>69.471874999999997</v>
      </c>
      <c r="E15" s="4" t="str">
        <f>'NILAI AKHIR'!K16</f>
        <v>C</v>
      </c>
      <c r="F15" s="3"/>
      <c r="G15" s="3"/>
      <c r="H15" s="3"/>
    </row>
    <row r="16" spans="1:8" ht="13.8">
      <c r="A16" s="4">
        <f>'INPUT DAFTAR PESERTA'!A15</f>
        <v>12</v>
      </c>
      <c r="B16" s="4">
        <f>'INPUT DAFTAR PESERTA'!B15</f>
        <v>2509076011</v>
      </c>
      <c r="C16" s="6" t="str">
        <f>'INPUT DAFTAR PESERTA'!C15</f>
        <v>Waiz Ar Rozzaq</v>
      </c>
      <c r="D16" s="14">
        <f>'NILAI AKHIR'!I17</f>
        <v>80.009375000000006</v>
      </c>
      <c r="E16" s="4" t="str">
        <f>'NILAI AKHIR'!K17</f>
        <v>A</v>
      </c>
      <c r="F16" s="3"/>
      <c r="G16" s="3"/>
      <c r="H16" s="3"/>
    </row>
    <row r="17" spans="1:8" ht="13.8">
      <c r="A17" s="4">
        <f>'INPUT DAFTAR PESERTA'!A16</f>
        <v>13</v>
      </c>
      <c r="B17" s="4">
        <f>'INPUT DAFTAR PESERTA'!B16</f>
        <v>2509076012</v>
      </c>
      <c r="C17" s="6" t="str">
        <f>'INPUT DAFTAR PESERTA'!C16</f>
        <v>Aditya Windri Andra</v>
      </c>
      <c r="D17" s="14">
        <f>'NILAI AKHIR'!I18</f>
        <v>73.97312500000001</v>
      </c>
      <c r="E17" s="4" t="str">
        <f>'NILAI AKHIR'!K18</f>
        <v>B</v>
      </c>
      <c r="F17" s="3"/>
      <c r="G17" s="3"/>
      <c r="H17" s="3"/>
    </row>
    <row r="18" spans="1:8" ht="13.8">
      <c r="A18" s="4">
        <f>'INPUT DAFTAR PESERTA'!A17</f>
        <v>14</v>
      </c>
      <c r="B18" s="4">
        <f>'INPUT DAFTAR PESERTA'!B17</f>
        <v>2509076013</v>
      </c>
      <c r="C18" s="6" t="str">
        <f>'INPUT DAFTAR PESERTA'!C17</f>
        <v>Wisnu Gafur</v>
      </c>
      <c r="D18" s="14">
        <f>'NILAI AKHIR'!I19</f>
        <v>54.410624999999996</v>
      </c>
      <c r="E18" s="4" t="str">
        <f>'NILAI AKHIR'!K19</f>
        <v>D</v>
      </c>
      <c r="F18" s="3"/>
      <c r="G18" s="3"/>
      <c r="H18" s="3"/>
    </row>
    <row r="19" spans="1:8" ht="13.8">
      <c r="A19" s="4">
        <f>'INPUT DAFTAR PESERTA'!A18</f>
        <v>15</v>
      </c>
      <c r="B19" s="4">
        <f>'INPUT DAFTAR PESERTA'!B18</f>
        <v>2509076014</v>
      </c>
      <c r="C19" s="6" t="str">
        <f>'INPUT DAFTAR PESERTA'!C18</f>
        <v>Given Subagja</v>
      </c>
      <c r="D19" s="14">
        <f>'NILAI AKHIR'!I20</f>
        <v>73.25437500000001</v>
      </c>
      <c r="E19" s="4" t="str">
        <f>'NILAI AKHIR'!K20</f>
        <v>B</v>
      </c>
      <c r="F19" s="3"/>
      <c r="G19" s="3"/>
      <c r="H19" s="3"/>
    </row>
    <row r="20" spans="1:8" ht="13.8">
      <c r="A20" s="4">
        <f>'INPUT DAFTAR PESERTA'!A19</f>
        <v>16</v>
      </c>
      <c r="B20" s="4">
        <f>'INPUT DAFTAR PESERTA'!B19</f>
        <v>2509076015</v>
      </c>
      <c r="C20" s="6" t="str">
        <f>'INPUT DAFTAR PESERTA'!C19</f>
        <v>Taufiqurrahman</v>
      </c>
      <c r="D20" s="14">
        <f>'NILAI AKHIR'!I21</f>
        <v>76.707499999999996</v>
      </c>
      <c r="E20" s="4" t="str">
        <f>'NILAI AKHIR'!K21</f>
        <v>B</v>
      </c>
      <c r="F20" s="3"/>
      <c r="G20" s="3"/>
      <c r="H20" s="3"/>
    </row>
    <row r="21" spans="1:8" ht="13.8">
      <c r="A21" s="4">
        <f>'INPUT DAFTAR PESERTA'!A20</f>
        <v>17</v>
      </c>
      <c r="B21" s="4">
        <f>'INPUT DAFTAR PESERTA'!B20</f>
        <v>2509076016</v>
      </c>
      <c r="C21" s="6" t="str">
        <f>'INPUT DAFTAR PESERTA'!C20</f>
        <v>Nazwa Gizza Putri Bayu</v>
      </c>
      <c r="D21" s="14">
        <f>'NILAI AKHIR'!I22</f>
        <v>75.573125000000005</v>
      </c>
      <c r="E21" s="4" t="str">
        <f>'NILAI AKHIR'!K22</f>
        <v>B</v>
      </c>
      <c r="F21" s="3"/>
      <c r="G21" s="3"/>
      <c r="H21" s="3"/>
    </row>
    <row r="22" spans="1:8" ht="13.8">
      <c r="A22" s="4">
        <f>'INPUT DAFTAR PESERTA'!A21</f>
        <v>18</v>
      </c>
      <c r="B22" s="4">
        <f>'INPUT DAFTAR PESERTA'!B21</f>
        <v>2509076017</v>
      </c>
      <c r="C22" s="6" t="str">
        <f>'INPUT DAFTAR PESERTA'!C21</f>
        <v>Ryan Maulana Malik</v>
      </c>
      <c r="D22" s="14">
        <f>'NILAI AKHIR'!I23</f>
        <v>76.00437500000001</v>
      </c>
      <c r="E22" s="4" t="str">
        <f>'NILAI AKHIR'!K23</f>
        <v>B</v>
      </c>
      <c r="F22" s="3"/>
      <c r="G22" s="3"/>
      <c r="H22" s="3"/>
    </row>
    <row r="23" spans="1:8" ht="13.8">
      <c r="A23" s="4">
        <f>'INPUT DAFTAR PESERTA'!A22</f>
        <v>19</v>
      </c>
      <c r="B23" s="4">
        <f>'INPUT DAFTAR PESERTA'!B22</f>
        <v>2509076018</v>
      </c>
      <c r="C23" s="6" t="str">
        <f>'INPUT DAFTAR PESERTA'!C22</f>
        <v>Fajar Ihsan</v>
      </c>
      <c r="D23" s="14">
        <f>'NILAI AKHIR'!I24</f>
        <v>71.974999999999994</v>
      </c>
      <c r="E23" s="4" t="str">
        <f>'NILAI AKHIR'!K24</f>
        <v>B</v>
      </c>
      <c r="F23" s="3"/>
      <c r="G23" s="3"/>
      <c r="H23" s="3"/>
    </row>
    <row r="24" spans="1:8" ht="13.8">
      <c r="A24" s="4">
        <f>'INPUT DAFTAR PESERTA'!A23</f>
        <v>20</v>
      </c>
      <c r="B24" s="4">
        <f>'INPUT DAFTAR PESERTA'!B23</f>
        <v>2509076019</v>
      </c>
      <c r="C24" s="6" t="str">
        <f>'INPUT DAFTAR PESERTA'!C23</f>
        <v>Rava Erika Putri</v>
      </c>
      <c r="D24" s="14">
        <f>'NILAI AKHIR'!I25</f>
        <v>72.099999999999994</v>
      </c>
      <c r="E24" s="4" t="str">
        <f>'NILAI AKHIR'!K25</f>
        <v>B</v>
      </c>
      <c r="F24" s="3"/>
      <c r="G24" s="3"/>
      <c r="H24" s="3"/>
    </row>
    <row r="25" spans="1:8" ht="13.8">
      <c r="A25" s="4">
        <f>'INPUT DAFTAR PESERTA'!A24</f>
        <v>21</v>
      </c>
      <c r="B25" s="4">
        <f>'INPUT DAFTAR PESERTA'!B24</f>
        <v>2509076020</v>
      </c>
      <c r="C25" s="6" t="str">
        <f>'INPUT DAFTAR PESERTA'!C24</f>
        <v>Ikhsan Nur</v>
      </c>
      <c r="D25" s="14">
        <f>'NILAI AKHIR'!I26</f>
        <v>73.724999999999994</v>
      </c>
      <c r="E25" s="4" t="str">
        <f>'NILAI AKHIR'!K26</f>
        <v>B</v>
      </c>
      <c r="F25" s="3"/>
      <c r="G25" s="3"/>
      <c r="H25" s="3"/>
    </row>
    <row r="26" spans="1:8" ht="13.8">
      <c r="A26" s="4">
        <f>'INPUT DAFTAR PESERTA'!A25</f>
        <v>22</v>
      </c>
      <c r="B26" s="4">
        <f>'INPUT DAFTAR PESERTA'!B25</f>
        <v>2509076021</v>
      </c>
      <c r="C26" s="6" t="str">
        <f>'INPUT DAFTAR PESERTA'!C25</f>
        <v>Fahri Fadil Afif</v>
      </c>
      <c r="D26" s="14">
        <f>'NILAI AKHIR'!I27</f>
        <v>62.987499999999997</v>
      </c>
      <c r="E26" s="4" t="str">
        <f>'NILAI AKHIR'!K27</f>
        <v>C</v>
      </c>
      <c r="F26" s="3"/>
      <c r="G26" s="3"/>
      <c r="H26" s="3"/>
    </row>
    <row r="27" spans="1:8" ht="13.8">
      <c r="A27" s="4">
        <f>'INPUT DAFTAR PESERTA'!A26</f>
        <v>23</v>
      </c>
      <c r="B27" s="4">
        <f>'INPUT DAFTAR PESERTA'!B26</f>
        <v>2509076022</v>
      </c>
      <c r="C27" s="6" t="str">
        <f>'INPUT DAFTAR PESERTA'!C26</f>
        <v>Andika Yanuardani</v>
      </c>
      <c r="D27" s="14">
        <f>'NILAI AKHIR'!I28</f>
        <v>77.03125</v>
      </c>
      <c r="E27" s="4" t="str">
        <f>'NILAI AKHIR'!K28</f>
        <v>B</v>
      </c>
      <c r="F27" s="3"/>
      <c r="G27" s="3"/>
      <c r="H27" s="3"/>
    </row>
    <row r="28" spans="1:8" ht="13.8">
      <c r="A28" s="4">
        <f>'INPUT DAFTAR PESERTA'!A27</f>
        <v>24</v>
      </c>
      <c r="B28" s="4">
        <f>'INPUT DAFTAR PESERTA'!B27</f>
        <v>2509076023</v>
      </c>
      <c r="C28" s="6" t="str">
        <f>'INPUT DAFTAR PESERTA'!C27</f>
        <v>Muhammad Hernanditya Rizky Susanto</v>
      </c>
      <c r="D28" s="14">
        <f>'NILAI AKHIR'!I29</f>
        <v>74.943749999999994</v>
      </c>
      <c r="E28" s="4" t="str">
        <f>'NILAI AKHIR'!K29</f>
        <v>B</v>
      </c>
      <c r="F28" s="3"/>
      <c r="G28" s="3"/>
      <c r="H28" s="3"/>
    </row>
    <row r="29" spans="1:8" ht="13.8">
      <c r="A29" s="4">
        <f>'INPUT DAFTAR PESERTA'!A28</f>
        <v>25</v>
      </c>
      <c r="B29" s="4">
        <f>'INPUT DAFTAR PESERTA'!B28</f>
        <v>2509076024</v>
      </c>
      <c r="C29" s="6" t="str">
        <f>'INPUT DAFTAR PESERTA'!C28</f>
        <v>Febrianto Paa Linthin</v>
      </c>
      <c r="D29" s="14">
        <f>'NILAI AKHIR'!I30</f>
        <v>80.0625</v>
      </c>
      <c r="E29" s="4" t="str">
        <f>'NILAI AKHIR'!K30</f>
        <v>A</v>
      </c>
      <c r="F29" s="3"/>
      <c r="G29" s="3"/>
      <c r="H29" s="3"/>
    </row>
    <row r="30" spans="1:8" ht="13.8">
      <c r="A30" s="4">
        <f>'INPUT DAFTAR PESERTA'!A29</f>
        <v>26</v>
      </c>
      <c r="B30" s="4">
        <f>'INPUT DAFTAR PESERTA'!B29</f>
        <v>2509076025</v>
      </c>
      <c r="C30" s="6" t="str">
        <f>'INPUT DAFTAR PESERTA'!C29</f>
        <v>Sandriko Pebrian Silaen</v>
      </c>
      <c r="D30" s="14">
        <f>'NILAI AKHIR'!I31</f>
        <v>76.137500000000003</v>
      </c>
      <c r="E30" s="4" t="str">
        <f>'NILAI AKHIR'!K31</f>
        <v>B</v>
      </c>
      <c r="F30" s="3"/>
      <c r="G30" s="3"/>
      <c r="H30" s="3"/>
    </row>
    <row r="31" spans="1:8" ht="13.8">
      <c r="A31" s="4">
        <f>'INPUT DAFTAR PESERTA'!A30</f>
        <v>27</v>
      </c>
      <c r="B31" s="4">
        <f>'INPUT DAFTAR PESERTA'!B30</f>
        <v>2509076026</v>
      </c>
      <c r="C31" s="6" t="str">
        <f>'INPUT DAFTAR PESERTA'!C30</f>
        <v>Alifka Pasha Assiddiq</v>
      </c>
      <c r="D31" s="14">
        <f>'NILAI AKHIR'!I32</f>
        <v>75.788125000000008</v>
      </c>
      <c r="E31" s="4" t="str">
        <f>'NILAI AKHIR'!K32</f>
        <v>B</v>
      </c>
      <c r="F31" s="3"/>
      <c r="G31" s="3"/>
      <c r="H31" s="3"/>
    </row>
    <row r="32" spans="1:8" ht="13.8">
      <c r="A32" s="4">
        <f>'INPUT DAFTAR PESERTA'!A31</f>
        <v>28</v>
      </c>
      <c r="B32" s="4">
        <f>'INPUT DAFTAR PESERTA'!B31</f>
        <v>2509076027</v>
      </c>
      <c r="C32" s="6" t="str">
        <f>'INPUT DAFTAR PESERTA'!C31</f>
        <v>Firaas Nur Atsaal</v>
      </c>
      <c r="D32" s="14">
        <f>'NILAI AKHIR'!I33</f>
        <v>81.006249999999994</v>
      </c>
      <c r="E32" s="4" t="str">
        <f>'NILAI AKHIR'!K33</f>
        <v>A</v>
      </c>
      <c r="F32" s="3"/>
      <c r="G32" s="3"/>
      <c r="H32" s="3"/>
    </row>
    <row r="33" spans="1:8" ht="13.8">
      <c r="A33" s="4">
        <f>'INPUT DAFTAR PESERTA'!A32</f>
        <v>29</v>
      </c>
      <c r="B33" s="4">
        <f>'INPUT DAFTAR PESERTA'!B32</f>
        <v>2509076028</v>
      </c>
      <c r="C33" s="6" t="str">
        <f>'INPUT DAFTAR PESERTA'!C32</f>
        <v>M. Davy Ananda</v>
      </c>
      <c r="D33" s="14">
        <f>'NILAI AKHIR'!I34</f>
        <v>74.440625000000011</v>
      </c>
      <c r="E33" s="4" t="str">
        <f>'NILAI AKHIR'!K34</f>
        <v>B</v>
      </c>
      <c r="F33" s="3"/>
      <c r="G33" s="3"/>
      <c r="H33" s="3"/>
    </row>
    <row r="34" spans="1:8" ht="13.8">
      <c r="A34" s="4">
        <f>'INPUT DAFTAR PESERTA'!A33</f>
        <v>30</v>
      </c>
      <c r="B34" s="4">
        <f>'INPUT DAFTAR PESERTA'!B33</f>
        <v>2509076029</v>
      </c>
      <c r="C34" s="6" t="str">
        <f>'INPUT DAFTAR PESERTA'!C33</f>
        <v>Abimanyu Putra Nugroho</v>
      </c>
      <c r="D34" s="14">
        <f>'NILAI AKHIR'!I35</f>
        <v>70.681250000000006</v>
      </c>
      <c r="E34" s="4" t="str">
        <f>'NILAI AKHIR'!K35</f>
        <v>B</v>
      </c>
      <c r="F34" s="3"/>
      <c r="G34" s="3"/>
      <c r="H34" s="3"/>
    </row>
    <row r="35" spans="1:8" ht="13.8">
      <c r="A35" s="4">
        <f>'INPUT DAFTAR PESERTA'!A34</f>
        <v>31</v>
      </c>
      <c r="B35" s="4">
        <f>'INPUT DAFTAR PESERTA'!B34</f>
        <v>2509076030</v>
      </c>
      <c r="C35" s="6" t="str">
        <f>'INPUT DAFTAR PESERTA'!C34</f>
        <v>Nur Fahmi Saputra</v>
      </c>
      <c r="D35" s="14">
        <f>'NILAI AKHIR'!I36</f>
        <v>64.256249999999994</v>
      </c>
      <c r="E35" s="4" t="str">
        <f>'NILAI AKHIR'!K36</f>
        <v>C</v>
      </c>
      <c r="F35" s="3"/>
      <c r="G35" s="3"/>
      <c r="H35" s="3"/>
    </row>
    <row r="36" spans="1:8" ht="13.8">
      <c r="A36" s="4">
        <f>'INPUT DAFTAR PESERTA'!A35</f>
        <v>32</v>
      </c>
      <c r="B36" s="4">
        <f>'INPUT DAFTAR PESERTA'!B35</f>
        <v>2509076031</v>
      </c>
      <c r="C36" s="6" t="str">
        <f>'INPUT DAFTAR PESERTA'!C35</f>
        <v>Sentike Baso'</v>
      </c>
      <c r="D36" s="14">
        <f>'NILAI AKHIR'!I37</f>
        <v>68.900000000000006</v>
      </c>
      <c r="E36" s="4" t="str">
        <f>'NILAI AKHIR'!K37</f>
        <v>C</v>
      </c>
      <c r="F36" s="3"/>
      <c r="G36" s="3"/>
      <c r="H36" s="3"/>
    </row>
    <row r="37" spans="1:8" ht="13.8">
      <c r="A37" s="4">
        <f>'INPUT DAFTAR PESERTA'!A36</f>
        <v>33</v>
      </c>
      <c r="B37" s="4">
        <f>'INPUT DAFTAR PESERTA'!B36</f>
        <v>2509076032</v>
      </c>
      <c r="C37" s="6" t="str">
        <f>'INPUT DAFTAR PESERTA'!C36</f>
        <v>Muhammad Dzaky Nirwasita</v>
      </c>
      <c r="D37" s="14">
        <f>'NILAI AKHIR'!I38</f>
        <v>75.925000000000011</v>
      </c>
      <c r="E37" s="4" t="str">
        <f>'NILAI AKHIR'!K38</f>
        <v>B</v>
      </c>
      <c r="F37" s="3"/>
      <c r="G37" s="3"/>
      <c r="H37" s="3"/>
    </row>
    <row r="38" spans="1:8" ht="13.8">
      <c r="A38" s="4">
        <f>'INPUT DAFTAR PESERTA'!A37</f>
        <v>34</v>
      </c>
      <c r="B38" s="4">
        <f>'INPUT DAFTAR PESERTA'!B37</f>
        <v>2509076033</v>
      </c>
      <c r="C38" s="6" t="str">
        <f>'INPUT DAFTAR PESERTA'!C37</f>
        <v>Ilham Pratama</v>
      </c>
      <c r="D38" s="14">
        <f>'NILAI AKHIR'!I39</f>
        <v>70.995000000000005</v>
      </c>
      <c r="E38" s="4" t="str">
        <f>'NILAI AKHIR'!K39</f>
        <v>B</v>
      </c>
      <c r="F38" s="3"/>
      <c r="G38" s="3"/>
      <c r="H38" s="3"/>
    </row>
    <row r="39" spans="1:8" ht="13.8">
      <c r="A39" s="4">
        <f>'INPUT DAFTAR PESERTA'!A38</f>
        <v>35</v>
      </c>
      <c r="B39" s="4">
        <f>'INPUT DAFTAR PESERTA'!B38</f>
        <v>2509076034</v>
      </c>
      <c r="C39" s="6" t="str">
        <f>'INPUT DAFTAR PESERTA'!C38</f>
        <v>Muhammad Azwa Brilianto</v>
      </c>
      <c r="D39" s="14">
        <f>'NILAI AKHIR'!I40</f>
        <v>77.079374999999999</v>
      </c>
      <c r="E39" s="4" t="str">
        <f>'NILAI AKHIR'!K40</f>
        <v>B</v>
      </c>
      <c r="F39" s="3"/>
      <c r="G39" s="3"/>
      <c r="H39" s="3"/>
    </row>
    <row r="40" spans="1:8" ht="13.8">
      <c r="A40" s="4">
        <f>'INPUT DAFTAR PESERTA'!A39</f>
        <v>36</v>
      </c>
      <c r="B40" s="4">
        <f>'INPUT DAFTAR PESERTA'!B39</f>
        <v>2509076035</v>
      </c>
      <c r="C40" s="6" t="str">
        <f>'INPUT DAFTAR PESERTA'!C39</f>
        <v>Mario Renhard Simanullang</v>
      </c>
      <c r="D40" s="14">
        <f>'NILAI AKHIR'!I41</f>
        <v>75.33250000000001</v>
      </c>
      <c r="E40" s="4" t="str">
        <f>'NILAI AKHIR'!K41</f>
        <v>B</v>
      </c>
      <c r="F40" s="3"/>
      <c r="G40" s="3"/>
      <c r="H40" s="3"/>
    </row>
    <row r="41" spans="1:8" ht="13.8">
      <c r="A41" s="4">
        <f>'INPUT DAFTAR PESERTA'!A40</f>
        <v>37</v>
      </c>
      <c r="B41" s="4">
        <f>'INPUT DAFTAR PESERTA'!B40</f>
        <v>2509076036</v>
      </c>
      <c r="C41" s="6" t="str">
        <f>'INPUT DAFTAR PESERTA'!C40</f>
        <v>Andhika Ananda Gusthy</v>
      </c>
      <c r="D41" s="14">
        <f>'NILAI AKHIR'!I42</f>
        <v>80.374375000000001</v>
      </c>
      <c r="E41" s="4" t="str">
        <f>'NILAI AKHIR'!K42</f>
        <v>A</v>
      </c>
      <c r="F41" s="3"/>
      <c r="G41" s="3"/>
      <c r="H41" s="3"/>
    </row>
    <row r="42" spans="1:8" ht="13.8">
      <c r="A42" s="4">
        <f>'INPUT DAFTAR PESERTA'!A41</f>
        <v>38</v>
      </c>
      <c r="B42" s="4">
        <f>'INPUT DAFTAR PESERTA'!B41</f>
        <v>2509076037</v>
      </c>
      <c r="C42" s="6" t="str">
        <f>'INPUT DAFTAR PESERTA'!C41</f>
        <v>Zherfaqih Al Barki</v>
      </c>
      <c r="D42" s="14">
        <f>'NILAI AKHIR'!I43</f>
        <v>66.784375000000011</v>
      </c>
      <c r="E42" s="4" t="str">
        <f>'NILAI AKHIR'!K43</f>
        <v>C</v>
      </c>
      <c r="F42" s="3"/>
      <c r="G42" s="3"/>
      <c r="H42" s="3"/>
    </row>
    <row r="43" spans="1:8" ht="13.8">
      <c r="A43" s="4">
        <f>'INPUT DAFTAR PESERTA'!A42</f>
        <v>39</v>
      </c>
      <c r="B43" s="4">
        <f>'INPUT DAFTAR PESERTA'!B42</f>
        <v>2509076038</v>
      </c>
      <c r="C43" s="6" t="str">
        <f>'INPUT DAFTAR PESERTA'!C42</f>
        <v>Reihan Aidil Adha</v>
      </c>
      <c r="D43" s="14">
        <f>'NILAI AKHIR'!I44</f>
        <v>64.346875000000011</v>
      </c>
      <c r="E43" s="4" t="str">
        <f>'NILAI AKHIR'!K44</f>
        <v>C</v>
      </c>
      <c r="F43" s="3"/>
      <c r="G43" s="3"/>
      <c r="H43" s="3"/>
    </row>
    <row r="44" spans="1:8" ht="13.8">
      <c r="A44" s="4">
        <f>'INPUT DAFTAR PESERTA'!A43</f>
        <v>40</v>
      </c>
      <c r="B44" s="4">
        <f>'INPUT DAFTAR PESERTA'!B43</f>
        <v>2509076039</v>
      </c>
      <c r="C44" s="6" t="str">
        <f>'INPUT DAFTAR PESERTA'!C43</f>
        <v>Baso Syamsurya</v>
      </c>
      <c r="D44" s="14">
        <f>'NILAI AKHIR'!I45</f>
        <v>74.021874999999994</v>
      </c>
      <c r="E44" s="4" t="str">
        <f>'NILAI AKHIR'!K45</f>
        <v>B</v>
      </c>
      <c r="F44" s="3"/>
      <c r="G44" s="3"/>
      <c r="H44" s="3"/>
    </row>
    <row r="45" spans="1:8" ht="13.8">
      <c r="A45" s="4">
        <f>'INPUT DAFTAR PESERTA'!A44</f>
        <v>41</v>
      </c>
      <c r="B45" s="4">
        <f>'INPUT DAFTAR PESERTA'!B44</f>
        <v>2509076040</v>
      </c>
      <c r="C45" s="6" t="str">
        <f>'INPUT DAFTAR PESERTA'!C44</f>
        <v>Andriadi Supardi</v>
      </c>
      <c r="D45" s="14">
        <f>'NILAI AKHIR'!I46</f>
        <v>80.104375000000005</v>
      </c>
      <c r="E45" s="4" t="str">
        <f>'NILAI AKHIR'!K46</f>
        <v>A</v>
      </c>
      <c r="F45" s="3"/>
      <c r="G45" s="3"/>
      <c r="H45" s="3"/>
    </row>
    <row r="46" spans="1:8" ht="13.8">
      <c r="A46" s="4">
        <f>'INPUT DAFTAR PESERTA'!A45</f>
        <v>42</v>
      </c>
      <c r="B46" s="4">
        <f>'INPUT DAFTAR PESERTA'!B45</f>
        <v>2509076041</v>
      </c>
      <c r="C46" s="6" t="str">
        <f>'INPUT DAFTAR PESERTA'!C45</f>
        <v>Achmad Fahri Kurniawan</v>
      </c>
      <c r="D46" s="14">
        <f>'NILAI AKHIR'!I47</f>
        <v>73.657499999999999</v>
      </c>
      <c r="E46" s="4" t="str">
        <f>'NILAI AKHIR'!K47</f>
        <v>B</v>
      </c>
      <c r="F46" s="3"/>
      <c r="G46" s="3"/>
      <c r="H46" s="3"/>
    </row>
    <row r="47" spans="1:8" ht="13.8">
      <c r="A47" s="4">
        <f>'INPUT DAFTAR PESERTA'!A46</f>
        <v>43</v>
      </c>
      <c r="B47" s="4">
        <f>'INPUT DAFTAR PESERTA'!B46</f>
        <v>2509076042</v>
      </c>
      <c r="C47" s="6" t="str">
        <f>'INPUT DAFTAR PESERTA'!C46</f>
        <v>Saktianata Eja Assami</v>
      </c>
      <c r="D47" s="14">
        <f>'NILAI AKHIR'!I48</f>
        <v>72.104375000000005</v>
      </c>
      <c r="E47" s="4" t="str">
        <f>'NILAI AKHIR'!K48</f>
        <v>B</v>
      </c>
      <c r="F47" s="3"/>
      <c r="G47" s="3"/>
      <c r="H47" s="3"/>
    </row>
    <row r="48" spans="1:8" ht="13.8">
      <c r="A48" s="4">
        <f>'INPUT DAFTAR PESERTA'!A47</f>
        <v>44</v>
      </c>
      <c r="B48" s="4">
        <f>'INPUT DAFTAR PESERTA'!B47</f>
        <v>2509076043</v>
      </c>
      <c r="C48" s="6" t="str">
        <f>'INPUT DAFTAR PESERTA'!C47</f>
        <v>Zhafanya Maydeline Robert</v>
      </c>
      <c r="D48" s="14">
        <f>'NILAI AKHIR'!I49</f>
        <v>67.788749999999993</v>
      </c>
      <c r="E48" s="4" t="str">
        <f>'NILAI AKHIR'!K49</f>
        <v>C</v>
      </c>
      <c r="F48" s="3"/>
      <c r="G48" s="3"/>
      <c r="H48" s="3"/>
    </row>
    <row r="49" spans="1:8" ht="13.8">
      <c r="A49" s="4">
        <f>'INPUT DAFTAR PESERTA'!A48</f>
        <v>45</v>
      </c>
      <c r="B49" s="4">
        <f>'INPUT DAFTAR PESERTA'!B48</f>
        <v>2509076044</v>
      </c>
      <c r="C49" s="6" t="str">
        <f>'INPUT DAFTAR PESERTA'!C48</f>
        <v>Dhifan Rangga Purwanto</v>
      </c>
      <c r="D49" s="14">
        <f>'NILAI AKHIR'!I50</f>
        <v>73.963750000000005</v>
      </c>
      <c r="E49" s="4" t="str">
        <f>'NILAI AKHIR'!K50</f>
        <v>B</v>
      </c>
      <c r="F49" s="3"/>
      <c r="G49" s="3"/>
      <c r="H49" s="3"/>
    </row>
    <row r="50" spans="1:8" ht="13.8">
      <c r="A50" s="4">
        <f>'INPUT DAFTAR PESERTA'!A49</f>
        <v>46</v>
      </c>
      <c r="B50" s="4">
        <f>'INPUT DAFTAR PESERTA'!B49</f>
        <v>2509076046</v>
      </c>
      <c r="C50" s="6" t="str">
        <f>'INPUT DAFTAR PESERTA'!C49</f>
        <v>Mohamad Hafid</v>
      </c>
      <c r="D50" s="14">
        <f>'NILAI AKHIR'!I51</f>
        <v>69.056250000000006</v>
      </c>
      <c r="E50" s="4" t="str">
        <f>'NILAI AKHIR'!K51</f>
        <v>C</v>
      </c>
      <c r="F50" s="3"/>
      <c r="G50" s="3"/>
      <c r="H50" s="3"/>
    </row>
    <row r="51" spans="1:8" ht="13.8">
      <c r="A51" s="4">
        <f>'INPUT DAFTAR PESERTA'!A50</f>
        <v>47</v>
      </c>
      <c r="B51" s="4">
        <f>'INPUT DAFTAR PESERTA'!B50</f>
        <v>2509076047</v>
      </c>
      <c r="C51" s="6" t="str">
        <f>'INPUT DAFTAR PESERTA'!C50</f>
        <v>Rifky Prasetya</v>
      </c>
      <c r="D51" s="14">
        <f>'NILAI AKHIR'!I52</f>
        <v>73.706249999999997</v>
      </c>
      <c r="E51" s="4" t="str">
        <f>'NILAI AKHIR'!K52</f>
        <v>B</v>
      </c>
      <c r="F51" s="3"/>
      <c r="G51" s="3"/>
      <c r="H51" s="3"/>
    </row>
    <row r="52" spans="1:8" ht="13.8">
      <c r="A52" s="4">
        <f>'INPUT DAFTAR PESERTA'!A51</f>
        <v>48</v>
      </c>
      <c r="B52" s="4">
        <f>'INPUT DAFTAR PESERTA'!B51</f>
        <v>2509076048</v>
      </c>
      <c r="C52" s="6" t="str">
        <f>'INPUT DAFTAR PESERTA'!C51</f>
        <v>Yusriel Ramadhan</v>
      </c>
      <c r="D52" s="14">
        <f>'NILAI AKHIR'!I53</f>
        <v>57.524999999999999</v>
      </c>
      <c r="E52" s="4" t="str">
        <f>'NILAI AKHIR'!K53</f>
        <v>D</v>
      </c>
      <c r="F52" s="3"/>
      <c r="G52" s="3"/>
      <c r="H52" s="3"/>
    </row>
    <row r="53" spans="1:8" ht="13.8">
      <c r="A53" s="4">
        <f>'INPUT DAFTAR PESERTA'!A52</f>
        <v>49</v>
      </c>
      <c r="B53" s="4">
        <f>'INPUT DAFTAR PESERTA'!B52</f>
        <v>2509076049</v>
      </c>
      <c r="C53" s="6" t="str">
        <f>'INPUT DAFTAR PESERTA'!C52</f>
        <v>Jiyad Prasetyo Abimanyu</v>
      </c>
      <c r="D53" s="14">
        <f>'NILAI AKHIR'!I54</f>
        <v>65.792500000000004</v>
      </c>
      <c r="E53" s="4" t="str">
        <f>'NILAI AKHIR'!K54</f>
        <v>C</v>
      </c>
      <c r="F53" s="3"/>
      <c r="G53" s="3"/>
      <c r="H53" s="3"/>
    </row>
    <row r="54" spans="1:8" ht="13.8">
      <c r="A54" s="4">
        <f>'INPUT DAFTAR PESERTA'!A53</f>
        <v>50</v>
      </c>
      <c r="B54" s="4">
        <f>'INPUT DAFTAR PESERTA'!B53</f>
        <v>2509076050</v>
      </c>
      <c r="C54" s="6" t="str">
        <f>'INPUT DAFTAR PESERTA'!C53</f>
        <v>Muhammad Alfin Al Hakim</v>
      </c>
      <c r="D54" s="14">
        <f>'NILAI AKHIR'!I55</f>
        <v>68.28125</v>
      </c>
      <c r="E54" s="4" t="str">
        <f>'NILAI AKHIR'!K55</f>
        <v>C</v>
      </c>
      <c r="F54" s="3"/>
      <c r="G54" s="3"/>
      <c r="H54" s="3"/>
    </row>
    <row r="55" spans="1:8" ht="13.8">
      <c r="A55" s="4">
        <f>'INPUT DAFTAR PESERTA'!A54</f>
        <v>51</v>
      </c>
      <c r="B55" s="4">
        <f>'INPUT DAFTAR PESERTA'!B54</f>
        <v>2509076051</v>
      </c>
      <c r="C55" s="6" t="str">
        <f>'INPUT DAFTAR PESERTA'!C54</f>
        <v>Naufal Kurniawan</v>
      </c>
      <c r="D55" s="14">
        <f>'NILAI AKHIR'!I56</f>
        <v>67.743750000000006</v>
      </c>
      <c r="E55" s="4" t="str">
        <f>'NILAI AKHIR'!K56</f>
        <v>C</v>
      </c>
      <c r="F55" s="3"/>
      <c r="G55" s="3"/>
      <c r="H55" s="3"/>
    </row>
    <row r="56" spans="1:8" ht="13.8">
      <c r="A56" s="4">
        <f>'INPUT DAFTAR PESERTA'!A55</f>
        <v>52</v>
      </c>
      <c r="B56" s="4">
        <f>'INPUT DAFTAR PESERTA'!B55</f>
        <v>2509076052</v>
      </c>
      <c r="C56" s="6" t="str">
        <f>'INPUT DAFTAR PESERTA'!C55</f>
        <v>Rifky Maulana Ilham</v>
      </c>
      <c r="D56" s="14">
        <f>'NILAI AKHIR'!I57</f>
        <v>74.155000000000001</v>
      </c>
      <c r="E56" s="4" t="str">
        <f>'NILAI AKHIR'!K57</f>
        <v>B</v>
      </c>
      <c r="F56" s="3"/>
      <c r="G56" s="3"/>
      <c r="H56" s="3"/>
    </row>
    <row r="57" spans="1:8" ht="13.8">
      <c r="A57" s="4">
        <f>'INPUT DAFTAR PESERTA'!A56</f>
        <v>53</v>
      </c>
      <c r="B57" s="4">
        <f>'INPUT DAFTAR PESERTA'!B56</f>
        <v>2509076053</v>
      </c>
      <c r="C57" s="6" t="str">
        <f>'INPUT DAFTAR PESERTA'!C56</f>
        <v>Aditia Prayoga</v>
      </c>
      <c r="D57" s="14">
        <f>'NILAI AKHIR'!I58</f>
        <v>57.400000000000006</v>
      </c>
      <c r="E57" s="4" t="str">
        <f>'NILAI AKHIR'!K58</f>
        <v>D</v>
      </c>
      <c r="F57" s="3"/>
      <c r="G57" s="3"/>
      <c r="H57" s="3"/>
    </row>
    <row r="58" spans="1:8" ht="13.8">
      <c r="A58" s="4">
        <f>'INPUT DAFTAR PESERTA'!A57</f>
        <v>54</v>
      </c>
      <c r="B58" s="4">
        <f>'INPUT DAFTAR PESERTA'!B57</f>
        <v>2509076054</v>
      </c>
      <c r="C58" s="6" t="str">
        <f>'INPUT DAFTAR PESERTA'!C57</f>
        <v>Muhammad Andi Faris De'mozart</v>
      </c>
      <c r="D58" s="14">
        <f>'NILAI AKHIR'!I59</f>
        <v>62.918750000000003</v>
      </c>
      <c r="E58" s="4" t="str">
        <f>'NILAI AKHIR'!K59</f>
        <v>C</v>
      </c>
      <c r="F58" s="3"/>
      <c r="G58" s="3"/>
      <c r="H58" s="3"/>
    </row>
    <row r="59" spans="1:8" ht="13.8">
      <c r="A59" s="4">
        <f>'INPUT DAFTAR PESERTA'!A58</f>
        <v>55</v>
      </c>
      <c r="B59" s="4">
        <f>'INPUT DAFTAR PESERTA'!B58</f>
        <v>2509076055</v>
      </c>
      <c r="C59" s="6" t="str">
        <f>'INPUT DAFTAR PESERTA'!C58</f>
        <v>Faiq Ramadhan Firdaus</v>
      </c>
      <c r="D59" s="14">
        <f>'NILAI AKHIR'!I60</f>
        <v>46.65625</v>
      </c>
      <c r="E59" s="4" t="str">
        <f>'NILAI AKHIR'!K60</f>
        <v>D</v>
      </c>
      <c r="F59" s="3"/>
      <c r="G59" s="3"/>
      <c r="H59" s="3"/>
    </row>
    <row r="60" spans="1:8" ht="13.8">
      <c r="A60" s="4">
        <f>'INPUT DAFTAR PESERTA'!A59</f>
        <v>56</v>
      </c>
      <c r="B60" s="4">
        <f>'INPUT DAFTAR PESERTA'!B59</f>
        <v>2509076056</v>
      </c>
      <c r="C60" s="6" t="str">
        <f>'INPUT DAFTAR PESERTA'!C59</f>
        <v>Fachry Nazrul Ramadhan</v>
      </c>
      <c r="D60" s="14">
        <f>'NILAI AKHIR'!I61</f>
        <v>75.809375000000003</v>
      </c>
      <c r="E60" s="4" t="str">
        <f>'NILAI AKHIR'!K61</f>
        <v>B</v>
      </c>
      <c r="F60" s="3"/>
      <c r="G60" s="3"/>
      <c r="H60" s="3"/>
    </row>
    <row r="61" spans="1:8" ht="13.8">
      <c r="A61" s="4">
        <f>'INPUT DAFTAR PESERTA'!A60</f>
        <v>57</v>
      </c>
      <c r="B61" s="4">
        <f>'INPUT DAFTAR PESERTA'!B60</f>
        <v>2509076057</v>
      </c>
      <c r="C61" s="6" t="str">
        <f>'INPUT DAFTAR PESERTA'!C60</f>
        <v>Bagas Sudidi</v>
      </c>
      <c r="D61" s="14">
        <f>'NILAI AKHIR'!I62</f>
        <v>62.487499999999997</v>
      </c>
      <c r="E61" s="4" t="str">
        <f>'NILAI AKHIR'!K62</f>
        <v>C</v>
      </c>
      <c r="F61" s="3"/>
      <c r="G61" s="3"/>
      <c r="H61" s="3"/>
    </row>
    <row r="62" spans="1:8" ht="13.8">
      <c r="A62" s="4">
        <f>'INPUT DAFTAR PESERTA'!A61</f>
        <v>58</v>
      </c>
      <c r="B62" s="4">
        <f>'INPUT DAFTAR PESERTA'!B61</f>
        <v>2509106133</v>
      </c>
      <c r="C62" s="6" t="str">
        <f>'INPUT DAFTAR PESERTA'!C61</f>
        <v>Ridho Putra Darma</v>
      </c>
      <c r="D62" s="14">
        <f>'NILAI AKHIR'!I63</f>
        <v>37.262500000000003</v>
      </c>
      <c r="E62" s="4" t="str">
        <f>'NILAI AKHIR'!K63</f>
        <v>E</v>
      </c>
      <c r="F62" s="3"/>
      <c r="G62" s="3"/>
      <c r="H62" s="3"/>
    </row>
    <row r="63" spans="1:8" ht="13.8">
      <c r="A63" s="4">
        <f>'INPUT DAFTAR PESERTA'!A62</f>
        <v>59</v>
      </c>
      <c r="B63" s="4">
        <f>'INPUT DAFTAR PESERTA'!B62</f>
        <v>2509106134</v>
      </c>
      <c r="C63" s="6" t="str">
        <f>'INPUT DAFTAR PESERTA'!C62</f>
        <v>Syarif Hidayat</v>
      </c>
      <c r="D63" s="14">
        <f>'NILAI AKHIR'!I64</f>
        <v>36.506250000000001</v>
      </c>
      <c r="E63" s="4" t="str">
        <f>'NILAI AKHIR'!K64</f>
        <v>E</v>
      </c>
      <c r="F63" s="3"/>
      <c r="G63" s="3"/>
      <c r="H63" s="3"/>
    </row>
    <row r="64" spans="1:8" ht="13.8">
      <c r="A64" s="4">
        <f>'INPUT DAFTAR PESERTA'!A63</f>
        <v>60</v>
      </c>
      <c r="B64" s="4">
        <f>'INPUT DAFTAR PESERTA'!B63</f>
        <v>2509106135</v>
      </c>
      <c r="C64" s="6" t="str">
        <f>'INPUT DAFTAR PESERTA'!C63</f>
        <v>Muhammad Dzaky Syachraini</v>
      </c>
      <c r="D64" s="14">
        <f>'NILAI AKHIR'!I65</f>
        <v>40.6875</v>
      </c>
      <c r="E64" s="4" t="str">
        <f>'NILAI AKHIR'!K65</f>
        <v>D</v>
      </c>
      <c r="F64" s="3"/>
      <c r="G64" s="3"/>
      <c r="H64" s="3"/>
    </row>
    <row r="65" spans="1:8" ht="13.2">
      <c r="A65" s="3"/>
      <c r="B65" s="3"/>
      <c r="C65" s="3"/>
      <c r="D65" s="3"/>
      <c r="E65" s="3"/>
      <c r="F65" s="3"/>
      <c r="G65" s="3"/>
      <c r="H65" s="3"/>
    </row>
    <row r="66" spans="1:8" ht="13.2">
      <c r="A66" s="3"/>
      <c r="B66" s="3"/>
      <c r="C66" s="3"/>
      <c r="D66" s="3"/>
      <c r="E66" s="3"/>
      <c r="F66" s="3"/>
      <c r="G66" s="3"/>
      <c r="H66" s="3"/>
    </row>
    <row r="67" spans="1:8" ht="13.2">
      <c r="A67" s="3"/>
      <c r="B67" s="3"/>
      <c r="C67" s="3"/>
      <c r="D67" s="3"/>
      <c r="E67" s="3"/>
      <c r="F67" s="3"/>
      <c r="G67" s="3"/>
      <c r="H67" s="3"/>
    </row>
    <row r="68" spans="1:8" ht="13.2">
      <c r="A68" s="3"/>
      <c r="B68" s="3"/>
      <c r="C68" s="3"/>
      <c r="D68" s="3"/>
      <c r="E68" s="3"/>
      <c r="F68" s="3"/>
      <c r="G68" s="3"/>
      <c r="H68" s="3"/>
    </row>
    <row r="69" spans="1:8" ht="13.2">
      <c r="A69" s="3"/>
      <c r="B69" s="3"/>
      <c r="C69" s="3"/>
      <c r="D69" s="3"/>
      <c r="E69" s="3"/>
      <c r="F69" s="3"/>
      <c r="G69" s="3"/>
      <c r="H69" s="3"/>
    </row>
    <row r="70" spans="1:8" ht="13.2">
      <c r="A70" s="3"/>
      <c r="B70" s="3"/>
      <c r="C70" s="3"/>
      <c r="D70" s="3"/>
      <c r="E70" s="3"/>
      <c r="F70" s="3"/>
      <c r="G70" s="3"/>
      <c r="H70" s="3"/>
    </row>
    <row r="71" spans="1:8" ht="13.2">
      <c r="A71" s="3"/>
      <c r="B71" s="3"/>
      <c r="C71" s="3"/>
      <c r="D71" s="3"/>
      <c r="E71" s="3"/>
      <c r="F71" s="3"/>
      <c r="G71" s="3"/>
      <c r="H71" s="3"/>
    </row>
    <row r="72" spans="1:8" ht="13.2">
      <c r="A72" s="3"/>
      <c r="B72" s="3"/>
      <c r="C72" s="3"/>
      <c r="D72" s="3"/>
      <c r="E72" s="3"/>
      <c r="F72" s="3"/>
      <c r="G72" s="3"/>
      <c r="H72" s="3"/>
    </row>
    <row r="73" spans="1:8" ht="13.2">
      <c r="A73" s="3"/>
      <c r="B73" s="3"/>
      <c r="C73" s="3"/>
      <c r="D73" s="3"/>
      <c r="E73" s="3"/>
      <c r="F73" s="3"/>
      <c r="G73" s="3"/>
      <c r="H73" s="3"/>
    </row>
    <row r="74" spans="1:8" ht="13.2">
      <c r="A74" s="3"/>
      <c r="B74" s="3"/>
      <c r="C74" s="3"/>
      <c r="D74" s="3"/>
      <c r="E74" s="3"/>
      <c r="F74" s="3"/>
      <c r="G74" s="3"/>
      <c r="H74" s="3"/>
    </row>
    <row r="75" spans="1:8" ht="13.2">
      <c r="A75" s="3"/>
      <c r="B75" s="3"/>
      <c r="C75" s="3"/>
      <c r="D75" s="3"/>
      <c r="E75" s="3"/>
      <c r="F75" s="3"/>
      <c r="G75" s="3"/>
      <c r="H75" s="3"/>
    </row>
    <row r="76" spans="1:8" ht="13.2">
      <c r="A76" s="3"/>
      <c r="B76" s="3"/>
      <c r="C76" s="3"/>
      <c r="D76" s="3"/>
      <c r="E76" s="3"/>
      <c r="F76" s="3"/>
      <c r="G76" s="3"/>
      <c r="H76" s="3"/>
    </row>
    <row r="77" spans="1:8" ht="13.2">
      <c r="A77" s="3"/>
      <c r="B77" s="3"/>
      <c r="C77" s="3"/>
      <c r="D77" s="3"/>
      <c r="E77" s="3"/>
      <c r="F77" s="3"/>
      <c r="G77" s="3"/>
      <c r="H77" s="3"/>
    </row>
    <row r="78" spans="1:8" ht="13.2">
      <c r="A78" s="3"/>
      <c r="B78" s="3"/>
      <c r="C78" s="3"/>
      <c r="D78" s="3"/>
      <c r="E78" s="3"/>
      <c r="F78" s="3"/>
      <c r="G78" s="3"/>
      <c r="H78" s="3"/>
    </row>
    <row r="79" spans="1:8" ht="13.2">
      <c r="A79" s="3"/>
      <c r="B79" s="3"/>
      <c r="C79" s="3"/>
      <c r="D79" s="3"/>
      <c r="E79" s="3"/>
      <c r="F79" s="3"/>
      <c r="G79" s="3"/>
      <c r="H79" s="3"/>
    </row>
    <row r="80" spans="1:8" ht="13.8">
      <c r="A80" s="11">
        <f>'INPUT DAFTAR PESERTA'!A79</f>
        <v>0</v>
      </c>
      <c r="B80" s="11">
        <f>'INPUT DAFTAR PESERTA'!B79</f>
        <v>0</v>
      </c>
      <c r="C80" s="8">
        <f>'INPUT DAFTAR PESERTA'!C79</f>
        <v>0</v>
      </c>
      <c r="D80" s="27">
        <f>'NILAI AKHIR'!I81</f>
        <v>0</v>
      </c>
      <c r="E80" s="11">
        <f>'NILAI AKHIR'!K81</f>
        <v>0</v>
      </c>
      <c r="F80" s="3"/>
      <c r="G80" s="3"/>
      <c r="H80" s="3"/>
    </row>
    <row r="81" spans="1:8" ht="13.8">
      <c r="A81" s="11">
        <f>'INPUT DAFTAR PESERTA'!A80</f>
        <v>0</v>
      </c>
      <c r="B81" s="11">
        <f>'INPUT DAFTAR PESERTA'!B80</f>
        <v>0</v>
      </c>
      <c r="C81" s="8">
        <f>'INPUT DAFTAR PESERTA'!C80</f>
        <v>0</v>
      </c>
      <c r="D81" s="27">
        <f>'NILAI AKHIR'!I82</f>
        <v>0</v>
      </c>
      <c r="E81" s="11">
        <f>'NILAI AKHIR'!K82</f>
        <v>0</v>
      </c>
      <c r="F81" s="3"/>
      <c r="G81" s="3"/>
      <c r="H81" s="3"/>
    </row>
    <row r="82" spans="1:8" ht="13.8">
      <c r="A82" s="11">
        <f>'INPUT DAFTAR PESERTA'!A81</f>
        <v>0</v>
      </c>
      <c r="B82" s="11">
        <f>'INPUT DAFTAR PESERTA'!B81</f>
        <v>0</v>
      </c>
      <c r="C82" s="8">
        <f>'INPUT DAFTAR PESERTA'!C81</f>
        <v>0</v>
      </c>
      <c r="D82" s="27">
        <f>'NILAI AKHIR'!I83</f>
        <v>0</v>
      </c>
      <c r="E82" s="11">
        <f>'NILAI AKHIR'!K83</f>
        <v>0</v>
      </c>
      <c r="F82" s="3"/>
      <c r="G82" s="3"/>
      <c r="H82" s="3"/>
    </row>
    <row r="83" spans="1:8" ht="13.8">
      <c r="A83" s="11">
        <f>'INPUT DAFTAR PESERTA'!A82</f>
        <v>0</v>
      </c>
      <c r="B83" s="11">
        <f>'INPUT DAFTAR PESERTA'!B82</f>
        <v>0</v>
      </c>
      <c r="C83" s="8">
        <f>'INPUT DAFTAR PESERTA'!C82</f>
        <v>0</v>
      </c>
      <c r="D83" s="27">
        <f>'NILAI AKHIR'!I84</f>
        <v>0</v>
      </c>
      <c r="E83" s="11">
        <f>'NILAI AKHIR'!K84</f>
        <v>0</v>
      </c>
      <c r="F83" s="3"/>
      <c r="G83" s="3"/>
      <c r="H83" s="3"/>
    </row>
    <row r="84" spans="1:8" ht="13.8">
      <c r="A84" s="11">
        <f>'INPUT DAFTAR PESERTA'!A83</f>
        <v>0</v>
      </c>
      <c r="B84" s="11">
        <f>'INPUT DAFTAR PESERTA'!B83</f>
        <v>0</v>
      </c>
      <c r="C84" s="8">
        <f>'INPUT DAFTAR PESERTA'!C83</f>
        <v>0</v>
      </c>
      <c r="D84" s="27">
        <f>'NILAI AKHIR'!I85</f>
        <v>0</v>
      </c>
      <c r="E84" s="11">
        <f>'NILAI AKHIR'!K85</f>
        <v>0</v>
      </c>
      <c r="F84" s="3"/>
      <c r="G84" s="3"/>
      <c r="H84" s="3"/>
    </row>
    <row r="85" spans="1:8" ht="13.8">
      <c r="A85" s="11">
        <f>'INPUT DAFTAR PESERTA'!A84</f>
        <v>0</v>
      </c>
      <c r="B85" s="11">
        <f>'INPUT DAFTAR PESERTA'!B84</f>
        <v>0</v>
      </c>
      <c r="C85" s="8">
        <f>'INPUT DAFTAR PESERTA'!C84</f>
        <v>0</v>
      </c>
      <c r="D85" s="27">
        <f>'NILAI AKHIR'!I86</f>
        <v>0</v>
      </c>
      <c r="E85" s="11">
        <f>'NILAI AKHIR'!K86</f>
        <v>0</v>
      </c>
      <c r="F85" s="3"/>
      <c r="G85" s="3"/>
      <c r="H85" s="3"/>
    </row>
    <row r="86" spans="1:8" ht="13.8">
      <c r="A86" s="11">
        <f>'INPUT DAFTAR PESERTA'!A85</f>
        <v>0</v>
      </c>
      <c r="B86" s="11">
        <f>'INPUT DAFTAR PESERTA'!B85</f>
        <v>0</v>
      </c>
      <c r="C86" s="8">
        <f>'INPUT DAFTAR PESERTA'!C85</f>
        <v>0</v>
      </c>
      <c r="D86" s="27">
        <f>'NILAI AKHIR'!I87</f>
        <v>0</v>
      </c>
      <c r="E86" s="11">
        <f>'NILAI AKHIR'!K87</f>
        <v>0</v>
      </c>
      <c r="F86" s="3"/>
      <c r="G86" s="3"/>
      <c r="H86" s="3"/>
    </row>
    <row r="87" spans="1:8" ht="13.8">
      <c r="A87" s="11">
        <f>'INPUT DAFTAR PESERTA'!A86</f>
        <v>0</v>
      </c>
      <c r="B87" s="11">
        <f>'INPUT DAFTAR PESERTA'!B86</f>
        <v>0</v>
      </c>
      <c r="C87" s="8">
        <f>'INPUT DAFTAR PESERTA'!C86</f>
        <v>0</v>
      </c>
      <c r="D87" s="27">
        <f>'NILAI AKHIR'!I88</f>
        <v>0</v>
      </c>
      <c r="E87" s="11">
        <f>'NILAI AKHIR'!K88</f>
        <v>0</v>
      </c>
      <c r="F87" s="3"/>
      <c r="G87" s="3"/>
      <c r="H87" s="3"/>
    </row>
    <row r="88" spans="1:8" ht="13.8">
      <c r="A88" s="11">
        <f>'INPUT DAFTAR PESERTA'!A87</f>
        <v>0</v>
      </c>
      <c r="B88" s="11">
        <f>'INPUT DAFTAR PESERTA'!B87</f>
        <v>0</v>
      </c>
      <c r="C88" s="8">
        <f>'INPUT DAFTAR PESERTA'!C87</f>
        <v>0</v>
      </c>
      <c r="D88" s="27">
        <f>'NILAI AKHIR'!I89</f>
        <v>0</v>
      </c>
      <c r="E88" s="11">
        <f>'NILAI AKHIR'!K89</f>
        <v>0</v>
      </c>
      <c r="F88" s="3"/>
      <c r="G88" s="3"/>
      <c r="H88" s="3"/>
    </row>
    <row r="89" spans="1:8" ht="13.8">
      <c r="A89" s="11">
        <f>'INPUT DAFTAR PESERTA'!A88</f>
        <v>0</v>
      </c>
      <c r="B89" s="11">
        <f>'INPUT DAFTAR PESERTA'!B88</f>
        <v>0</v>
      </c>
      <c r="C89" s="8">
        <f>'INPUT DAFTAR PESERTA'!C88</f>
        <v>0</v>
      </c>
      <c r="D89" s="27">
        <f>'NILAI AKHIR'!I90</f>
        <v>0</v>
      </c>
      <c r="E89" s="11">
        <f>'NILAI AKHIR'!K90</f>
        <v>0</v>
      </c>
      <c r="F89" s="3"/>
      <c r="G89" s="3"/>
      <c r="H89" s="3"/>
    </row>
    <row r="90" spans="1:8" ht="13.8">
      <c r="A90" s="11">
        <f>'INPUT DAFTAR PESERTA'!A89</f>
        <v>0</v>
      </c>
      <c r="B90" s="11">
        <f>'INPUT DAFTAR PESERTA'!B89</f>
        <v>0</v>
      </c>
      <c r="C90" s="8">
        <f>'INPUT DAFTAR PESERTA'!C89</f>
        <v>0</v>
      </c>
      <c r="D90" s="27">
        <f>'NILAI AKHIR'!I91</f>
        <v>0</v>
      </c>
      <c r="E90" s="11">
        <f>'NILAI AKHIR'!K91</f>
        <v>0</v>
      </c>
      <c r="F90" s="3"/>
      <c r="G90" s="3"/>
      <c r="H90" s="3"/>
    </row>
    <row r="91" spans="1:8" ht="13.8">
      <c r="A91" s="11">
        <f>'INPUT DAFTAR PESERTA'!A90</f>
        <v>0</v>
      </c>
      <c r="B91" s="11">
        <f>'INPUT DAFTAR PESERTA'!B90</f>
        <v>0</v>
      </c>
      <c r="C91" s="8">
        <f>'INPUT DAFTAR PESERTA'!C90</f>
        <v>0</v>
      </c>
      <c r="D91" s="27">
        <f>'NILAI AKHIR'!I92</f>
        <v>0</v>
      </c>
      <c r="E91" s="11">
        <f>'NILAI AKHIR'!K92</f>
        <v>0</v>
      </c>
      <c r="F91" s="3"/>
      <c r="G91" s="3"/>
      <c r="H91" s="3"/>
    </row>
    <row r="92" spans="1:8" ht="13.8">
      <c r="A92" s="11">
        <f>'INPUT DAFTAR PESERTA'!A91</f>
        <v>0</v>
      </c>
      <c r="B92" s="11">
        <f>'INPUT DAFTAR PESERTA'!B91</f>
        <v>0</v>
      </c>
      <c r="C92" s="8">
        <f>'INPUT DAFTAR PESERTA'!C91</f>
        <v>0</v>
      </c>
      <c r="D92" s="27">
        <f>'NILAI AKHIR'!I93</f>
        <v>0</v>
      </c>
      <c r="E92" s="11">
        <f>'NILAI AKHIR'!K93</f>
        <v>0</v>
      </c>
      <c r="F92" s="3"/>
      <c r="G92" s="3"/>
      <c r="H92" s="3"/>
    </row>
    <row r="93" spans="1:8" ht="13.8">
      <c r="A93" s="11">
        <f>'INPUT DAFTAR PESERTA'!A92</f>
        <v>0</v>
      </c>
      <c r="B93" s="11">
        <f>'INPUT DAFTAR PESERTA'!B92</f>
        <v>0</v>
      </c>
      <c r="C93" s="8">
        <f>'INPUT DAFTAR PESERTA'!C92</f>
        <v>0</v>
      </c>
      <c r="D93" s="27">
        <f>'NILAI AKHIR'!I94</f>
        <v>0</v>
      </c>
      <c r="E93" s="11">
        <f>'NILAI AKHIR'!K94</f>
        <v>0</v>
      </c>
      <c r="F93" s="3"/>
      <c r="G93" s="3"/>
      <c r="H93" s="3"/>
    </row>
    <row r="94" spans="1:8" ht="13.8">
      <c r="A94" s="11">
        <f>'INPUT DAFTAR PESERTA'!A93</f>
        <v>0</v>
      </c>
      <c r="B94" s="11">
        <f>'INPUT DAFTAR PESERTA'!B93</f>
        <v>0</v>
      </c>
      <c r="C94" s="8">
        <f>'INPUT DAFTAR PESERTA'!C93</f>
        <v>0</v>
      </c>
      <c r="D94" s="27">
        <f>'NILAI AKHIR'!I95</f>
        <v>0</v>
      </c>
      <c r="E94" s="11">
        <f>'NILAI AKHIR'!K95</f>
        <v>0</v>
      </c>
      <c r="F94" s="3"/>
      <c r="G94" s="3"/>
      <c r="H94" s="3"/>
    </row>
    <row r="95" spans="1:8" ht="13.8">
      <c r="A95" s="11">
        <f>'INPUT DAFTAR PESERTA'!A94</f>
        <v>0</v>
      </c>
      <c r="B95" s="11">
        <f>'INPUT DAFTAR PESERTA'!B94</f>
        <v>0</v>
      </c>
      <c r="C95" s="8">
        <f>'INPUT DAFTAR PESERTA'!C94</f>
        <v>0</v>
      </c>
      <c r="D95" s="27">
        <f>'NILAI AKHIR'!I96</f>
        <v>0</v>
      </c>
      <c r="E95" s="11">
        <f>'NILAI AKHIR'!K96</f>
        <v>0</v>
      </c>
      <c r="F95" s="3"/>
      <c r="G95" s="3"/>
      <c r="H95" s="3"/>
    </row>
    <row r="96" spans="1:8" ht="13.8">
      <c r="A96" s="11">
        <f>'INPUT DAFTAR PESERTA'!A95</f>
        <v>0</v>
      </c>
      <c r="B96" s="11">
        <f>'INPUT DAFTAR PESERTA'!B95</f>
        <v>0</v>
      </c>
      <c r="C96" s="8">
        <f>'INPUT DAFTAR PESERTA'!C95</f>
        <v>0</v>
      </c>
      <c r="D96" s="27">
        <f>'NILAI AKHIR'!I97</f>
        <v>0</v>
      </c>
      <c r="E96" s="11">
        <f>'NILAI AKHIR'!K97</f>
        <v>0</v>
      </c>
      <c r="F96" s="3"/>
      <c r="G96" s="3"/>
      <c r="H96" s="3"/>
    </row>
    <row r="97" spans="1:8" ht="13.8">
      <c r="A97" s="11">
        <f>'INPUT DAFTAR PESERTA'!A96</f>
        <v>0</v>
      </c>
      <c r="B97" s="11">
        <f>'INPUT DAFTAR PESERTA'!B96</f>
        <v>0</v>
      </c>
      <c r="C97" s="8">
        <f>'INPUT DAFTAR PESERTA'!C96</f>
        <v>0</v>
      </c>
      <c r="D97" s="27">
        <f>'NILAI AKHIR'!I98</f>
        <v>0</v>
      </c>
      <c r="E97" s="11">
        <f>'NILAI AKHIR'!K98</f>
        <v>0</v>
      </c>
      <c r="F97" s="3"/>
      <c r="G97" s="3"/>
      <c r="H97" s="3"/>
    </row>
    <row r="98" spans="1:8" ht="13.8">
      <c r="A98" s="11">
        <f>'INPUT DAFTAR PESERTA'!A97</f>
        <v>0</v>
      </c>
      <c r="B98" s="11">
        <f>'INPUT DAFTAR PESERTA'!B97</f>
        <v>0</v>
      </c>
      <c r="C98" s="8">
        <f>'INPUT DAFTAR PESERTA'!C97</f>
        <v>0</v>
      </c>
      <c r="D98" s="27">
        <f>'NILAI AKHIR'!I99</f>
        <v>0</v>
      </c>
      <c r="E98" s="11">
        <f>'NILAI AKHIR'!K99</f>
        <v>0</v>
      </c>
      <c r="F98" s="3"/>
      <c r="G98" s="3"/>
      <c r="H98" s="3"/>
    </row>
  </sheetData>
  <mergeCells count="5">
    <mergeCell ref="A3:A4"/>
    <mergeCell ref="B3:B4"/>
    <mergeCell ref="C3:C4"/>
    <mergeCell ref="D3:D4"/>
    <mergeCell ref="E3:E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INPUT DAFTAR PESERTA</vt:lpstr>
      <vt:lpstr>LAPORAN RESMI</vt:lpstr>
      <vt:lpstr>PENULISAN LAPORAN</vt:lpstr>
      <vt:lpstr>KEMAMPUAN PRAKTIKUM</vt:lpstr>
      <vt:lpstr>NILAI HARIAN</vt:lpstr>
      <vt:lpstr>NILAI AKHIR</vt:lpstr>
      <vt:lpstr>PIE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VISTA .</cp:lastModifiedBy>
  <dcterms:modified xsi:type="dcterms:W3CDTF">2026-05-21T12:59:31Z</dcterms:modified>
</cp:coreProperties>
</file>