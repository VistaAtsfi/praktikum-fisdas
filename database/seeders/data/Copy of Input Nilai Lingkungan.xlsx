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 DAFTAR PESERTA" sheetId="1" r:id="rId5"/>
    <sheet state="visible" name="LAPORAN RESMI" sheetId="2" r:id="rId6"/>
    <sheet state="visible" name="PENULISAN LAPORAN" sheetId="3" r:id="rId7"/>
    <sheet state="visible" name="KEMAMPUAN PRAKTIKUM" sheetId="4" r:id="rId8"/>
    <sheet state="visible" name="NILAI HARIAN" sheetId="5" r:id="rId9"/>
    <sheet state="visible" name="NILAI AKHIR" sheetId="6" r:id="rId10"/>
    <sheet state="visible" name="PIE CHART" sheetId="7" r:id="rId11"/>
  </sheets>
  <definedNames/>
  <calcPr/>
</workbook>
</file>

<file path=xl/sharedStrings.xml><?xml version="1.0" encoding="utf-8"?>
<sst xmlns="http://schemas.openxmlformats.org/spreadsheetml/2006/main" count="346" uniqueCount="165">
  <si>
    <t>NO</t>
  </si>
  <si>
    <t>NIM</t>
  </si>
  <si>
    <t>Nama</t>
  </si>
  <si>
    <t>WORKSHEET TEMPLATE</t>
  </si>
  <si>
    <t>Rafif Fitriansyah Nasution</t>
  </si>
  <si>
    <t>SISTEM PENILAIAN PRAKTIKUM</t>
  </si>
  <si>
    <t>Muhamaad Rizky Ramdani</t>
  </si>
  <si>
    <t>LABORATORIUM LAYANAN DASAR</t>
  </si>
  <si>
    <t>Nur Fadillah Septadi</t>
  </si>
  <si>
    <t>Aisha Aqmarina Fathiyya Hawwa</t>
  </si>
  <si>
    <t>Faykar Alfarisi Armadani</t>
  </si>
  <si>
    <t>Annisa Nurdin</t>
  </si>
  <si>
    <t>Aflahal Aula</t>
  </si>
  <si>
    <t>Jofan Ananda Sulle</t>
  </si>
  <si>
    <t>Muhammad Ananda Harisyah Putra</t>
  </si>
  <si>
    <t>VER 2 (April 2025)</t>
  </si>
  <si>
    <t>Zaid Iman At-Tamam</t>
  </si>
  <si>
    <t>Fachri Zia Pasha</t>
  </si>
  <si>
    <t>Aziffa Reisazalea</t>
  </si>
  <si>
    <t>Petunjuk Penggunaan Template</t>
  </si>
  <si>
    <t>Suci Andra Pramitha</t>
  </si>
  <si>
    <t>Reira Praditha</t>
  </si>
  <si>
    <t xml:space="preserve">1. Isikan daftar peserta praktikum pada sheet "INPUT DAFTAR PESERTA" </t>
  </si>
  <si>
    <t>Ainaya Salsabila</t>
  </si>
  <si>
    <t>(Disarankan untuk menyesuaikan dengan template disamping)</t>
  </si>
  <si>
    <t>Hafidz Ihsan Izzuddin</t>
  </si>
  <si>
    <t>2. Isian Nama dan NIM pada sheet selanjutnya akan terinput secara otomatis sesuai dengan isian sheet "INPUT DAFTAR PESERTA"</t>
  </si>
  <si>
    <t>Nurman Dwi Prasetyo</t>
  </si>
  <si>
    <t>3. Nilai praktikum diisikan pada sheet "PENULISAN LAPORAN", "LAPORAN RESMI", "KEMAMPUAN PRAKTIKUM dan "NILAI HARIAN"</t>
  </si>
  <si>
    <t>Farid Akmal</t>
  </si>
  <si>
    <t>4. Rekapitulasi nilai praktikum permodul akan terakumulasi secara otomatis pada sheet "NILAI AKHIR" dan PIE-CHART"</t>
  </si>
  <si>
    <t>Azzahra Tusitha</t>
  </si>
  <si>
    <t>5. Perubahan formula pada sistem menyesuaikan dengan aturan dan SOP terbaru penilaian praktikum Lab Elektro Dasar</t>
  </si>
  <si>
    <t>Ahmadia Syarifah Lauradinta</t>
  </si>
  <si>
    <t>6. Link akses Surat Keterangan Lulus Praktikum sebagai berikut:</t>
  </si>
  <si>
    <t>Seysa Puji Annura</t>
  </si>
  <si>
    <t>Gita Ramadhani Supriyadi</t>
  </si>
  <si>
    <t>7. Link akses Sheet perkomponen sebagai berikut:</t>
  </si>
  <si>
    <t>Fabio Cannavaro Sinaga</t>
  </si>
  <si>
    <t>Penulisan Laporan</t>
  </si>
  <si>
    <t>Hayatun Nisa</t>
  </si>
  <si>
    <t>Laporan Resmi</t>
  </si>
  <si>
    <t>Khalilah Denissa Ardia Cahyani</t>
  </si>
  <si>
    <t>Kemampuan Praktikum</t>
  </si>
  <si>
    <t>Athila Nadya Zalikha</t>
  </si>
  <si>
    <t>Nilai  Harian</t>
  </si>
  <si>
    <t>Aditya Pratama</t>
  </si>
  <si>
    <t>Nilai Akhir</t>
  </si>
  <si>
    <t>Atiiqah Permata Hati</t>
  </si>
  <si>
    <t>Pie Chart</t>
  </si>
  <si>
    <t>Yolanda Denis Aprilia</t>
  </si>
  <si>
    <t>Farah Najma</t>
  </si>
  <si>
    <t>Muhammad Abdul Mu'in</t>
  </si>
  <si>
    <t>Muhammad Rofiq Al-Hakim</t>
  </si>
  <si>
    <t>Nadia Eka Pratiwi</t>
  </si>
  <si>
    <t>Rayhana Erda Affiyah</t>
  </si>
  <si>
    <t>Astrina Nadhiroh Illiyin</t>
  </si>
  <si>
    <t>Muhammad Davindia Akmaluza</t>
  </si>
  <si>
    <t>Muhammad Naufal Sabilillah</t>
  </si>
  <si>
    <t>Miranda Nur Salsabila</t>
  </si>
  <si>
    <t>Dinar Rahmatheta</t>
  </si>
  <si>
    <t>Muh. Yasir Naufal</t>
  </si>
  <si>
    <t>Andi Nada Bunga Zahra</t>
  </si>
  <si>
    <t>Nabil Rafif Makarim</t>
  </si>
  <si>
    <t>Natasya Camelia Az-Zahra</t>
  </si>
  <si>
    <t>Afirah Al Abidah</t>
  </si>
  <si>
    <t>Anisa Syalwa</t>
  </si>
  <si>
    <t>Fikri Firoos Kinarya</t>
  </si>
  <si>
    <t>Armitha Luthfiana Andini</t>
  </si>
  <si>
    <t>Fabio Aditya Purnomo</t>
  </si>
  <si>
    <t>Rifa Davina Zalfa</t>
  </si>
  <si>
    <t>Nilna Fergita Nouriansa</t>
  </si>
  <si>
    <t>Sandi Prakoso</t>
  </si>
  <si>
    <t>Yarasy Ebed Petra Richard Nanuru</t>
  </si>
  <si>
    <t>Rasya Hanindya Putri</t>
  </si>
  <si>
    <t>Stefania Diah Pramestirehi</t>
  </si>
  <si>
    <t>Azarina Azzahra</t>
  </si>
  <si>
    <t>Muhammad Bintang Anugrah</t>
  </si>
  <si>
    <t>Marcel Rizky Indrawan</t>
  </si>
  <si>
    <t>Mega Dwi Eriyanti</t>
  </si>
  <si>
    <t>Jessen Jeremi Sinaga</t>
  </si>
  <si>
    <t>Mohammad Bagus Leo Widiantara</t>
  </si>
  <si>
    <t>Najwa Aliffah Falah</t>
  </si>
  <si>
    <t>Jezlhine Suretno</t>
  </si>
  <si>
    <t>Gideon Giorgy Aipassa</t>
  </si>
  <si>
    <t>Talitha Kayana Nugroho</t>
  </si>
  <si>
    <t>Josef Alexandro Wijaya Kusuma</t>
  </si>
  <si>
    <t>Surya Buana Putra Kamil</t>
  </si>
  <si>
    <t>Arifatus Saidah</t>
  </si>
  <si>
    <t>Syarifah Sarah Ashilah</t>
  </si>
  <si>
    <t>Muhammad Aufa Syarif Prabowo</t>
  </si>
  <si>
    <t>Kezia Aulia Putri</t>
  </si>
  <si>
    <t>Nailah Aisya Ainurrahman</t>
  </si>
  <si>
    <t>Nadine Olivia</t>
  </si>
  <si>
    <t>Fadhaail Ali Syaban</t>
  </si>
  <si>
    <t>Tri Partogi Utama Manalu</t>
  </si>
  <si>
    <t>Fa'iz Pasha Novian</t>
  </si>
  <si>
    <t>Shasya Tri Fauziah</t>
  </si>
  <si>
    <t>Alyah Nur Jannah</t>
  </si>
  <si>
    <t>Rendi Sidebang</t>
  </si>
  <si>
    <t>Panca Vito Anandio</t>
  </si>
  <si>
    <t>Nabila Lestari</t>
  </si>
  <si>
    <t>Muhammad Mudrikah Salim</t>
  </si>
  <si>
    <t>Nisriina Nahdah Hizbullah</t>
  </si>
  <si>
    <t>Rhooid Azzaky</t>
  </si>
  <si>
    <t>Olga Agnes Violeta Simatupang</t>
  </si>
  <si>
    <t>Muhammad Ibrahim Habibullah</t>
  </si>
  <si>
    <t>M. Ali Dinar</t>
  </si>
  <si>
    <t>Julianitha Tabitha Angi</t>
  </si>
  <si>
    <t>Sayyid Ahmad Raihan</t>
  </si>
  <si>
    <t>Junior Agustian Culie</t>
  </si>
  <si>
    <t>Andi Ahmad Dzaky Palewai Agri</t>
  </si>
  <si>
    <t>Afif Ahmad Winarno</t>
  </si>
  <si>
    <t>Muhammad Iqbal</t>
  </si>
  <si>
    <t>Shodiq Rizyuka Annaufla</t>
  </si>
  <si>
    <t>Muhamad Jailani</t>
  </si>
  <si>
    <t>NAMA</t>
  </si>
  <si>
    <t>Rata-rata</t>
  </si>
  <si>
    <t>Modul 1</t>
  </si>
  <si>
    <t>Modul 2</t>
  </si>
  <si>
    <t>Modul 3</t>
  </si>
  <si>
    <t>Modul 4</t>
  </si>
  <si>
    <t>Modul 5</t>
  </si>
  <si>
    <t>Modul 6</t>
  </si>
  <si>
    <t>Modul 7</t>
  </si>
  <si>
    <t>Modul 8</t>
  </si>
  <si>
    <t>Jumlah Mahasiswa Tidak Mengumpulkan Lapres</t>
  </si>
  <si>
    <t>HOME</t>
  </si>
  <si>
    <t>Nim</t>
  </si>
  <si>
    <t>Laporan Mingguan</t>
  </si>
  <si>
    <t>Resmi</t>
  </si>
  <si>
    <t>K1</t>
  </si>
  <si>
    <t>K2</t>
  </si>
  <si>
    <t>K3</t>
  </si>
  <si>
    <t>K4</t>
  </si>
  <si>
    <t>Rerata</t>
  </si>
  <si>
    <t>No</t>
  </si>
  <si>
    <t>Afektif</t>
  </si>
  <si>
    <t>Kognitif</t>
  </si>
  <si>
    <t>Psikomotorik</t>
  </si>
  <si>
    <t>Kehadiran</t>
  </si>
  <si>
    <t>Laporan</t>
  </si>
  <si>
    <t>Responsi</t>
  </si>
  <si>
    <t>Proses Asistensi</t>
  </si>
  <si>
    <t>Kemampuan Praktek</t>
  </si>
  <si>
    <t>86</t>
  </si>
  <si>
    <t>92</t>
  </si>
  <si>
    <t>100</t>
  </si>
  <si>
    <t>94</t>
  </si>
  <si>
    <t>98</t>
  </si>
  <si>
    <t>88</t>
  </si>
  <si>
    <t>66</t>
  </si>
  <si>
    <t>Nilai Angka</t>
  </si>
  <si>
    <t>Nilai Bobot</t>
  </si>
  <si>
    <t>Nilai Huruf</t>
  </si>
  <si>
    <t>Asistensi</t>
  </si>
  <si>
    <t>Kemampuan Praktik</t>
  </si>
  <si>
    <t>No.</t>
  </si>
  <si>
    <t>NILAI</t>
  </si>
  <si>
    <t>FREKUENSI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</si>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</sst>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6">
    <font>
      <sz val="10.0"/>
      <color rgb="FF000000"/>
      <name val="Arial"/>
      <scheme val="minor"/>
    </font>
    <font>
      <b/>
      <sz val="13.0"/>
      <color theme="1"/>
      <name val="Times New Roman"/>
    </font>
    <font>
      <sz val="11.0"/>
      <color theme="1"/>
      <name val="Arial"/>
    </font>
    <font>
      <b/>
      <sz val="11.0"/>
      <color theme="1"/>
      <name val="Times New Roman"/>
    </font>
    <font>
      <sz val="11.0"/>
      <color theme="1"/>
      <name val="Times New Roman"/>
    </font>
    <font>
      <sz val="11.0"/>
      <color rgb="FF000000"/>
      <name val="Times New Roman"/>
    </font>
    <font>
      <sz val="11.0"/>
      <color theme="1"/>
      <name val="Arial"/>
      <scheme val="minor"/>
    </font>
    <font>
      <sz val="11.0"/>
      <color rgb="FF434343"/>
      <name val="Times New Roman"/>
    </font>
    <font>
      <b/>
      <u/>
      <sz val="11.0"/>
      <color rgb="FF0563C1"/>
      <name val="Times New Roman"/>
    </font>
    <font>
      <color theme="1"/>
      <name val="Arial"/>
      <scheme val="minor"/>
    </font>
    <font/>
    <font>
      <b/>
      <color theme="1"/>
      <name val="Arial"/>
      <scheme val="minor"/>
    </font>
    <font>
      <b/>
      <sz val="11.0"/>
      <color rgb="FFFF0000"/>
      <name val="Times New Roman"/>
    </font>
    <font>
      <sz val="11.0"/>
      <color rgb="FF000000"/>
      <name val="&quot;Times New Roman&quot;"/>
    </font>
    <font>
      <b/>
      <sz val="11.0"/>
      <color theme="1"/>
      <name val="Calibri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06666"/>
        <bgColor rgb="FFE06666"/>
      </patternFill>
    </fill>
    <fill>
      <patternFill patternType="solid">
        <fgColor rgb="FFFFFF00"/>
        <bgColor rgb="FFFFFF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readingOrder="0"/>
    </xf>
    <xf borderId="0" fillId="0" fontId="6" numFmtId="0" xfId="0" applyFont="1"/>
    <xf borderId="0" fillId="0" fontId="3" numFmtId="0" xfId="0" applyAlignment="1" applyFont="1">
      <alignment vertical="bottom"/>
    </xf>
    <xf borderId="2" fillId="3" fontId="7" numFmtId="0" xfId="0" applyAlignment="1" applyBorder="1" applyFill="1" applyFont="1">
      <alignment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horizontal="center"/>
    </xf>
    <xf borderId="3" fillId="2" fontId="3" numFmtId="0" xfId="0" applyAlignment="1" applyBorder="1" applyFont="1">
      <alignment horizontal="center" readingOrder="0" vertical="center"/>
    </xf>
    <xf borderId="4" fillId="2" fontId="3" numFmtId="0" xfId="0" applyAlignment="1" applyBorder="1" applyFont="1">
      <alignment horizontal="center" readingOrder="0"/>
    </xf>
    <xf borderId="5" fillId="0" fontId="10" numFmtId="0" xfId="0" applyBorder="1" applyFont="1"/>
    <xf borderId="6" fillId="0" fontId="10" numFmtId="0" xfId="0" applyBorder="1" applyFont="1"/>
    <xf borderId="7" fillId="0" fontId="10" numFmtId="0" xfId="0" applyBorder="1" applyFont="1"/>
    <xf borderId="1" fillId="2" fontId="3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/>
    </xf>
    <xf borderId="1" fillId="0" fontId="4" numFmtId="0" xfId="0" applyBorder="1" applyFont="1"/>
    <xf borderId="1" fillId="0" fontId="4" numFmtId="0" xfId="0" applyAlignment="1" applyBorder="1" applyFont="1">
      <alignment horizontal="center" readingOrder="0" vertical="center"/>
    </xf>
    <xf borderId="1" fillId="4" fontId="4" numFmtId="0" xfId="0" applyAlignment="1" applyBorder="1" applyFill="1" applyFont="1">
      <alignment horizontal="center" readingOrder="0" vertical="center"/>
    </xf>
    <xf borderId="1" fillId="0" fontId="4" numFmtId="2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readingOrder="0"/>
    </xf>
    <xf borderId="1" fillId="5" fontId="4" numFmtId="0" xfId="0" applyAlignment="1" applyBorder="1" applyFill="1" applyFont="1">
      <alignment horizontal="center"/>
    </xf>
    <xf borderId="1" fillId="5" fontId="4" numFmtId="0" xfId="0" applyBorder="1" applyFont="1"/>
    <xf borderId="1" fillId="5" fontId="4" numFmtId="0" xfId="0" applyAlignment="1" applyBorder="1" applyFont="1">
      <alignment horizontal="center" vertical="center"/>
    </xf>
    <xf borderId="1" fillId="5" fontId="4" numFmtId="0" xfId="0" applyAlignment="1" applyBorder="1" applyFont="1">
      <alignment horizontal="center" readingOrder="0" vertical="center"/>
    </xf>
    <xf borderId="1" fillId="5" fontId="4" numFmtId="2" xfId="0" applyAlignment="1" applyBorder="1" applyFont="1" applyNumberFormat="1">
      <alignment horizontal="center" vertical="center"/>
    </xf>
    <xf borderId="0" fillId="0" fontId="11" numFmtId="0" xfId="0" applyAlignment="1" applyFont="1">
      <alignment horizontal="center" readingOrder="0"/>
    </xf>
    <xf borderId="0" fillId="6" fontId="11" numFmtId="0" xfId="0" applyAlignment="1" applyFill="1" applyFont="1">
      <alignment horizontal="center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4" numFmtId="0" xfId="0" applyFont="1"/>
    <xf borderId="4" fillId="2" fontId="3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center" readingOrder="0" vertical="center"/>
    </xf>
    <xf borderId="1" fillId="2" fontId="3" numFmtId="9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readingOrder="0"/>
    </xf>
    <xf borderId="1" fillId="0" fontId="4" numFmtId="2" xfId="0" applyAlignment="1" applyBorder="1" applyFont="1" applyNumberFormat="1">
      <alignment horizontal="center"/>
    </xf>
    <xf borderId="1" fillId="3" fontId="4" numFmtId="0" xfId="0" applyAlignment="1" applyBorder="1" applyFont="1">
      <alignment horizontal="center" readingOrder="0"/>
    </xf>
    <xf borderId="4" fillId="2" fontId="3" numFmtId="0" xfId="0" applyAlignment="1" applyBorder="1" applyFont="1">
      <alignment horizontal="center"/>
    </xf>
    <xf borderId="8" fillId="0" fontId="10" numFmtId="0" xfId="0" applyBorder="1" applyFont="1"/>
    <xf borderId="1" fillId="2" fontId="3" numFmtId="0" xfId="0" applyAlignment="1" applyBorder="1" applyFont="1">
      <alignment horizontal="center"/>
    </xf>
    <xf borderId="1" fillId="0" fontId="12" numFmtId="9" xfId="0" applyAlignment="1" applyBorder="1" applyFont="1" applyNumberFormat="1">
      <alignment horizontal="center" readingOrder="0" vertical="center"/>
    </xf>
    <xf borderId="1" fillId="0" fontId="12" numFmtId="9" xfId="0" applyAlignment="1" applyBorder="1" applyFont="1" applyNumberFormat="1">
      <alignment horizontal="center"/>
    </xf>
    <xf borderId="1" fillId="0" fontId="4" numFmtId="164" xfId="0" applyAlignment="1" applyBorder="1" applyFont="1" applyNumberFormat="1">
      <alignment horizontal="center" vertical="center"/>
    </xf>
    <xf borderId="1" fillId="0" fontId="4" numFmtId="1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6" fontId="4" numFmtId="0" xfId="0" applyAlignment="1" applyBorder="1" applyFont="1">
      <alignment horizontal="center" readingOrder="0" vertical="center"/>
    </xf>
    <xf borderId="0" fillId="0" fontId="4" numFmtId="2" xfId="0" applyFont="1" applyNumberFormat="1"/>
    <xf borderId="4" fillId="2" fontId="3" numFmtId="0" xfId="0" applyAlignment="1" applyBorder="1" applyFont="1">
      <alignment horizontal="center"/>
    </xf>
    <xf borderId="1" fillId="2" fontId="3" numFmtId="0" xfId="0" applyAlignment="1" applyBorder="1" applyFont="1">
      <alignment horizontal="center"/>
    </xf>
    <xf borderId="1" fillId="0" fontId="12" numFmtId="0" xfId="0" applyAlignment="1" applyBorder="1" applyFont="1">
      <alignment horizontal="center"/>
    </xf>
    <xf borderId="1" fillId="0" fontId="12" numFmtId="0" xfId="0" applyAlignment="1" applyBorder="1" applyFont="1">
      <alignment horizontal="center" readingOrder="0"/>
    </xf>
    <xf borderId="1" fillId="0" fontId="12" numFmtId="2" xfId="0" applyAlignment="1" applyBorder="1" applyFont="1" applyNumberFormat="1">
      <alignment horizontal="center"/>
    </xf>
    <xf borderId="1" fillId="0" fontId="4" numFmtId="0" xfId="0" applyAlignment="1" applyBorder="1" applyFont="1">
      <alignment horizontal="left"/>
    </xf>
    <xf borderId="1" fillId="0" fontId="13" numFmtId="49" xfId="0" applyAlignment="1" applyBorder="1" applyFont="1" applyNumberFormat="1">
      <alignment horizontal="center" readingOrder="0" shrinkToFit="0" vertical="bottom" wrapText="0"/>
    </xf>
    <xf borderId="3" fillId="2" fontId="3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readingOrder="0" vertical="center"/>
    </xf>
    <xf borderId="0" fillId="0" fontId="9" numFmtId="0" xfId="0" applyAlignment="1" applyFont="1">
      <alignment horizontal="center" vertical="center"/>
    </xf>
    <xf borderId="3" fillId="2" fontId="3" numFmtId="0" xfId="0" applyAlignment="1" applyBorder="1" applyFont="1">
      <alignment horizontal="center" readingOrder="0" shrinkToFit="0" vertical="center" wrapText="1"/>
    </xf>
    <xf borderId="9" fillId="0" fontId="9" numFmtId="0" xfId="0" applyBorder="1" applyFont="1"/>
    <xf borderId="1" fillId="2" fontId="14" numFmtId="0" xfId="0" applyAlignment="1" applyBorder="1" applyFont="1">
      <alignment horizontal="center"/>
    </xf>
    <xf borderId="1" fillId="0" fontId="15" numFmtId="0" xfId="0" applyAlignment="1" applyBorder="1" applyFont="1">
      <alignment horizontal="center"/>
    </xf>
    <xf borderId="0" fillId="0" fontId="9" numFmtId="0" xfId="0" applyFont="1"/>
  </cellXfs>
  <cellStyles count="1">
    <cellStyle xfId="0" name="Normal" builtinId="0"/>
  </cellStyles>
  <dxfs count="5"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3D85C6"/>
          <bgColor rgb="FF3D85C6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'PIE CHART'!$H$6</c:f>
            </c:strRef>
          </c:tx>
          <c:dPt>
            <c:idx val="0"/>
            <c:spPr>
              <a:solidFill>
                <a:srgbClr val="FF00FF"/>
              </a:solidFill>
            </c:spPr>
          </c:dPt>
          <c:dPt>
            <c:idx val="1"/>
            <c:spPr>
              <a:solidFill>
                <a:srgbClr val="0B5394"/>
              </a:solidFill>
            </c:spPr>
          </c:dPt>
          <c:dPt>
            <c:idx val="2"/>
            <c:spPr>
              <a:solidFill>
                <a:srgbClr val="B7E1CD"/>
              </a:solidFill>
            </c:spPr>
          </c:dPt>
          <c:dPt>
            <c:idx val="3"/>
            <c:spPr>
              <a:solidFill>
                <a:schemeClr val="accent2"/>
              </a:solidFill>
            </c:spPr>
          </c:dPt>
          <c:dPt>
            <c:idx val="4"/>
            <c:explosion val="0"/>
            <c:spPr>
              <a:solidFill>
                <a:srgbClr val="9900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'PIE CHART'!$G$7:$G$11</c:f>
            </c:strRef>
          </c:cat>
          <c:val>
            <c:numRef>
              <c:f>'PIE CHART'!$H$7:$H$11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438150</xdr:colOff>
      <xdr:row>6</xdr:row>
      <xdr:rowOff>19050</xdr:rowOff>
    </xdr:from>
    <xdr:ext cx="952500" cy="8953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11</xdr:row>
      <xdr:rowOff>57150</xdr:rowOff>
    </xdr:from>
    <xdr:ext cx="3105150" cy="25050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13"/>
    <col customWidth="1" min="2" max="2" width="14.63"/>
    <col customWidth="1" min="3" max="3" width="31.25"/>
  </cols>
  <sheetData>
    <row r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0</v>
      </c>
      <c r="B3" s="4" t="s">
        <v>1</v>
      </c>
      <c r="C3" s="4" t="s">
        <v>2</v>
      </c>
      <c r="D3" s="5"/>
      <c r="E3" s="6" t="s">
        <v>3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7">
        <v>1.0</v>
      </c>
      <c r="B4" s="8">
        <v>2.109046048E9</v>
      </c>
      <c r="C4" s="9" t="s">
        <v>4</v>
      </c>
      <c r="D4" s="5"/>
      <c r="E4" s="6" t="s">
        <v>5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7">
        <v>2.0</v>
      </c>
      <c r="B5" s="8">
        <v>2.109046053E9</v>
      </c>
      <c r="C5" s="9" t="s">
        <v>6</v>
      </c>
      <c r="D5" s="5"/>
      <c r="E5" s="6" t="s">
        <v>7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7">
        <v>3.0</v>
      </c>
      <c r="B6" s="8">
        <v>2.409046015E9</v>
      </c>
      <c r="C6" s="9" t="s">
        <v>8</v>
      </c>
      <c r="D6" s="5"/>
      <c r="E6" s="5"/>
      <c r="F6" s="5"/>
      <c r="G6" s="5"/>
      <c r="H6" s="5"/>
      <c r="I6" s="5"/>
      <c r="J6" s="5"/>
      <c r="K6" s="5"/>
      <c r="L6" s="5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7">
        <v>4.0</v>
      </c>
      <c r="B7" s="8">
        <v>2.409046026E9</v>
      </c>
      <c r="C7" s="9" t="s">
        <v>9</v>
      </c>
      <c r="D7" s="5"/>
      <c r="E7" s="5"/>
      <c r="F7" s="5"/>
      <c r="G7" s="5"/>
      <c r="H7" s="5"/>
      <c r="I7" s="5"/>
      <c r="J7" s="5"/>
      <c r="K7" s="5"/>
      <c r="L7" s="5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7">
        <v>5.0</v>
      </c>
      <c r="B8" s="8">
        <v>2.409046027E9</v>
      </c>
      <c r="C8" s="9" t="s">
        <v>10</v>
      </c>
      <c r="D8" s="5"/>
      <c r="E8" s="5"/>
      <c r="F8" s="5"/>
      <c r="G8" s="5"/>
      <c r="H8" s="5"/>
      <c r="I8" s="5"/>
      <c r="J8" s="5"/>
      <c r="K8" s="5"/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7">
        <v>6.0</v>
      </c>
      <c r="B9" s="8">
        <v>2.409046034E9</v>
      </c>
      <c r="C9" s="9" t="s">
        <v>11</v>
      </c>
      <c r="D9" s="5"/>
      <c r="E9" s="5"/>
      <c r="F9" s="5"/>
      <c r="G9" s="5"/>
      <c r="H9" s="10"/>
      <c r="I9" s="5"/>
      <c r="J9" s="5"/>
      <c r="K9" s="5"/>
      <c r="L9" s="5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7">
        <v>7.0</v>
      </c>
      <c r="B10" s="8">
        <v>2.409046042E9</v>
      </c>
      <c r="C10" s="9" t="s">
        <v>12</v>
      </c>
      <c r="D10" s="5"/>
      <c r="E10" s="5"/>
      <c r="F10" s="5"/>
      <c r="G10" s="5"/>
      <c r="H10" s="5"/>
      <c r="I10" s="5"/>
      <c r="J10" s="5"/>
      <c r="K10" s="5"/>
      <c r="L10" s="5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7">
        <v>8.0</v>
      </c>
      <c r="B11" s="8">
        <v>2.409046045E9</v>
      </c>
      <c r="C11" s="9" t="s">
        <v>13</v>
      </c>
      <c r="D11" s="5"/>
      <c r="E11" s="5"/>
      <c r="F11" s="5"/>
      <c r="G11" s="5"/>
      <c r="H11" s="5"/>
      <c r="I11" s="5"/>
      <c r="J11" s="5"/>
      <c r="K11" s="5"/>
      <c r="L11" s="5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7">
        <v>9.0</v>
      </c>
      <c r="B12" s="8">
        <v>2.409046046E9</v>
      </c>
      <c r="C12" s="9" t="s">
        <v>14</v>
      </c>
      <c r="D12" s="5"/>
      <c r="E12" s="6" t="s">
        <v>15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7">
        <v>10.0</v>
      </c>
      <c r="B13" s="8">
        <v>2.409046048E9</v>
      </c>
      <c r="C13" s="9" t="s">
        <v>16</v>
      </c>
      <c r="D13" s="5"/>
      <c r="E13" s="5"/>
      <c r="F13" s="5"/>
      <c r="G13" s="5"/>
      <c r="H13" s="5"/>
      <c r="I13" s="5"/>
      <c r="J13" s="5"/>
      <c r="K13" s="5"/>
      <c r="L13" s="5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7">
        <v>11.0</v>
      </c>
      <c r="B14" s="8">
        <v>2.40904605E9</v>
      </c>
      <c r="C14" s="9" t="s">
        <v>17</v>
      </c>
      <c r="D14" s="5"/>
      <c r="E14" s="5"/>
      <c r="F14" s="5"/>
      <c r="G14" s="5"/>
      <c r="H14" s="5"/>
      <c r="I14" s="5"/>
      <c r="J14" s="5"/>
      <c r="K14" s="5"/>
      <c r="L14" s="5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7">
        <v>12.0</v>
      </c>
      <c r="B15" s="8">
        <v>2.409046051E9</v>
      </c>
      <c r="C15" s="9" t="s">
        <v>18</v>
      </c>
      <c r="D15" s="5"/>
      <c r="E15" s="11" t="s">
        <v>19</v>
      </c>
      <c r="F15" s="5"/>
      <c r="G15" s="5"/>
      <c r="H15" s="5"/>
      <c r="I15" s="5"/>
      <c r="J15" s="5"/>
      <c r="K15" s="5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7">
        <v>13.0</v>
      </c>
      <c r="B16" s="8">
        <v>2.409046054E9</v>
      </c>
      <c r="C16" s="9" t="s">
        <v>20</v>
      </c>
      <c r="D16" s="5"/>
      <c r="E16" s="5"/>
      <c r="F16" s="5"/>
      <c r="G16" s="5"/>
      <c r="H16" s="5"/>
      <c r="I16" s="5"/>
      <c r="J16" s="5"/>
      <c r="K16" s="5"/>
      <c r="L16" s="5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7">
        <v>14.0</v>
      </c>
      <c r="B17" s="8">
        <v>2.409046056E9</v>
      </c>
      <c r="C17" s="9" t="s">
        <v>21</v>
      </c>
      <c r="D17" s="5"/>
      <c r="E17" s="5" t="s">
        <v>22</v>
      </c>
      <c r="F17" s="5"/>
      <c r="G17" s="5"/>
      <c r="H17" s="5"/>
      <c r="I17" s="5"/>
      <c r="J17" s="5"/>
      <c r="K17" s="5"/>
      <c r="L17" s="5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7">
        <v>15.0</v>
      </c>
      <c r="B18" s="8">
        <v>2.40904606E9</v>
      </c>
      <c r="C18" s="9" t="s">
        <v>23</v>
      </c>
      <c r="D18" s="5"/>
      <c r="E18" s="12" t="s">
        <v>24</v>
      </c>
      <c r="F18" s="5"/>
      <c r="G18" s="5"/>
      <c r="H18" s="5"/>
      <c r="I18" s="5"/>
      <c r="J18" s="5"/>
      <c r="K18" s="5"/>
      <c r="L18" s="5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7">
        <v>16.0</v>
      </c>
      <c r="B19" s="8">
        <v>2.504096069E9</v>
      </c>
      <c r="C19" s="9" t="s">
        <v>25</v>
      </c>
      <c r="D19" s="5"/>
      <c r="E19" s="5" t="s">
        <v>26</v>
      </c>
      <c r="F19" s="5"/>
      <c r="G19" s="5"/>
      <c r="H19" s="5"/>
      <c r="I19" s="5"/>
      <c r="J19" s="5"/>
      <c r="K19" s="5"/>
      <c r="L19" s="5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7">
        <v>17.0</v>
      </c>
      <c r="B20" s="8">
        <v>2.509046001E9</v>
      </c>
      <c r="C20" s="9" t="s">
        <v>27</v>
      </c>
      <c r="D20" s="5"/>
      <c r="E20" s="5" t="s">
        <v>28</v>
      </c>
      <c r="F20" s="5"/>
      <c r="G20" s="5"/>
      <c r="H20" s="5"/>
      <c r="I20" s="5"/>
      <c r="J20" s="5"/>
      <c r="K20" s="5"/>
      <c r="L20" s="5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7">
        <v>18.0</v>
      </c>
      <c r="B21" s="8">
        <v>2.509046002E9</v>
      </c>
      <c r="C21" s="9" t="s">
        <v>29</v>
      </c>
      <c r="D21" s="5"/>
      <c r="E21" s="5" t="s">
        <v>30</v>
      </c>
      <c r="F21" s="5"/>
      <c r="G21" s="5"/>
      <c r="H21" s="5"/>
      <c r="I21" s="5"/>
      <c r="J21" s="5"/>
      <c r="K21" s="5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7">
        <v>19.0</v>
      </c>
      <c r="B22" s="8">
        <v>2.509046003E9</v>
      </c>
      <c r="C22" s="9" t="s">
        <v>31</v>
      </c>
      <c r="D22" s="5"/>
      <c r="E22" s="5" t="s">
        <v>32</v>
      </c>
      <c r="F22" s="5"/>
      <c r="G22" s="5"/>
      <c r="H22" s="5"/>
      <c r="I22" s="5"/>
      <c r="J22" s="5"/>
      <c r="K22" s="5"/>
      <c r="L22" s="5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7">
        <v>20.0</v>
      </c>
      <c r="B23" s="8">
        <v>2.509046004E9</v>
      </c>
      <c r="C23" s="9" t="s">
        <v>33</v>
      </c>
      <c r="D23" s="5"/>
      <c r="E23" s="5" t="s">
        <v>34</v>
      </c>
      <c r="F23" s="5"/>
      <c r="G23" s="5"/>
      <c r="H23" s="5"/>
      <c r="I23" s="5"/>
      <c r="J23" s="5"/>
      <c r="K23" s="5"/>
      <c r="L23" s="5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7">
        <v>21.0</v>
      </c>
      <c r="B24" s="8">
        <v>2.509046005E9</v>
      </c>
      <c r="C24" s="9" t="s">
        <v>35</v>
      </c>
      <c r="D24" s="5"/>
      <c r="E24" s="5"/>
      <c r="F24" s="5"/>
      <c r="G24" s="5"/>
      <c r="H24" s="5"/>
      <c r="I24" s="5"/>
      <c r="J24" s="5"/>
      <c r="K24" s="5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7">
        <v>22.0</v>
      </c>
      <c r="B25" s="8">
        <v>2.509046006E9</v>
      </c>
      <c r="C25" s="9" t="s">
        <v>36</v>
      </c>
      <c r="D25" s="5"/>
      <c r="E25" s="5" t="s">
        <v>37</v>
      </c>
      <c r="F25" s="5"/>
      <c r="G25" s="5"/>
      <c r="H25" s="5"/>
      <c r="I25" s="5"/>
      <c r="J25" s="5"/>
      <c r="K25" s="5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7">
        <v>23.0</v>
      </c>
      <c r="B26" s="8">
        <v>2.509046007E9</v>
      </c>
      <c r="C26" s="9" t="s">
        <v>38</v>
      </c>
      <c r="D26" s="5"/>
      <c r="E26" s="13" t="s">
        <v>39</v>
      </c>
      <c r="F26" s="5"/>
      <c r="G26" s="5"/>
      <c r="H26" s="5"/>
      <c r="I26" s="5"/>
      <c r="J26" s="5"/>
      <c r="K26" s="5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7">
        <v>24.0</v>
      </c>
      <c r="B27" s="8">
        <v>2.509046008E9</v>
      </c>
      <c r="C27" s="9" t="s">
        <v>40</v>
      </c>
      <c r="D27" s="5"/>
      <c r="E27" s="13" t="s">
        <v>41</v>
      </c>
      <c r="F27" s="5"/>
      <c r="G27" s="5"/>
      <c r="H27" s="5"/>
      <c r="I27" s="5"/>
      <c r="J27" s="5"/>
      <c r="K27" s="5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7">
        <v>25.0</v>
      </c>
      <c r="B28" s="8">
        <v>2.509046009E9</v>
      </c>
      <c r="C28" s="9" t="s">
        <v>42</v>
      </c>
      <c r="D28" s="5"/>
      <c r="E28" s="13" t="s">
        <v>43</v>
      </c>
      <c r="F28" s="5"/>
      <c r="G28" s="5"/>
      <c r="H28" s="5"/>
      <c r="I28" s="5"/>
      <c r="J28" s="5"/>
      <c r="K28" s="5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7">
        <v>26.0</v>
      </c>
      <c r="B29" s="8">
        <v>2.50904601E9</v>
      </c>
      <c r="C29" s="9" t="s">
        <v>44</v>
      </c>
      <c r="D29" s="5"/>
      <c r="E29" s="13" t="s">
        <v>45</v>
      </c>
      <c r="F29" s="5"/>
      <c r="G29" s="5"/>
      <c r="H29" s="5"/>
      <c r="I29" s="5"/>
      <c r="J29" s="5"/>
      <c r="K29" s="5"/>
      <c r="L29" s="5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7">
        <v>27.0</v>
      </c>
      <c r="B30" s="8">
        <v>2.509046011E9</v>
      </c>
      <c r="C30" s="9" t="s">
        <v>46</v>
      </c>
      <c r="D30" s="5"/>
      <c r="E30" s="13" t="s">
        <v>47</v>
      </c>
      <c r="F30" s="5"/>
      <c r="G30" s="5"/>
      <c r="H30" s="5"/>
      <c r="I30" s="5"/>
      <c r="J30" s="5"/>
      <c r="K30" s="5"/>
      <c r="L30" s="5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7">
        <v>28.0</v>
      </c>
      <c r="B31" s="8">
        <v>2.509046012E9</v>
      </c>
      <c r="C31" s="9" t="s">
        <v>48</v>
      </c>
      <c r="D31" s="5"/>
      <c r="E31" s="13" t="s">
        <v>49</v>
      </c>
      <c r="F31" s="5"/>
      <c r="G31" s="5"/>
      <c r="H31" s="5"/>
      <c r="I31" s="5"/>
      <c r="J31" s="5"/>
      <c r="K31" s="5"/>
      <c r="L31" s="5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7">
        <v>29.0</v>
      </c>
      <c r="B32" s="8">
        <v>2.509046013E9</v>
      </c>
      <c r="C32" s="9" t="s">
        <v>50</v>
      </c>
      <c r="D32" s="5"/>
      <c r="E32" s="5"/>
      <c r="F32" s="5"/>
      <c r="G32" s="5"/>
      <c r="H32" s="5"/>
      <c r="I32" s="5"/>
      <c r="J32" s="5"/>
      <c r="K32" s="5"/>
      <c r="L32" s="5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7">
        <v>30.0</v>
      </c>
      <c r="B33" s="8">
        <v>2.509046014E9</v>
      </c>
      <c r="C33" s="9" t="s">
        <v>51</v>
      </c>
      <c r="D33" s="5"/>
      <c r="E33" s="5"/>
      <c r="F33" s="5"/>
      <c r="G33" s="5"/>
      <c r="H33" s="5"/>
      <c r="I33" s="5"/>
      <c r="J33" s="5"/>
      <c r="K33" s="5"/>
      <c r="L33" s="5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7">
        <v>31.0</v>
      </c>
      <c r="B34" s="8">
        <v>2.509046015E9</v>
      </c>
      <c r="C34" s="9" t="s">
        <v>52</v>
      </c>
      <c r="D34" s="5"/>
      <c r="E34" s="5"/>
      <c r="F34" s="5"/>
      <c r="G34" s="5"/>
      <c r="H34" s="5"/>
      <c r="I34" s="5"/>
      <c r="J34" s="5"/>
      <c r="K34" s="5"/>
      <c r="L34" s="5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7">
        <v>32.0</v>
      </c>
      <c r="B35" s="8">
        <v>2.509046016E9</v>
      </c>
      <c r="C35" s="9" t="s">
        <v>53</v>
      </c>
      <c r="D35" s="5"/>
      <c r="E35" s="5"/>
      <c r="F35" s="5"/>
      <c r="G35" s="5"/>
      <c r="H35" s="5"/>
      <c r="I35" s="5"/>
      <c r="J35" s="5"/>
      <c r="K35" s="5"/>
      <c r="L35" s="5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7">
        <v>33.0</v>
      </c>
      <c r="B36" s="8">
        <v>2.509046017E9</v>
      </c>
      <c r="C36" s="9" t="s">
        <v>54</v>
      </c>
      <c r="D36" s="5"/>
      <c r="E36" s="5"/>
      <c r="F36" s="5"/>
      <c r="G36" s="5"/>
      <c r="H36" s="5"/>
      <c r="I36" s="5"/>
      <c r="J36" s="5"/>
      <c r="K36" s="5"/>
      <c r="L36" s="5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7">
        <v>34.0</v>
      </c>
      <c r="B37" s="8">
        <v>2.509046018E9</v>
      </c>
      <c r="C37" s="9" t="s">
        <v>55</v>
      </c>
      <c r="D37" s="5"/>
      <c r="E37" s="5"/>
      <c r="F37" s="5"/>
      <c r="G37" s="5"/>
      <c r="H37" s="5"/>
      <c r="I37" s="5"/>
      <c r="J37" s="5"/>
      <c r="K37" s="5"/>
      <c r="L37" s="5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7">
        <v>35.0</v>
      </c>
      <c r="B38" s="8">
        <v>2.509046019E9</v>
      </c>
      <c r="C38" s="9" t="s">
        <v>56</v>
      </c>
      <c r="D38" s="5"/>
      <c r="E38" s="5"/>
      <c r="F38" s="5"/>
      <c r="G38" s="5"/>
      <c r="H38" s="5"/>
      <c r="I38" s="5"/>
      <c r="J38" s="5"/>
      <c r="K38" s="5"/>
      <c r="L38" s="5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7">
        <v>36.0</v>
      </c>
      <c r="B39" s="8">
        <v>2.50904602E9</v>
      </c>
      <c r="C39" s="9" t="s">
        <v>57</v>
      </c>
      <c r="D39" s="5"/>
      <c r="E39" s="5"/>
      <c r="F39" s="5"/>
      <c r="G39" s="5"/>
      <c r="H39" s="5"/>
      <c r="I39" s="5"/>
      <c r="J39" s="5"/>
      <c r="K39" s="5"/>
      <c r="L39" s="5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7">
        <v>37.0</v>
      </c>
      <c r="B40" s="8">
        <v>2.509046021E9</v>
      </c>
      <c r="C40" s="9" t="s">
        <v>58</v>
      </c>
      <c r="D40" s="5"/>
      <c r="E40" s="5"/>
      <c r="F40" s="5"/>
      <c r="G40" s="5"/>
      <c r="H40" s="5"/>
      <c r="I40" s="5"/>
      <c r="J40" s="5"/>
      <c r="K40" s="5"/>
      <c r="L40" s="5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7">
        <v>38.0</v>
      </c>
      <c r="B41" s="8">
        <v>2.509046022E9</v>
      </c>
      <c r="C41" s="9" t="s">
        <v>59</v>
      </c>
      <c r="D41" s="5"/>
      <c r="E41" s="5"/>
      <c r="F41" s="5"/>
      <c r="G41" s="5"/>
      <c r="H41" s="5"/>
      <c r="I41" s="5"/>
      <c r="J41" s="5"/>
      <c r="K41" s="5"/>
      <c r="L41" s="5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7">
        <v>39.0</v>
      </c>
      <c r="B42" s="8">
        <v>2.509046023E9</v>
      </c>
      <c r="C42" s="9" t="s">
        <v>60</v>
      </c>
      <c r="D42" s="5"/>
      <c r="E42" s="5"/>
      <c r="F42" s="5"/>
      <c r="G42" s="5"/>
      <c r="H42" s="5"/>
      <c r="I42" s="5"/>
      <c r="J42" s="5"/>
      <c r="K42" s="5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7">
        <v>40.0</v>
      </c>
      <c r="B43" s="8">
        <v>2.509046024E9</v>
      </c>
      <c r="C43" s="9" t="s">
        <v>61</v>
      </c>
      <c r="D43" s="5"/>
      <c r="E43" s="5"/>
      <c r="F43" s="5"/>
      <c r="G43" s="5"/>
      <c r="H43" s="5"/>
      <c r="I43" s="5"/>
      <c r="J43" s="5"/>
      <c r="K43" s="5"/>
      <c r="L43" s="5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7">
        <v>41.0</v>
      </c>
      <c r="B44" s="8">
        <v>2.509046025E9</v>
      </c>
      <c r="C44" s="9" t="s">
        <v>62</v>
      </c>
      <c r="D44" s="5"/>
      <c r="E44" s="5"/>
      <c r="F44" s="5"/>
      <c r="G44" s="5"/>
      <c r="H44" s="5"/>
      <c r="I44" s="5"/>
      <c r="J44" s="5"/>
      <c r="K44" s="5"/>
      <c r="L44" s="5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7">
        <v>42.0</v>
      </c>
      <c r="B45" s="8">
        <v>2.509046026E9</v>
      </c>
      <c r="C45" s="9" t="s">
        <v>63</v>
      </c>
      <c r="D45" s="5"/>
      <c r="E45" s="5"/>
      <c r="F45" s="5"/>
      <c r="G45" s="5"/>
      <c r="H45" s="5"/>
      <c r="I45" s="5"/>
      <c r="J45" s="5"/>
      <c r="K45" s="5"/>
      <c r="L45" s="5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7">
        <v>43.0</v>
      </c>
      <c r="B46" s="8">
        <v>2.509046027E9</v>
      </c>
      <c r="C46" s="9" t="s">
        <v>64</v>
      </c>
      <c r="D46" s="5"/>
      <c r="E46" s="5"/>
      <c r="F46" s="5"/>
      <c r="G46" s="5"/>
      <c r="H46" s="5"/>
      <c r="I46" s="5"/>
      <c r="J46" s="5"/>
      <c r="K46" s="5"/>
      <c r="L46" s="5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7">
        <v>44.0</v>
      </c>
      <c r="B47" s="8">
        <v>2.509046028E9</v>
      </c>
      <c r="C47" s="9" t="s">
        <v>65</v>
      </c>
      <c r="D47" s="5"/>
      <c r="E47" s="5"/>
      <c r="F47" s="5"/>
      <c r="G47" s="5"/>
      <c r="H47" s="5"/>
      <c r="I47" s="5"/>
      <c r="J47" s="5"/>
      <c r="K47" s="5"/>
      <c r="L47" s="5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7">
        <v>45.0</v>
      </c>
      <c r="B48" s="8">
        <v>2.509046029E9</v>
      </c>
      <c r="C48" s="9" t="s">
        <v>66</v>
      </c>
      <c r="D48" s="5"/>
      <c r="E48" s="5"/>
      <c r="F48" s="5"/>
      <c r="G48" s="5"/>
      <c r="H48" s="5"/>
      <c r="I48" s="5"/>
      <c r="J48" s="5"/>
      <c r="K48" s="5"/>
      <c r="L48" s="5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7">
        <v>46.0</v>
      </c>
      <c r="B49" s="8">
        <v>2.50904603E9</v>
      </c>
      <c r="C49" s="9" t="s">
        <v>67</v>
      </c>
      <c r="D49" s="5"/>
      <c r="E49" s="5"/>
      <c r="F49" s="5"/>
      <c r="G49" s="5"/>
      <c r="H49" s="5"/>
      <c r="I49" s="5"/>
      <c r="J49" s="5"/>
      <c r="K49" s="5"/>
      <c r="L49" s="5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7">
        <v>47.0</v>
      </c>
      <c r="B50" s="8">
        <v>2.509046031E9</v>
      </c>
      <c r="C50" s="9" t="s">
        <v>68</v>
      </c>
      <c r="D50" s="5"/>
      <c r="E50" s="5"/>
      <c r="F50" s="5"/>
      <c r="G50" s="5"/>
      <c r="H50" s="5"/>
      <c r="I50" s="5"/>
      <c r="J50" s="5"/>
      <c r="K50" s="5"/>
      <c r="L50" s="5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7">
        <v>48.0</v>
      </c>
      <c r="B51" s="8">
        <v>2.509046032E9</v>
      </c>
      <c r="C51" s="9" t="s">
        <v>69</v>
      </c>
      <c r="D51" s="5"/>
      <c r="E51" s="5"/>
      <c r="F51" s="5"/>
      <c r="G51" s="5"/>
      <c r="H51" s="5"/>
      <c r="I51" s="5"/>
      <c r="J51" s="5"/>
      <c r="K51" s="5"/>
      <c r="L51" s="5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7">
        <v>49.0</v>
      </c>
      <c r="B52" s="8">
        <v>2.509046033E9</v>
      </c>
      <c r="C52" s="9" t="s">
        <v>70</v>
      </c>
      <c r="D52" s="5"/>
      <c r="E52" s="5"/>
      <c r="F52" s="5"/>
      <c r="G52" s="5"/>
      <c r="H52" s="5"/>
      <c r="I52" s="5"/>
      <c r="J52" s="5"/>
      <c r="K52" s="5"/>
      <c r="L52" s="5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7">
        <v>50.0</v>
      </c>
      <c r="B53" s="8">
        <v>2.509046034E9</v>
      </c>
      <c r="C53" s="9" t="s">
        <v>71</v>
      </c>
      <c r="D53" s="5"/>
      <c r="E53" s="5" t="str">
        <f>PROPER(D53)</f>
        <v/>
      </c>
      <c r="F53" s="5"/>
      <c r="G53" s="5"/>
      <c r="H53" s="5"/>
      <c r="I53" s="5"/>
      <c r="J53" s="5"/>
      <c r="K53" s="5"/>
      <c r="L53" s="5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7">
        <v>51.0</v>
      </c>
      <c r="B54" s="8">
        <v>2.509046035E9</v>
      </c>
      <c r="C54" s="9" t="s">
        <v>72</v>
      </c>
      <c r="D54" s="5"/>
      <c r="E54" s="5"/>
      <c r="F54" s="5"/>
      <c r="G54" s="5"/>
      <c r="H54" s="5"/>
      <c r="I54" s="5"/>
      <c r="J54" s="5"/>
      <c r="K54" s="5"/>
      <c r="L54" s="5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7">
        <v>52.0</v>
      </c>
      <c r="B55" s="8">
        <v>2.509046036E9</v>
      </c>
      <c r="C55" s="9" t="s">
        <v>73</v>
      </c>
      <c r="D55" s="5"/>
      <c r="E55" s="5"/>
      <c r="F55" s="5"/>
      <c r="G55" s="5"/>
      <c r="H55" s="5"/>
      <c r="I55" s="5"/>
      <c r="J55" s="5"/>
      <c r="K55" s="5"/>
      <c r="L55" s="5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7">
        <v>53.0</v>
      </c>
      <c r="B56" s="8">
        <v>2.509046037E9</v>
      </c>
      <c r="C56" s="9" t="s">
        <v>74</v>
      </c>
      <c r="D56" s="5"/>
      <c r="E56" s="5"/>
      <c r="F56" s="5"/>
      <c r="G56" s="5"/>
      <c r="H56" s="5"/>
      <c r="I56" s="5"/>
      <c r="J56" s="5"/>
      <c r="K56" s="5"/>
      <c r="L56" s="5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7">
        <v>54.0</v>
      </c>
      <c r="B57" s="8">
        <v>2.509046038E9</v>
      </c>
      <c r="C57" s="9" t="s">
        <v>75</v>
      </c>
      <c r="D57" s="5"/>
      <c r="E57" s="5"/>
      <c r="F57" s="5"/>
      <c r="G57" s="5"/>
      <c r="H57" s="5"/>
      <c r="I57" s="5"/>
      <c r="J57" s="5"/>
      <c r="K57" s="5"/>
      <c r="L57" s="5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7">
        <v>55.0</v>
      </c>
      <c r="B58" s="8">
        <v>2.509046039E9</v>
      </c>
      <c r="C58" s="9" t="s">
        <v>76</v>
      </c>
      <c r="D58" s="5"/>
      <c r="E58" s="5"/>
      <c r="F58" s="5"/>
      <c r="G58" s="5"/>
      <c r="H58" s="5"/>
      <c r="I58" s="5"/>
      <c r="J58" s="5"/>
      <c r="K58" s="5"/>
      <c r="L58" s="5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7">
        <v>56.0</v>
      </c>
      <c r="B59" s="8">
        <v>2.50904604E9</v>
      </c>
      <c r="C59" s="9" t="s">
        <v>77</v>
      </c>
      <c r="D59" s="5"/>
      <c r="E59" s="5"/>
      <c r="F59" s="5"/>
      <c r="G59" s="5"/>
      <c r="H59" s="5"/>
      <c r="I59" s="5"/>
      <c r="J59" s="5"/>
      <c r="K59" s="5"/>
      <c r="L59" s="5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7">
        <v>57.0</v>
      </c>
      <c r="B60" s="8">
        <v>2.509046041E9</v>
      </c>
      <c r="C60" s="9" t="s">
        <v>78</v>
      </c>
      <c r="D60" s="5"/>
      <c r="E60" s="5"/>
      <c r="F60" s="5"/>
      <c r="G60" s="5"/>
      <c r="H60" s="5"/>
      <c r="I60" s="5"/>
      <c r="J60" s="5"/>
      <c r="K60" s="5"/>
      <c r="L60" s="5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7">
        <v>58.0</v>
      </c>
      <c r="B61" s="8">
        <v>2.509046042E9</v>
      </c>
      <c r="C61" s="9" t="s">
        <v>79</v>
      </c>
      <c r="D61" s="5"/>
      <c r="E61" s="5"/>
      <c r="F61" s="5"/>
      <c r="G61" s="5"/>
      <c r="H61" s="5"/>
      <c r="I61" s="5"/>
      <c r="J61" s="5"/>
      <c r="K61" s="5"/>
      <c r="L61" s="5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7">
        <v>59.0</v>
      </c>
      <c r="B62" s="8">
        <v>2.509046043E9</v>
      </c>
      <c r="C62" s="9" t="s">
        <v>80</v>
      </c>
      <c r="D62" s="5"/>
      <c r="E62" s="5"/>
      <c r="F62" s="5"/>
      <c r="G62" s="5"/>
      <c r="H62" s="5"/>
      <c r="I62" s="5"/>
      <c r="J62" s="5"/>
      <c r="K62" s="5"/>
      <c r="L62" s="5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7">
        <v>60.0</v>
      </c>
      <c r="B63" s="8">
        <v>2.509046044E9</v>
      </c>
      <c r="C63" s="9" t="s">
        <v>81</v>
      </c>
      <c r="D63" s="5"/>
      <c r="E63" s="5"/>
      <c r="F63" s="5"/>
      <c r="G63" s="5"/>
      <c r="H63" s="5"/>
      <c r="I63" s="5"/>
      <c r="J63" s="5"/>
      <c r="K63" s="5"/>
      <c r="L63" s="5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7">
        <v>61.0</v>
      </c>
      <c r="B64" s="8">
        <v>2.509046045E9</v>
      </c>
      <c r="C64" s="9" t="s">
        <v>82</v>
      </c>
      <c r="D64" s="5"/>
      <c r="E64" s="5"/>
      <c r="F64" s="5"/>
      <c r="G64" s="5"/>
      <c r="H64" s="5"/>
      <c r="I64" s="5"/>
      <c r="J64" s="5"/>
      <c r="K64" s="5"/>
      <c r="L64" s="5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7">
        <v>62.0</v>
      </c>
      <c r="B65" s="8">
        <v>2.509046046E9</v>
      </c>
      <c r="C65" s="9" t="s">
        <v>83</v>
      </c>
      <c r="D65" s="5"/>
      <c r="E65" s="5"/>
      <c r="F65" s="5"/>
      <c r="G65" s="5"/>
      <c r="H65" s="5"/>
      <c r="I65" s="5"/>
      <c r="J65" s="5"/>
      <c r="K65" s="5"/>
      <c r="L65" s="5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7">
        <v>63.0</v>
      </c>
      <c r="B66" s="8">
        <v>2.509046047E9</v>
      </c>
      <c r="C66" s="9" t="s">
        <v>84</v>
      </c>
      <c r="D66" s="5"/>
      <c r="E66" s="5"/>
      <c r="F66" s="5"/>
      <c r="G66" s="5"/>
      <c r="H66" s="5"/>
      <c r="I66" s="5"/>
      <c r="J66" s="5"/>
      <c r="K66" s="5"/>
      <c r="L66" s="5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7">
        <v>64.0</v>
      </c>
      <c r="B67" s="8">
        <v>2.509046048E9</v>
      </c>
      <c r="C67" s="9" t="s">
        <v>85</v>
      </c>
      <c r="D67" s="5"/>
      <c r="E67" s="5"/>
      <c r="F67" s="5"/>
      <c r="G67" s="5"/>
      <c r="H67" s="5"/>
      <c r="I67" s="5"/>
      <c r="J67" s="5"/>
      <c r="K67" s="5"/>
      <c r="L67" s="5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7">
        <v>65.0</v>
      </c>
      <c r="B68" s="8">
        <v>2.509046049E9</v>
      </c>
      <c r="C68" s="9" t="s">
        <v>86</v>
      </c>
      <c r="D68" s="5"/>
      <c r="E68" s="5"/>
      <c r="F68" s="5"/>
      <c r="G68" s="5"/>
      <c r="H68" s="5"/>
      <c r="I68" s="5"/>
      <c r="J68" s="5"/>
      <c r="K68" s="5"/>
      <c r="L68" s="5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7">
        <v>66.0</v>
      </c>
      <c r="B69" s="8">
        <v>2.50904605E9</v>
      </c>
      <c r="C69" s="9" t="s">
        <v>87</v>
      </c>
      <c r="D69" s="5"/>
      <c r="E69" s="5"/>
      <c r="F69" s="5"/>
      <c r="G69" s="5"/>
      <c r="H69" s="5"/>
      <c r="I69" s="5"/>
      <c r="J69" s="5"/>
      <c r="K69" s="5"/>
      <c r="L69" s="5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7">
        <v>67.0</v>
      </c>
      <c r="B70" s="8">
        <v>2.509046051E9</v>
      </c>
      <c r="C70" s="9" t="s">
        <v>88</v>
      </c>
      <c r="D70" s="5"/>
      <c r="E70" s="5"/>
      <c r="F70" s="5"/>
      <c r="G70" s="5"/>
      <c r="H70" s="5"/>
      <c r="I70" s="5"/>
      <c r="J70" s="5"/>
      <c r="K70" s="5"/>
      <c r="L70" s="5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7">
        <v>68.0</v>
      </c>
      <c r="B71" s="8">
        <v>2.509046052E9</v>
      </c>
      <c r="C71" s="9" t="s">
        <v>89</v>
      </c>
      <c r="D71" s="5"/>
      <c r="E71" s="5"/>
      <c r="F71" s="5"/>
      <c r="G71" s="5"/>
      <c r="H71" s="5"/>
      <c r="I71" s="5"/>
      <c r="J71" s="5"/>
      <c r="K71" s="5"/>
      <c r="L71" s="5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7">
        <v>69.0</v>
      </c>
      <c r="B72" s="8">
        <v>2.509046053E9</v>
      </c>
      <c r="C72" s="9" t="s">
        <v>90</v>
      </c>
      <c r="D72" s="5"/>
      <c r="E72" s="5"/>
      <c r="F72" s="5"/>
      <c r="G72" s="5"/>
      <c r="H72" s="5"/>
      <c r="I72" s="5"/>
      <c r="J72" s="5"/>
      <c r="K72" s="5"/>
      <c r="L72" s="5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7">
        <v>70.0</v>
      </c>
      <c r="B73" s="8">
        <v>2.509046054E9</v>
      </c>
      <c r="C73" s="9" t="s">
        <v>91</v>
      </c>
      <c r="D73" s="5"/>
      <c r="E73" s="5"/>
      <c r="F73" s="5"/>
      <c r="G73" s="5"/>
      <c r="H73" s="5"/>
      <c r="I73" s="5"/>
      <c r="J73" s="5"/>
      <c r="K73" s="5"/>
      <c r="L73" s="5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7">
        <v>71.0</v>
      </c>
      <c r="B74" s="8">
        <v>2.509046055E9</v>
      </c>
      <c r="C74" s="9" t="s">
        <v>92</v>
      </c>
      <c r="D74" s="5"/>
      <c r="E74" s="5"/>
      <c r="F74" s="5"/>
      <c r="G74" s="5"/>
      <c r="H74" s="5"/>
      <c r="I74" s="5"/>
      <c r="J74" s="5"/>
      <c r="K74" s="5"/>
      <c r="L74" s="5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7">
        <v>72.0</v>
      </c>
      <c r="B75" s="8">
        <v>2.509046056E9</v>
      </c>
      <c r="C75" s="9" t="s">
        <v>93</v>
      </c>
      <c r="D75" s="5"/>
      <c r="E75" s="5"/>
      <c r="F75" s="5"/>
      <c r="G75" s="5"/>
      <c r="H75" s="5"/>
      <c r="I75" s="5"/>
      <c r="J75" s="5"/>
      <c r="K75" s="5"/>
      <c r="L75" s="5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7">
        <v>73.0</v>
      </c>
      <c r="B76" s="8">
        <v>2.509046057E9</v>
      </c>
      <c r="C76" s="9" t="s">
        <v>94</v>
      </c>
      <c r="D76" s="5"/>
      <c r="E76" s="5"/>
      <c r="F76" s="5"/>
      <c r="G76" s="5"/>
      <c r="H76" s="5"/>
      <c r="I76" s="5"/>
      <c r="J76" s="5"/>
      <c r="K76" s="5"/>
      <c r="L76" s="5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7">
        <v>74.0</v>
      </c>
      <c r="B77" s="8">
        <v>2.509046058E9</v>
      </c>
      <c r="C77" s="9" t="s">
        <v>95</v>
      </c>
      <c r="D77" s="5"/>
      <c r="E77" s="5"/>
      <c r="F77" s="5"/>
      <c r="G77" s="5"/>
      <c r="H77" s="5"/>
      <c r="I77" s="5"/>
      <c r="J77" s="5"/>
      <c r="K77" s="5"/>
      <c r="L77" s="5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7">
        <v>75.0</v>
      </c>
      <c r="B78" s="8">
        <v>2.509046059E9</v>
      </c>
      <c r="C78" s="9" t="s">
        <v>96</v>
      </c>
      <c r="D78" s="5"/>
      <c r="E78" s="5"/>
      <c r="F78" s="5"/>
      <c r="G78" s="5"/>
      <c r="H78" s="5"/>
      <c r="I78" s="5"/>
      <c r="J78" s="5"/>
      <c r="K78" s="5"/>
      <c r="L78" s="5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7">
        <v>76.0</v>
      </c>
      <c r="B79" s="8">
        <v>2.50904606E9</v>
      </c>
      <c r="C79" s="9" t="s">
        <v>97</v>
      </c>
      <c r="D79" s="5"/>
      <c r="E79" s="5"/>
      <c r="F79" s="5"/>
      <c r="G79" s="5"/>
      <c r="H79" s="5"/>
      <c r="I79" s="5"/>
      <c r="J79" s="5"/>
      <c r="K79" s="5"/>
      <c r="L79" s="5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7">
        <v>77.0</v>
      </c>
      <c r="B80" s="8">
        <v>2.509046061E9</v>
      </c>
      <c r="C80" s="9" t="s">
        <v>98</v>
      </c>
      <c r="D80" s="5"/>
      <c r="E80" s="5"/>
      <c r="F80" s="5"/>
      <c r="G80" s="5"/>
      <c r="H80" s="5"/>
      <c r="I80" s="5"/>
      <c r="J80" s="5"/>
      <c r="K80" s="5"/>
      <c r="L80" s="5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7">
        <v>78.0</v>
      </c>
      <c r="B81" s="8">
        <v>2.509046062E9</v>
      </c>
      <c r="C81" s="9" t="s">
        <v>99</v>
      </c>
      <c r="D81" s="5"/>
      <c r="E81" s="5"/>
      <c r="F81" s="5"/>
      <c r="G81" s="5"/>
      <c r="H81" s="5"/>
      <c r="I81" s="5"/>
      <c r="J81" s="5"/>
      <c r="K81" s="5"/>
      <c r="L81" s="5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7">
        <v>79.0</v>
      </c>
      <c r="B82" s="8">
        <v>2.509046063E9</v>
      </c>
      <c r="C82" s="9" t="s">
        <v>100</v>
      </c>
      <c r="D82" s="5"/>
      <c r="E82" s="5"/>
      <c r="F82" s="5"/>
      <c r="G82" s="5"/>
      <c r="H82" s="5"/>
      <c r="I82" s="5"/>
      <c r="J82" s="5"/>
      <c r="K82" s="5"/>
      <c r="L82" s="5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7">
        <v>80.0</v>
      </c>
      <c r="B83" s="8">
        <v>2.509046064E9</v>
      </c>
      <c r="C83" s="9" t="s">
        <v>101</v>
      </c>
      <c r="D83" s="5"/>
      <c r="E83" s="5"/>
      <c r="F83" s="5"/>
      <c r="G83" s="5"/>
      <c r="H83" s="5"/>
      <c r="I83" s="5"/>
      <c r="J83" s="5"/>
      <c r="K83" s="5"/>
      <c r="L83" s="5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7">
        <v>81.0</v>
      </c>
      <c r="B84" s="8">
        <v>2.509046065E9</v>
      </c>
      <c r="C84" s="9" t="s">
        <v>102</v>
      </c>
      <c r="D84" s="5"/>
      <c r="E84" s="5"/>
      <c r="F84" s="5"/>
      <c r="G84" s="5"/>
      <c r="H84" s="5"/>
      <c r="I84" s="5"/>
      <c r="J84" s="5"/>
      <c r="K84" s="5"/>
      <c r="L84" s="5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7">
        <v>82.0</v>
      </c>
      <c r="B85" s="8">
        <v>2.509046066E9</v>
      </c>
      <c r="C85" s="9" t="s">
        <v>103</v>
      </c>
      <c r="D85" s="5"/>
      <c r="E85" s="5"/>
      <c r="F85" s="5"/>
      <c r="G85" s="5"/>
      <c r="H85" s="5"/>
      <c r="I85" s="5"/>
      <c r="J85" s="5"/>
      <c r="K85" s="5"/>
      <c r="L85" s="5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7">
        <v>83.0</v>
      </c>
      <c r="B86" s="8">
        <v>2.509046067E9</v>
      </c>
      <c r="C86" s="9" t="s">
        <v>104</v>
      </c>
      <c r="D86" s="5"/>
      <c r="E86" s="5"/>
      <c r="F86" s="5"/>
      <c r="G86" s="5"/>
      <c r="H86" s="5"/>
      <c r="I86" s="5"/>
      <c r="J86" s="5"/>
      <c r="K86" s="5"/>
      <c r="L86" s="5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7">
        <v>84.0</v>
      </c>
      <c r="B87" s="8">
        <v>2.509046068E9</v>
      </c>
      <c r="C87" s="9" t="s">
        <v>105</v>
      </c>
      <c r="D87" s="5"/>
      <c r="E87" s="5"/>
      <c r="F87" s="5"/>
      <c r="G87" s="5"/>
      <c r="H87" s="5"/>
      <c r="I87" s="5"/>
      <c r="J87" s="5"/>
      <c r="K87" s="5"/>
      <c r="L87" s="5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7">
        <v>85.0</v>
      </c>
      <c r="B88" s="8">
        <v>2.50904607E9</v>
      </c>
      <c r="C88" s="9" t="s">
        <v>106</v>
      </c>
      <c r="D88" s="5"/>
      <c r="E88" s="5"/>
      <c r="F88" s="5"/>
      <c r="G88" s="5"/>
      <c r="H88" s="5"/>
      <c r="I88" s="5"/>
      <c r="J88" s="5"/>
      <c r="K88" s="5"/>
      <c r="L88" s="5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7">
        <v>86.0</v>
      </c>
      <c r="B89" s="8">
        <v>2.509046071E9</v>
      </c>
      <c r="C89" s="9" t="s">
        <v>107</v>
      </c>
      <c r="D89" s="5"/>
      <c r="E89" s="5"/>
      <c r="F89" s="5"/>
      <c r="G89" s="5"/>
      <c r="H89" s="5"/>
      <c r="I89" s="5"/>
      <c r="J89" s="5"/>
      <c r="K89" s="5"/>
      <c r="L89" s="5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7">
        <v>87.0</v>
      </c>
      <c r="B90" s="8">
        <v>2.509046072E9</v>
      </c>
      <c r="C90" s="9" t="s">
        <v>108</v>
      </c>
      <c r="D90" s="5"/>
      <c r="E90" s="5"/>
      <c r="F90" s="5"/>
      <c r="G90" s="5"/>
      <c r="H90" s="5"/>
      <c r="I90" s="5"/>
      <c r="J90" s="5"/>
      <c r="K90" s="5"/>
      <c r="L90" s="5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7">
        <v>88.0</v>
      </c>
      <c r="B91" s="8">
        <v>2.509046073E9</v>
      </c>
      <c r="C91" s="9" t="s">
        <v>109</v>
      </c>
      <c r="D91" s="5"/>
      <c r="E91" s="5"/>
      <c r="F91" s="5"/>
      <c r="G91" s="5"/>
      <c r="H91" s="5"/>
      <c r="I91" s="5"/>
      <c r="J91" s="5"/>
      <c r="K91" s="5"/>
      <c r="L91" s="5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7">
        <v>89.0</v>
      </c>
      <c r="B92" s="8">
        <v>2.509046074E9</v>
      </c>
      <c r="C92" s="9" t="s">
        <v>110</v>
      </c>
      <c r="D92" s="5"/>
      <c r="E92" s="5"/>
      <c r="F92" s="5"/>
      <c r="G92" s="5"/>
      <c r="H92" s="5"/>
      <c r="I92" s="5"/>
      <c r="J92" s="5"/>
      <c r="K92" s="5"/>
      <c r="L92" s="5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7">
        <v>90.0</v>
      </c>
      <c r="B93" s="8">
        <v>2.509046075E9</v>
      </c>
      <c r="C93" s="9" t="s">
        <v>111</v>
      </c>
      <c r="D93" s="5"/>
      <c r="E93" s="5"/>
      <c r="F93" s="5"/>
      <c r="G93" s="5"/>
      <c r="H93" s="5"/>
      <c r="I93" s="5"/>
      <c r="J93" s="5"/>
      <c r="K93" s="5"/>
      <c r="L93" s="5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7">
        <v>91.0</v>
      </c>
      <c r="B94" s="8">
        <v>2.509046076E9</v>
      </c>
      <c r="C94" s="9" t="s">
        <v>112</v>
      </c>
      <c r="D94" s="5"/>
      <c r="E94" s="5"/>
      <c r="F94" s="5"/>
      <c r="G94" s="5"/>
      <c r="H94" s="5"/>
      <c r="I94" s="5"/>
      <c r="J94" s="5"/>
      <c r="K94" s="5"/>
      <c r="L94" s="5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7">
        <v>92.0</v>
      </c>
      <c r="B95" s="8">
        <v>2.509046077E9</v>
      </c>
      <c r="C95" s="9" t="s">
        <v>113</v>
      </c>
      <c r="D95" s="5"/>
      <c r="E95" s="5"/>
      <c r="F95" s="5"/>
      <c r="G95" s="5"/>
      <c r="H95" s="5"/>
      <c r="I95" s="5"/>
      <c r="J95" s="5"/>
      <c r="K95" s="5"/>
      <c r="L95" s="5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7">
        <v>93.0</v>
      </c>
      <c r="B96" s="8">
        <v>2.509046078E9</v>
      </c>
      <c r="C96" s="9" t="s">
        <v>114</v>
      </c>
      <c r="D96" s="5"/>
      <c r="E96" s="5"/>
      <c r="F96" s="5"/>
      <c r="G96" s="5"/>
      <c r="H96" s="5"/>
      <c r="I96" s="5"/>
      <c r="J96" s="5"/>
      <c r="K96" s="5"/>
      <c r="L96" s="5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7">
        <v>94.0</v>
      </c>
      <c r="B97" s="8">
        <v>2.509046079E9</v>
      </c>
      <c r="C97" s="9" t="s">
        <v>115</v>
      </c>
      <c r="D97" s="5"/>
      <c r="E97" s="5"/>
      <c r="F97" s="5"/>
      <c r="G97" s="5"/>
      <c r="H97" s="5"/>
      <c r="I97" s="5"/>
      <c r="J97" s="5"/>
      <c r="K97" s="5"/>
      <c r="L97" s="5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2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2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2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2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2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2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2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2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2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2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2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2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2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2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2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2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2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2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2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2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2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2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2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2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2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2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2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2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2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2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2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2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2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2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2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2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2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2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2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2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2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2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2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2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2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2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2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2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2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2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2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2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2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2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2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2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2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2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2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2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2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2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2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2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2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2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2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2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2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2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2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2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2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2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2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2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2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2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2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2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2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2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2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2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2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2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2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2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2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2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2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2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2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2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2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2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2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2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2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2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2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2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2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2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2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2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2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2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2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2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2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2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2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2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2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2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2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2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2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2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2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2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2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2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2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2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2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2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2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2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2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2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2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2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2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2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2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2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2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2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2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2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2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2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2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2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2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2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2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2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2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2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2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2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2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2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2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2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2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2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2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2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2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2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2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2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2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2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2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2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2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2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2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2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2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2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2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2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2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2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2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2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2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2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2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2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2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2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2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2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2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2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2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2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2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2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2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2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2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2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2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2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2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2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2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2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2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2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2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2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2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2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2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2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2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2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2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2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2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2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2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2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2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2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2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2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2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2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2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2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2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2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2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2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2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2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2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2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2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2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2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2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2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2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2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2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2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2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2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2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2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2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2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2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2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2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2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2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2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2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2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2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2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2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2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2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2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2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2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2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2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2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2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2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2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2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2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2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2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2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2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2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2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2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2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2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2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2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2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2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2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2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2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2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2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2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2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2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2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2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2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2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2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2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2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2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2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2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2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2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2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2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2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2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2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2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2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2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2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2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2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2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2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2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2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2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2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2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2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2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2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2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2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2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2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2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2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2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2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2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2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2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2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2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2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2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2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2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2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2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2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2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2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2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2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2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2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2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2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2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2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2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2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2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2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2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2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2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2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2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2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2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2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2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2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2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2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2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2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2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2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2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2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2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2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2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2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2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2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2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2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2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2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2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2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2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2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2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2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2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2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2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2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2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2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2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2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2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2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2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2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2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2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2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2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2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2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2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2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2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2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2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2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2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2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2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2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2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2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2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2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2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2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2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2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2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2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2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2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2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2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2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2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2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2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2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2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2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2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2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2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2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2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2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2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2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2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2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2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2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2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2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2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2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2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2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2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2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2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2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2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2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2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2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2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2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2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2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2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2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2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2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2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2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2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2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2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2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2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2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2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2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2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2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2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2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2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2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2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2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2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2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2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2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2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2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2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2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2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2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2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2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2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2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2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2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2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2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2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2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2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2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2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2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2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2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2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2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2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2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2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2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2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2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2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2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2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2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2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2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2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2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2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2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2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2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2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2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2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2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2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2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2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2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2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2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2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2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2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2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2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2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2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2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2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2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2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2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2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2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2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2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2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2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2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2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2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2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2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2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2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2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2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2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2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2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2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2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2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2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2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2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2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2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2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2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2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2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2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2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2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2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2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2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2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2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2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2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2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2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2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2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2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2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2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2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2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2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2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2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2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2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2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2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2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2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2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2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2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2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2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2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2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2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2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2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2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2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2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2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2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2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2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2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2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2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2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2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2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2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2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2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2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2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2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2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2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2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2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2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2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2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2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2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2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2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2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2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2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2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2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2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2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2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2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2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2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2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2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2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2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2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2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2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2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2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2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2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2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2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2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2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2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2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2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2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2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2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2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2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2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2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2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2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2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2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2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2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2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2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2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2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2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2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2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2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2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2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2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2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2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2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2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2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2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2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2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2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2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2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2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2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2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2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2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2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2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2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2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2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2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2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2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2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2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2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2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2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2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2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2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2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2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2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2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">
    <mergeCell ref="E3:L3"/>
    <mergeCell ref="E4:L4"/>
    <mergeCell ref="E5:L5"/>
    <mergeCell ref="E12:L12"/>
  </mergeCells>
  <hyperlinks>
    <hyperlink display="Penulisan Laporan" location="null!A1" ref="E26"/>
    <hyperlink display="Laporan Resmi" location="null!A1" ref="E27"/>
    <hyperlink display="Kemampuan Praktikum" location="null!A1" ref="E28"/>
    <hyperlink display="Nilai  Harian" location="null!A1" ref="E29"/>
    <hyperlink display="Nilai Akhir" location="null!A1" ref="E30"/>
    <hyperlink display="Pie Chart" location="null!A1" ref="E31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3" max="3" width="33.25"/>
  </cols>
  <sheetData>
    <row r="1">
      <c r="A1" s="14"/>
      <c r="B1" s="14"/>
    </row>
    <row r="2">
      <c r="A2" s="15" t="s">
        <v>0</v>
      </c>
      <c r="B2" s="15" t="s">
        <v>1</v>
      </c>
      <c r="C2" s="15" t="s">
        <v>116</v>
      </c>
      <c r="D2" s="16" t="s">
        <v>41</v>
      </c>
      <c r="E2" s="17"/>
      <c r="F2" s="17"/>
      <c r="G2" s="17"/>
      <c r="H2" s="17"/>
      <c r="I2" s="17"/>
      <c r="J2" s="17"/>
      <c r="K2" s="18"/>
      <c r="L2" s="15" t="s">
        <v>117</v>
      </c>
    </row>
    <row r="3">
      <c r="A3" s="19"/>
      <c r="B3" s="19"/>
      <c r="C3" s="19"/>
      <c r="D3" s="20" t="s">
        <v>118</v>
      </c>
      <c r="E3" s="20" t="s">
        <v>119</v>
      </c>
      <c r="F3" s="20" t="s">
        <v>120</v>
      </c>
      <c r="G3" s="20" t="s">
        <v>121</v>
      </c>
      <c r="H3" s="20" t="s">
        <v>122</v>
      </c>
      <c r="I3" s="20" t="s">
        <v>123</v>
      </c>
      <c r="J3" s="20" t="s">
        <v>124</v>
      </c>
      <c r="K3" s="20" t="s">
        <v>125</v>
      </c>
      <c r="L3" s="19"/>
    </row>
    <row r="4">
      <c r="A4" s="21">
        <f>'INPUT DAFTAR PESERTA'!A4</f>
        <v>1</v>
      </c>
      <c r="B4" s="21">
        <f>'INPUT DAFTAR PESERTA'!B4</f>
        <v>2109046048</v>
      </c>
      <c r="C4" s="22" t="str">
        <f>'INPUT DAFTAR PESERTA'!C4</f>
        <v>Rafif Fitriansyah Nasution</v>
      </c>
      <c r="D4" s="23">
        <v>86.0</v>
      </c>
      <c r="E4" s="23">
        <v>71.0</v>
      </c>
      <c r="F4" s="23">
        <v>96.0</v>
      </c>
      <c r="G4" s="23">
        <v>94.0</v>
      </c>
      <c r="H4" s="24">
        <v>95.0</v>
      </c>
      <c r="I4" s="23">
        <v>60.0</v>
      </c>
      <c r="J4" s="23">
        <v>87.0</v>
      </c>
      <c r="K4" s="23">
        <v>70.0</v>
      </c>
      <c r="L4" s="25">
        <f t="shared" ref="L4:L97" si="1">(D4+E4+F4+G4+H4+I4+J4+K4)/8</f>
        <v>82.375</v>
      </c>
    </row>
    <row r="5">
      <c r="A5" s="21">
        <f>'INPUT DAFTAR PESERTA'!A5</f>
        <v>2</v>
      </c>
      <c r="B5" s="21">
        <f>'INPUT DAFTAR PESERTA'!B5</f>
        <v>2109046053</v>
      </c>
      <c r="C5" s="22" t="str">
        <f>'INPUT DAFTAR PESERTA'!C5</f>
        <v>Muhamaad Rizky Ramdani</v>
      </c>
      <c r="D5" s="23">
        <v>90.0</v>
      </c>
      <c r="E5" s="23">
        <v>50.0</v>
      </c>
      <c r="F5" s="23">
        <v>85.0</v>
      </c>
      <c r="G5" s="23">
        <v>90.0</v>
      </c>
      <c r="H5" s="23">
        <v>60.0</v>
      </c>
      <c r="I5" s="23">
        <v>60.0</v>
      </c>
      <c r="J5" s="23">
        <v>70.0</v>
      </c>
      <c r="K5" s="23">
        <v>70.0</v>
      </c>
      <c r="L5" s="25">
        <f t="shared" si="1"/>
        <v>71.875</v>
      </c>
    </row>
    <row r="6">
      <c r="A6" s="21">
        <f>'INPUT DAFTAR PESERTA'!A6</f>
        <v>3</v>
      </c>
      <c r="B6" s="21">
        <f>'INPUT DAFTAR PESERTA'!B6</f>
        <v>2409046015</v>
      </c>
      <c r="C6" s="22" t="str">
        <f>'INPUT DAFTAR PESERTA'!C6</f>
        <v>Nur Fadillah Septadi</v>
      </c>
      <c r="D6" s="26">
        <v>67.0</v>
      </c>
      <c r="E6" s="23">
        <v>75.0</v>
      </c>
      <c r="F6" s="23">
        <v>82.0</v>
      </c>
      <c r="G6" s="23">
        <v>80.0</v>
      </c>
      <c r="H6" s="23">
        <v>60.0</v>
      </c>
      <c r="I6" s="23">
        <v>30.0</v>
      </c>
      <c r="J6" s="23">
        <v>70.0</v>
      </c>
      <c r="K6" s="23">
        <v>95.0</v>
      </c>
      <c r="L6" s="25">
        <f t="shared" si="1"/>
        <v>69.875</v>
      </c>
    </row>
    <row r="7">
      <c r="A7" s="21">
        <f>'INPUT DAFTAR PESERTA'!A7</f>
        <v>4</v>
      </c>
      <c r="B7" s="21">
        <f>'INPUT DAFTAR PESERTA'!B7</f>
        <v>2409046026</v>
      </c>
      <c r="C7" s="22" t="str">
        <f>'INPUT DAFTAR PESERTA'!C7</f>
        <v>Aisha Aqmarina Fathiyya Hawwa</v>
      </c>
      <c r="D7" s="26">
        <v>98.0</v>
      </c>
      <c r="E7" s="23">
        <v>75.0</v>
      </c>
      <c r="F7" s="23">
        <v>95.0</v>
      </c>
      <c r="G7" s="23">
        <v>80.0</v>
      </c>
      <c r="H7" s="23">
        <v>80.0</v>
      </c>
      <c r="I7" s="23">
        <v>60.0</v>
      </c>
      <c r="J7" s="23">
        <v>70.0</v>
      </c>
      <c r="K7" s="23">
        <v>70.0</v>
      </c>
      <c r="L7" s="25">
        <f t="shared" si="1"/>
        <v>78.5</v>
      </c>
    </row>
    <row r="8">
      <c r="A8" s="21">
        <f>'INPUT DAFTAR PESERTA'!A8</f>
        <v>5</v>
      </c>
      <c r="B8" s="21">
        <f>'INPUT DAFTAR PESERTA'!B8</f>
        <v>2409046027</v>
      </c>
      <c r="C8" s="22" t="str">
        <f>'INPUT DAFTAR PESERTA'!C8</f>
        <v>Faykar Alfarisi Armadani</v>
      </c>
      <c r="D8" s="26">
        <v>29.0</v>
      </c>
      <c r="E8" s="23">
        <v>77.0</v>
      </c>
      <c r="F8" s="23">
        <v>100.0</v>
      </c>
      <c r="G8" s="23">
        <v>99.0</v>
      </c>
      <c r="H8" s="23">
        <v>99.0</v>
      </c>
      <c r="I8" s="23">
        <v>60.0</v>
      </c>
      <c r="J8" s="23">
        <v>90.0</v>
      </c>
      <c r="K8" s="23">
        <v>90.0</v>
      </c>
      <c r="L8" s="25">
        <f t="shared" si="1"/>
        <v>80.5</v>
      </c>
    </row>
    <row r="9">
      <c r="A9" s="21">
        <f>'INPUT DAFTAR PESERTA'!A9</f>
        <v>6</v>
      </c>
      <c r="B9" s="21">
        <f>'INPUT DAFTAR PESERTA'!B9</f>
        <v>2409046034</v>
      </c>
      <c r="C9" s="22" t="str">
        <f>'INPUT DAFTAR PESERTA'!C9</f>
        <v>Annisa Nurdin</v>
      </c>
      <c r="D9" s="26">
        <v>41.5</v>
      </c>
      <c r="E9" s="23">
        <v>87.0</v>
      </c>
      <c r="F9" s="23">
        <v>95.0</v>
      </c>
      <c r="G9" s="23">
        <v>92.0</v>
      </c>
      <c r="H9" s="24">
        <v>80.0</v>
      </c>
      <c r="I9" s="23">
        <v>60.0</v>
      </c>
      <c r="J9" s="23">
        <v>85.0</v>
      </c>
      <c r="K9" s="23">
        <v>70.0</v>
      </c>
      <c r="L9" s="25">
        <f t="shared" si="1"/>
        <v>76.3125</v>
      </c>
    </row>
    <row r="10">
      <c r="A10" s="21">
        <f>'INPUT DAFTAR PESERTA'!A10</f>
        <v>7</v>
      </c>
      <c r="B10" s="21">
        <f>'INPUT DAFTAR PESERTA'!B10</f>
        <v>2409046042</v>
      </c>
      <c r="C10" s="22" t="str">
        <f>'INPUT DAFTAR PESERTA'!C10</f>
        <v>Aflahal Aula</v>
      </c>
      <c r="D10" s="26">
        <v>45.5</v>
      </c>
      <c r="E10" s="23">
        <v>55.0</v>
      </c>
      <c r="F10" s="23">
        <v>100.0</v>
      </c>
      <c r="G10" s="23">
        <v>94.0</v>
      </c>
      <c r="H10" s="23">
        <v>100.0</v>
      </c>
      <c r="I10" s="23">
        <v>60.0</v>
      </c>
      <c r="J10" s="23">
        <v>90.0</v>
      </c>
      <c r="K10" s="23">
        <v>90.0</v>
      </c>
      <c r="L10" s="25">
        <f t="shared" si="1"/>
        <v>79.3125</v>
      </c>
    </row>
    <row r="11">
      <c r="A11" s="21">
        <f>'INPUT DAFTAR PESERTA'!A11</f>
        <v>8</v>
      </c>
      <c r="B11" s="21">
        <f>'INPUT DAFTAR PESERTA'!B11</f>
        <v>2409046045</v>
      </c>
      <c r="C11" s="22" t="str">
        <f>'INPUT DAFTAR PESERTA'!C11</f>
        <v>Jofan Ananda Sulle</v>
      </c>
      <c r="D11" s="26">
        <v>46.0</v>
      </c>
      <c r="E11" s="23">
        <v>80.0</v>
      </c>
      <c r="F11" s="23">
        <v>100.0</v>
      </c>
      <c r="G11" s="23">
        <v>99.0</v>
      </c>
      <c r="H11" s="23">
        <v>99.0</v>
      </c>
      <c r="I11" s="23">
        <v>60.0</v>
      </c>
      <c r="J11" s="23">
        <v>84.0</v>
      </c>
      <c r="K11" s="23">
        <v>85.0</v>
      </c>
      <c r="L11" s="25">
        <f t="shared" si="1"/>
        <v>81.625</v>
      </c>
    </row>
    <row r="12">
      <c r="A12" s="21">
        <f>'INPUT DAFTAR PESERTA'!A12</f>
        <v>9</v>
      </c>
      <c r="B12" s="21">
        <f>'INPUT DAFTAR PESERTA'!B12</f>
        <v>2409046046</v>
      </c>
      <c r="C12" s="22" t="str">
        <f>'INPUT DAFTAR PESERTA'!C12</f>
        <v>Muhammad Ananda Harisyah Putra</v>
      </c>
      <c r="D12" s="23">
        <v>90.0</v>
      </c>
      <c r="E12" s="23">
        <v>90.0</v>
      </c>
      <c r="F12" s="23">
        <v>90.0</v>
      </c>
      <c r="G12" s="23">
        <v>97.0</v>
      </c>
      <c r="H12" s="23">
        <v>100.0</v>
      </c>
      <c r="I12" s="23">
        <v>60.0</v>
      </c>
      <c r="J12" s="23">
        <v>96.0</v>
      </c>
      <c r="K12" s="23">
        <v>70.0</v>
      </c>
      <c r="L12" s="25">
        <f t="shared" si="1"/>
        <v>86.625</v>
      </c>
    </row>
    <row r="13">
      <c r="A13" s="21">
        <f>'INPUT DAFTAR PESERTA'!A13</f>
        <v>10</v>
      </c>
      <c r="B13" s="21">
        <f>'INPUT DAFTAR PESERTA'!B13</f>
        <v>2409046048</v>
      </c>
      <c r="C13" s="22" t="str">
        <f>'INPUT DAFTAR PESERTA'!C13</f>
        <v>Zaid Iman At-Tamam</v>
      </c>
      <c r="D13" s="23">
        <v>88.0</v>
      </c>
      <c r="E13" s="23">
        <v>82.0</v>
      </c>
      <c r="F13" s="23">
        <v>40.0</v>
      </c>
      <c r="G13" s="23">
        <v>88.0</v>
      </c>
      <c r="H13" s="23">
        <v>100.0</v>
      </c>
      <c r="I13" s="23">
        <v>40.0</v>
      </c>
      <c r="J13" s="23">
        <v>89.0</v>
      </c>
      <c r="K13" s="23">
        <v>70.0</v>
      </c>
      <c r="L13" s="25">
        <f t="shared" si="1"/>
        <v>74.625</v>
      </c>
    </row>
    <row r="14">
      <c r="A14" s="21">
        <f>'INPUT DAFTAR PESERTA'!A14</f>
        <v>11</v>
      </c>
      <c r="B14" s="21">
        <f>'INPUT DAFTAR PESERTA'!B14</f>
        <v>2409046050</v>
      </c>
      <c r="C14" s="22" t="str">
        <f>'INPUT DAFTAR PESERTA'!C14</f>
        <v>Fachri Zia Pasha</v>
      </c>
      <c r="D14" s="23">
        <v>85.0</v>
      </c>
      <c r="E14" s="23">
        <v>86.0</v>
      </c>
      <c r="F14" s="23">
        <v>100.0</v>
      </c>
      <c r="G14" s="23">
        <v>89.0</v>
      </c>
      <c r="H14" s="23">
        <v>100.0</v>
      </c>
      <c r="I14" s="23">
        <v>40.0</v>
      </c>
      <c r="J14" s="23">
        <v>75.0</v>
      </c>
      <c r="K14" s="23">
        <v>70.0</v>
      </c>
      <c r="L14" s="25">
        <f t="shared" si="1"/>
        <v>80.625</v>
      </c>
    </row>
    <row r="15">
      <c r="A15" s="21">
        <f>'INPUT DAFTAR PESERTA'!A15</f>
        <v>12</v>
      </c>
      <c r="B15" s="21">
        <f>'INPUT DAFTAR PESERTA'!B15</f>
        <v>2409046051</v>
      </c>
      <c r="C15" s="22" t="str">
        <f>'INPUT DAFTAR PESERTA'!C15</f>
        <v>Aziffa Reisazalea</v>
      </c>
      <c r="D15" s="23">
        <v>90.0</v>
      </c>
      <c r="E15" s="23">
        <v>93.0</v>
      </c>
      <c r="F15" s="23">
        <v>100.0</v>
      </c>
      <c r="G15" s="23">
        <v>89.0</v>
      </c>
      <c r="H15" s="23">
        <v>100.0</v>
      </c>
      <c r="I15" s="23">
        <v>80.0</v>
      </c>
      <c r="J15" s="23">
        <v>94.0</v>
      </c>
      <c r="K15" s="23">
        <v>70.0</v>
      </c>
      <c r="L15" s="25">
        <f t="shared" si="1"/>
        <v>89.5</v>
      </c>
    </row>
    <row r="16">
      <c r="A16" s="21">
        <f>'INPUT DAFTAR PESERTA'!A16</f>
        <v>13</v>
      </c>
      <c r="B16" s="21">
        <f>'INPUT DAFTAR PESERTA'!B16</f>
        <v>2409046054</v>
      </c>
      <c r="C16" s="22" t="str">
        <f>'INPUT DAFTAR PESERTA'!C16</f>
        <v>Suci Andra Pramitha</v>
      </c>
      <c r="D16" s="26">
        <v>45.0</v>
      </c>
      <c r="E16" s="23">
        <v>52.0</v>
      </c>
      <c r="F16" s="23">
        <v>50.0</v>
      </c>
      <c r="G16" s="23">
        <v>81.0</v>
      </c>
      <c r="H16" s="23">
        <v>60.0</v>
      </c>
      <c r="I16" s="23">
        <v>65.0</v>
      </c>
      <c r="J16" s="23">
        <v>85.0</v>
      </c>
      <c r="K16" s="23">
        <v>70.0</v>
      </c>
      <c r="L16" s="25">
        <f t="shared" si="1"/>
        <v>63.5</v>
      </c>
    </row>
    <row r="17">
      <c r="A17" s="21">
        <f>'INPUT DAFTAR PESERTA'!A17</f>
        <v>14</v>
      </c>
      <c r="B17" s="21">
        <f>'INPUT DAFTAR PESERTA'!B17</f>
        <v>2409046056</v>
      </c>
      <c r="C17" s="22" t="str">
        <f>'INPUT DAFTAR PESERTA'!C17</f>
        <v>Reira Praditha</v>
      </c>
      <c r="D17" s="26">
        <v>88.0</v>
      </c>
      <c r="E17" s="23">
        <v>90.0</v>
      </c>
      <c r="F17" s="23">
        <v>65.0</v>
      </c>
      <c r="G17" s="23">
        <v>93.0</v>
      </c>
      <c r="H17" s="23">
        <v>90.0</v>
      </c>
      <c r="I17" s="23">
        <v>80.0</v>
      </c>
      <c r="J17" s="23">
        <v>41.0</v>
      </c>
      <c r="K17" s="23">
        <v>90.0</v>
      </c>
      <c r="L17" s="25">
        <f t="shared" si="1"/>
        <v>79.625</v>
      </c>
    </row>
    <row r="18">
      <c r="A18" s="21">
        <f>'INPUT DAFTAR PESERTA'!A18</f>
        <v>15</v>
      </c>
      <c r="B18" s="21">
        <f>'INPUT DAFTAR PESERTA'!B18</f>
        <v>2409046060</v>
      </c>
      <c r="C18" s="22" t="str">
        <f>'INPUT DAFTAR PESERTA'!C18</f>
        <v>Ainaya Salsabila</v>
      </c>
      <c r="D18" s="26">
        <v>90.0</v>
      </c>
      <c r="E18" s="23">
        <v>85.0</v>
      </c>
      <c r="F18" s="23">
        <v>98.0</v>
      </c>
      <c r="G18" s="23">
        <v>99.0</v>
      </c>
      <c r="H18" s="23">
        <v>80.0</v>
      </c>
      <c r="I18" s="23">
        <v>80.0</v>
      </c>
      <c r="J18" s="23">
        <v>98.0</v>
      </c>
      <c r="K18" s="23">
        <v>70.0</v>
      </c>
      <c r="L18" s="25">
        <f t="shared" si="1"/>
        <v>87.5</v>
      </c>
    </row>
    <row r="19">
      <c r="A19" s="27">
        <f>'INPUT DAFTAR PESERTA'!A19</f>
        <v>16</v>
      </c>
      <c r="B19" s="27">
        <f>'INPUT DAFTAR PESERTA'!B19</f>
        <v>2504096069</v>
      </c>
      <c r="C19" s="28" t="str">
        <f>'INPUT DAFTAR PESERTA'!C19</f>
        <v>Hafidz Ihsan Izzuddin</v>
      </c>
      <c r="D19" s="29"/>
      <c r="E19" s="29"/>
      <c r="F19" s="29"/>
      <c r="G19" s="29"/>
      <c r="H19" s="29"/>
      <c r="I19" s="29"/>
      <c r="J19" s="29"/>
      <c r="K19" s="30"/>
      <c r="L19" s="31">
        <f t="shared" si="1"/>
        <v>0</v>
      </c>
    </row>
    <row r="20">
      <c r="A20" s="21">
        <f>'INPUT DAFTAR PESERTA'!A20</f>
        <v>17</v>
      </c>
      <c r="B20" s="21">
        <f>'INPUT DAFTAR PESERTA'!B20</f>
        <v>2509046001</v>
      </c>
      <c r="C20" s="22" t="str">
        <f>'INPUT DAFTAR PESERTA'!C20</f>
        <v>Nurman Dwi Prasetyo</v>
      </c>
      <c r="D20" s="23">
        <v>80.0</v>
      </c>
      <c r="E20" s="23">
        <v>65.0</v>
      </c>
      <c r="F20" s="23">
        <v>90.0</v>
      </c>
      <c r="G20" s="23">
        <v>98.0</v>
      </c>
      <c r="H20" s="23">
        <v>80.0</v>
      </c>
      <c r="I20" s="23">
        <v>70.0</v>
      </c>
      <c r="J20" s="23">
        <v>60.0</v>
      </c>
      <c r="K20" s="23">
        <v>90.0</v>
      </c>
      <c r="L20" s="25">
        <f t="shared" si="1"/>
        <v>79.125</v>
      </c>
    </row>
    <row r="21">
      <c r="A21" s="21">
        <f>'INPUT DAFTAR PESERTA'!A21</f>
        <v>18</v>
      </c>
      <c r="B21" s="21">
        <f>'INPUT DAFTAR PESERTA'!B21</f>
        <v>2509046002</v>
      </c>
      <c r="C21" s="22" t="str">
        <f>'INPUT DAFTAR PESERTA'!C21</f>
        <v>Farid Akmal</v>
      </c>
      <c r="D21" s="23">
        <v>80.0</v>
      </c>
      <c r="E21" s="23">
        <v>85.0</v>
      </c>
      <c r="F21" s="23">
        <v>100.0</v>
      </c>
      <c r="G21" s="23">
        <v>94.0</v>
      </c>
      <c r="H21" s="23">
        <v>80.0</v>
      </c>
      <c r="I21" s="23">
        <v>100.0</v>
      </c>
      <c r="J21" s="23">
        <v>97.0</v>
      </c>
      <c r="K21" s="23">
        <v>98.0</v>
      </c>
      <c r="L21" s="25">
        <f t="shared" si="1"/>
        <v>91.75</v>
      </c>
    </row>
    <row r="22">
      <c r="A22" s="21">
        <f>'INPUT DAFTAR PESERTA'!A22</f>
        <v>19</v>
      </c>
      <c r="B22" s="21">
        <f>'INPUT DAFTAR PESERTA'!B22</f>
        <v>2509046003</v>
      </c>
      <c r="C22" s="22" t="str">
        <f>'INPUT DAFTAR PESERTA'!C22</f>
        <v>Azzahra Tusitha</v>
      </c>
      <c r="D22" s="23">
        <v>88.0</v>
      </c>
      <c r="E22" s="23">
        <v>95.0</v>
      </c>
      <c r="F22" s="23">
        <v>100.0</v>
      </c>
      <c r="G22" s="23">
        <v>98.0</v>
      </c>
      <c r="H22" s="23">
        <v>80.0</v>
      </c>
      <c r="I22" s="23">
        <v>100.0</v>
      </c>
      <c r="J22" s="23">
        <v>97.0</v>
      </c>
      <c r="K22" s="23">
        <v>98.0</v>
      </c>
      <c r="L22" s="25">
        <f t="shared" si="1"/>
        <v>94.5</v>
      </c>
    </row>
    <row r="23">
      <c r="A23" s="21">
        <f>'INPUT DAFTAR PESERTA'!A23</f>
        <v>20</v>
      </c>
      <c r="B23" s="21">
        <f>'INPUT DAFTAR PESERTA'!B23</f>
        <v>2509046004</v>
      </c>
      <c r="C23" s="22" t="str">
        <f>'INPUT DAFTAR PESERTA'!C23</f>
        <v>Ahmadia Syarifah Lauradinta</v>
      </c>
      <c r="D23" s="26">
        <v>75.0</v>
      </c>
      <c r="E23" s="23">
        <v>80.0</v>
      </c>
      <c r="F23" s="23">
        <v>95.0</v>
      </c>
      <c r="G23" s="23">
        <v>96.0</v>
      </c>
      <c r="H23" s="23">
        <v>80.0</v>
      </c>
      <c r="I23" s="23">
        <v>70.0</v>
      </c>
      <c r="J23" s="23">
        <v>70.0</v>
      </c>
      <c r="K23" s="23">
        <v>85.0</v>
      </c>
      <c r="L23" s="25">
        <f t="shared" si="1"/>
        <v>81.375</v>
      </c>
    </row>
    <row r="24">
      <c r="A24" s="21">
        <f>'INPUT DAFTAR PESERTA'!A24</f>
        <v>21</v>
      </c>
      <c r="B24" s="21">
        <f>'INPUT DAFTAR PESERTA'!B24</f>
        <v>2509046005</v>
      </c>
      <c r="C24" s="22" t="str">
        <f>'INPUT DAFTAR PESERTA'!C24</f>
        <v>Seysa Puji Annura</v>
      </c>
      <c r="D24" s="23">
        <v>80.0</v>
      </c>
      <c r="E24" s="23">
        <v>57.0</v>
      </c>
      <c r="F24" s="23">
        <v>60.0</v>
      </c>
      <c r="G24" s="23">
        <v>96.0</v>
      </c>
      <c r="H24" s="23">
        <v>80.0</v>
      </c>
      <c r="I24" s="23">
        <v>60.0</v>
      </c>
      <c r="J24" s="23">
        <v>70.0</v>
      </c>
      <c r="K24" s="23">
        <v>50.0</v>
      </c>
      <c r="L24" s="25">
        <f t="shared" si="1"/>
        <v>69.125</v>
      </c>
    </row>
    <row r="25">
      <c r="A25" s="27">
        <f>'INPUT DAFTAR PESERTA'!A25</f>
        <v>22</v>
      </c>
      <c r="B25" s="27">
        <f>'INPUT DAFTAR PESERTA'!B25</f>
        <v>2509046006</v>
      </c>
      <c r="C25" s="28" t="str">
        <f>'INPUT DAFTAR PESERTA'!C25</f>
        <v>Gita Ramadhani Supriyadi</v>
      </c>
      <c r="D25" s="29"/>
      <c r="E25" s="29"/>
      <c r="F25" s="29"/>
      <c r="G25" s="29"/>
      <c r="H25" s="29"/>
      <c r="I25" s="29"/>
      <c r="J25" s="29"/>
      <c r="K25" s="30"/>
      <c r="L25" s="31">
        <f t="shared" si="1"/>
        <v>0</v>
      </c>
    </row>
    <row r="26">
      <c r="A26" s="21">
        <f>'INPUT DAFTAR PESERTA'!A26</f>
        <v>23</v>
      </c>
      <c r="B26" s="21">
        <f>'INPUT DAFTAR PESERTA'!B26</f>
        <v>2509046007</v>
      </c>
      <c r="C26" s="22" t="str">
        <f>'INPUT DAFTAR PESERTA'!C26</f>
        <v>Fabio Cannavaro Sinaga</v>
      </c>
      <c r="D26" s="26">
        <v>90.0</v>
      </c>
      <c r="E26" s="23">
        <v>78.0</v>
      </c>
      <c r="F26" s="23">
        <v>100.0</v>
      </c>
      <c r="G26" s="23">
        <v>91.0</v>
      </c>
      <c r="H26" s="23">
        <v>80.0</v>
      </c>
      <c r="I26" s="23">
        <v>70.0</v>
      </c>
      <c r="J26" s="23">
        <v>95.0</v>
      </c>
      <c r="K26" s="23">
        <v>90.0</v>
      </c>
      <c r="L26" s="25">
        <f t="shared" si="1"/>
        <v>86.75</v>
      </c>
    </row>
    <row r="27">
      <c r="A27" s="21">
        <f>'INPUT DAFTAR PESERTA'!A27</f>
        <v>24</v>
      </c>
      <c r="B27" s="21">
        <f>'INPUT DAFTAR PESERTA'!B27</f>
        <v>2509046008</v>
      </c>
      <c r="C27" s="22" t="str">
        <f>'INPUT DAFTAR PESERTA'!C27</f>
        <v>Hayatun Nisa</v>
      </c>
      <c r="D27" s="23">
        <v>86.0</v>
      </c>
      <c r="E27" s="23">
        <v>64.0</v>
      </c>
      <c r="F27" s="23">
        <v>98.0</v>
      </c>
      <c r="G27" s="23">
        <v>96.0</v>
      </c>
      <c r="H27" s="23">
        <v>80.0</v>
      </c>
      <c r="I27" s="23">
        <v>35.0</v>
      </c>
      <c r="J27" s="23">
        <v>85.0</v>
      </c>
      <c r="K27" s="23">
        <v>70.0</v>
      </c>
      <c r="L27" s="25">
        <f t="shared" si="1"/>
        <v>76.75</v>
      </c>
    </row>
    <row r="28">
      <c r="A28" s="21">
        <f>'INPUT DAFTAR PESERTA'!A28</f>
        <v>25</v>
      </c>
      <c r="B28" s="21">
        <f>'INPUT DAFTAR PESERTA'!B28</f>
        <v>2509046009</v>
      </c>
      <c r="C28" s="22" t="str">
        <f>'INPUT DAFTAR PESERTA'!C28</f>
        <v>Khalilah Denissa Ardia Cahyani</v>
      </c>
      <c r="D28" s="26">
        <v>40.0</v>
      </c>
      <c r="E28" s="23">
        <v>40.0</v>
      </c>
      <c r="F28" s="23">
        <v>85.0</v>
      </c>
      <c r="G28" s="23">
        <v>30.0</v>
      </c>
      <c r="H28" s="23">
        <v>80.0</v>
      </c>
      <c r="I28" s="23">
        <v>15.0</v>
      </c>
      <c r="J28" s="23">
        <v>20.0</v>
      </c>
      <c r="K28" s="23">
        <v>70.0</v>
      </c>
      <c r="L28" s="25">
        <f t="shared" si="1"/>
        <v>47.5</v>
      </c>
    </row>
    <row r="29">
      <c r="A29" s="27">
        <f>'INPUT DAFTAR PESERTA'!A29</f>
        <v>26</v>
      </c>
      <c r="B29" s="27">
        <f>'INPUT DAFTAR PESERTA'!B29</f>
        <v>2509046010</v>
      </c>
      <c r="C29" s="28" t="str">
        <f>'INPUT DAFTAR PESERTA'!C29</f>
        <v>Athila Nadya Zalikha</v>
      </c>
      <c r="D29" s="29"/>
      <c r="E29" s="29"/>
      <c r="F29" s="29"/>
      <c r="G29" s="29"/>
      <c r="H29" s="29"/>
      <c r="I29" s="29"/>
      <c r="J29" s="29"/>
      <c r="K29" s="29"/>
      <c r="L29" s="31">
        <f t="shared" si="1"/>
        <v>0</v>
      </c>
    </row>
    <row r="30">
      <c r="A30" s="27">
        <f>'INPUT DAFTAR PESERTA'!A30</f>
        <v>27</v>
      </c>
      <c r="B30" s="27">
        <f>'INPUT DAFTAR PESERTA'!B30</f>
        <v>2509046011</v>
      </c>
      <c r="C30" s="28" t="str">
        <f>'INPUT DAFTAR PESERTA'!C30</f>
        <v>Aditya Pratama</v>
      </c>
      <c r="D30" s="29"/>
      <c r="E30" s="29"/>
      <c r="F30" s="29"/>
      <c r="G30" s="29"/>
      <c r="H30" s="29"/>
      <c r="I30" s="29"/>
      <c r="J30" s="29"/>
      <c r="K30" s="29"/>
      <c r="L30" s="31">
        <f t="shared" si="1"/>
        <v>0</v>
      </c>
    </row>
    <row r="31">
      <c r="A31" s="21">
        <f>'INPUT DAFTAR PESERTA'!A31</f>
        <v>28</v>
      </c>
      <c r="B31" s="21">
        <f>'INPUT DAFTAR PESERTA'!B31</f>
        <v>2509046012</v>
      </c>
      <c r="C31" s="22" t="str">
        <f>'INPUT DAFTAR PESERTA'!C31</f>
        <v>Atiiqah Permata Hati</v>
      </c>
      <c r="D31" s="23">
        <v>85.0</v>
      </c>
      <c r="E31" s="23">
        <v>0.0</v>
      </c>
      <c r="F31" s="23">
        <v>50.0</v>
      </c>
      <c r="G31" s="23">
        <v>83.0</v>
      </c>
      <c r="H31" s="23">
        <v>60.0</v>
      </c>
      <c r="I31" s="23">
        <v>40.0</v>
      </c>
      <c r="J31" s="23">
        <v>85.0</v>
      </c>
      <c r="K31" s="23">
        <v>70.0</v>
      </c>
      <c r="L31" s="25">
        <f t="shared" si="1"/>
        <v>59.125</v>
      </c>
    </row>
    <row r="32">
      <c r="A32" s="21">
        <f>'INPUT DAFTAR PESERTA'!A32</f>
        <v>29</v>
      </c>
      <c r="B32" s="21">
        <f>'INPUT DAFTAR PESERTA'!B32</f>
        <v>2509046013</v>
      </c>
      <c r="C32" s="22" t="str">
        <f>'INPUT DAFTAR PESERTA'!C32</f>
        <v>Yolanda Denis Aprilia</v>
      </c>
      <c r="D32" s="26">
        <v>92.0</v>
      </c>
      <c r="E32" s="23">
        <v>65.0</v>
      </c>
      <c r="F32" s="23">
        <v>95.0</v>
      </c>
      <c r="G32" s="23">
        <v>91.0</v>
      </c>
      <c r="H32" s="23">
        <v>85.0</v>
      </c>
      <c r="I32" s="23">
        <v>60.0</v>
      </c>
      <c r="J32" s="23">
        <v>80.0</v>
      </c>
      <c r="K32" s="23">
        <v>70.0</v>
      </c>
      <c r="L32" s="25">
        <f t="shared" si="1"/>
        <v>79.75</v>
      </c>
    </row>
    <row r="33">
      <c r="A33" s="21">
        <f>'INPUT DAFTAR PESERTA'!A33</f>
        <v>30</v>
      </c>
      <c r="B33" s="21">
        <f>'INPUT DAFTAR PESERTA'!B33</f>
        <v>2509046014</v>
      </c>
      <c r="C33" s="22" t="str">
        <f>'INPUT DAFTAR PESERTA'!C33</f>
        <v>Farah Najma</v>
      </c>
      <c r="D33" s="23">
        <v>86.0</v>
      </c>
      <c r="E33" s="23">
        <v>77.0</v>
      </c>
      <c r="F33" s="23">
        <v>50.0</v>
      </c>
      <c r="G33" s="23">
        <v>61.0</v>
      </c>
      <c r="H33" s="23">
        <v>80.0</v>
      </c>
      <c r="I33" s="23">
        <v>50.0</v>
      </c>
      <c r="J33" s="23">
        <v>80.0</v>
      </c>
      <c r="K33" s="23">
        <v>90.0</v>
      </c>
      <c r="L33" s="25">
        <f t="shared" si="1"/>
        <v>71.75</v>
      </c>
    </row>
    <row r="34">
      <c r="A34" s="21">
        <f>'INPUT DAFTAR PESERTA'!A34</f>
        <v>31</v>
      </c>
      <c r="B34" s="21">
        <f>'INPUT DAFTAR PESERTA'!B34</f>
        <v>2509046015</v>
      </c>
      <c r="C34" s="22" t="str">
        <f>'INPUT DAFTAR PESERTA'!C34</f>
        <v>Muhammad Abdul Mu'in</v>
      </c>
      <c r="D34" s="26">
        <v>92.0</v>
      </c>
      <c r="E34" s="23">
        <v>44.0</v>
      </c>
      <c r="F34" s="23">
        <v>100.0</v>
      </c>
      <c r="G34" s="23">
        <v>92.0</v>
      </c>
      <c r="H34" s="23">
        <v>80.0</v>
      </c>
      <c r="I34" s="23">
        <v>45.0</v>
      </c>
      <c r="J34" s="23">
        <v>88.0</v>
      </c>
      <c r="K34" s="23">
        <v>90.0</v>
      </c>
      <c r="L34" s="25">
        <f t="shared" si="1"/>
        <v>78.875</v>
      </c>
    </row>
    <row r="35">
      <c r="A35" s="27">
        <f>'INPUT DAFTAR PESERTA'!A35</f>
        <v>32</v>
      </c>
      <c r="B35" s="27">
        <f>'INPUT DAFTAR PESERTA'!B35</f>
        <v>2509046016</v>
      </c>
      <c r="C35" s="28" t="str">
        <f>'INPUT DAFTAR PESERTA'!C35</f>
        <v>Muhammad Rofiq Al-Hakim</v>
      </c>
      <c r="D35" s="29"/>
      <c r="E35" s="29"/>
      <c r="F35" s="29"/>
      <c r="G35" s="29"/>
      <c r="H35" s="29"/>
      <c r="I35" s="29"/>
      <c r="J35" s="29"/>
      <c r="K35" s="29"/>
      <c r="L35" s="31">
        <f t="shared" si="1"/>
        <v>0</v>
      </c>
    </row>
    <row r="36">
      <c r="A36" s="21">
        <f>'INPUT DAFTAR PESERTA'!A36</f>
        <v>33</v>
      </c>
      <c r="B36" s="21">
        <f>'INPUT DAFTAR PESERTA'!B36</f>
        <v>2509046017</v>
      </c>
      <c r="C36" s="22" t="str">
        <f>'INPUT DAFTAR PESERTA'!C36</f>
        <v>Nadia Eka Pratiwi</v>
      </c>
      <c r="D36" s="23">
        <v>90.0</v>
      </c>
      <c r="E36" s="23">
        <v>76.0</v>
      </c>
      <c r="F36" s="23">
        <v>100.0</v>
      </c>
      <c r="G36" s="23">
        <v>93.0</v>
      </c>
      <c r="H36" s="23">
        <v>80.0</v>
      </c>
      <c r="I36" s="23">
        <v>100.0</v>
      </c>
      <c r="J36" s="23">
        <v>98.0</v>
      </c>
      <c r="K36" s="23">
        <v>100.0</v>
      </c>
      <c r="L36" s="25">
        <f t="shared" si="1"/>
        <v>92.125</v>
      </c>
    </row>
    <row r="37">
      <c r="A37" s="21">
        <f>'INPUT DAFTAR PESERTA'!A37</f>
        <v>34</v>
      </c>
      <c r="B37" s="21">
        <f>'INPUT DAFTAR PESERTA'!B37</f>
        <v>2509046018</v>
      </c>
      <c r="C37" s="22" t="str">
        <f>'INPUT DAFTAR PESERTA'!C37</f>
        <v>Rayhana Erda Affiyah</v>
      </c>
      <c r="D37" s="23">
        <v>95.0</v>
      </c>
      <c r="E37" s="23">
        <v>71.0</v>
      </c>
      <c r="F37" s="23">
        <v>85.0</v>
      </c>
      <c r="G37" s="23">
        <v>95.0</v>
      </c>
      <c r="H37" s="23">
        <v>80.0</v>
      </c>
      <c r="I37" s="23">
        <v>100.0</v>
      </c>
      <c r="J37" s="23">
        <v>96.0</v>
      </c>
      <c r="K37" s="23">
        <v>95.0</v>
      </c>
      <c r="L37" s="25">
        <f t="shared" si="1"/>
        <v>89.625</v>
      </c>
    </row>
    <row r="38">
      <c r="A38" s="21">
        <f>'INPUT DAFTAR PESERTA'!A38</f>
        <v>35</v>
      </c>
      <c r="B38" s="21">
        <f>'INPUT DAFTAR PESERTA'!B38</f>
        <v>2509046019</v>
      </c>
      <c r="C38" s="22" t="str">
        <f>'INPUT DAFTAR PESERTA'!C38</f>
        <v>Astrina Nadhiroh Illiyin</v>
      </c>
      <c r="D38" s="23">
        <v>87.0</v>
      </c>
      <c r="E38" s="23">
        <v>62.0</v>
      </c>
      <c r="F38" s="23">
        <v>98.0</v>
      </c>
      <c r="G38" s="23">
        <v>97.0</v>
      </c>
      <c r="H38" s="23">
        <v>80.0</v>
      </c>
      <c r="I38" s="23">
        <v>70.0</v>
      </c>
      <c r="J38" s="23">
        <v>97.0</v>
      </c>
      <c r="K38" s="23">
        <v>75.0</v>
      </c>
      <c r="L38" s="25">
        <f t="shared" si="1"/>
        <v>83.25</v>
      </c>
    </row>
    <row r="39">
      <c r="A39" s="27">
        <f>'INPUT DAFTAR PESERTA'!A39</f>
        <v>36</v>
      </c>
      <c r="B39" s="27">
        <f>'INPUT DAFTAR PESERTA'!B39</f>
        <v>2509046020</v>
      </c>
      <c r="C39" s="28" t="str">
        <f>'INPUT DAFTAR PESERTA'!C39</f>
        <v>Muhammad Davindia Akmaluza</v>
      </c>
      <c r="D39" s="29"/>
      <c r="E39" s="29"/>
      <c r="F39" s="29"/>
      <c r="G39" s="29"/>
      <c r="H39" s="29"/>
      <c r="I39" s="29"/>
      <c r="J39" s="29"/>
      <c r="K39" s="29"/>
      <c r="L39" s="31">
        <f t="shared" si="1"/>
        <v>0</v>
      </c>
    </row>
    <row r="40">
      <c r="A40" s="21">
        <f>'INPUT DAFTAR PESERTA'!A40</f>
        <v>37</v>
      </c>
      <c r="B40" s="21">
        <f>'INPUT DAFTAR PESERTA'!B40</f>
        <v>2509046021</v>
      </c>
      <c r="C40" s="22" t="str">
        <f>'INPUT DAFTAR PESERTA'!C40</f>
        <v>Muhammad Naufal Sabilillah</v>
      </c>
      <c r="D40" s="23">
        <v>85.0</v>
      </c>
      <c r="E40" s="23">
        <v>70.0</v>
      </c>
      <c r="F40" s="23">
        <v>98.0</v>
      </c>
      <c r="G40" s="23">
        <v>99.0</v>
      </c>
      <c r="H40" s="23">
        <v>80.0</v>
      </c>
      <c r="I40" s="23">
        <v>100.0</v>
      </c>
      <c r="J40" s="23">
        <v>97.0</v>
      </c>
      <c r="K40" s="23">
        <v>98.0</v>
      </c>
      <c r="L40" s="25">
        <f t="shared" si="1"/>
        <v>90.875</v>
      </c>
    </row>
    <row r="41">
      <c r="A41" s="21">
        <f>'INPUT DAFTAR PESERTA'!A41</f>
        <v>38</v>
      </c>
      <c r="B41" s="21">
        <f>'INPUT DAFTAR PESERTA'!B41</f>
        <v>2509046022</v>
      </c>
      <c r="C41" s="22" t="str">
        <f>'INPUT DAFTAR PESERTA'!C41</f>
        <v>Miranda Nur Salsabila</v>
      </c>
      <c r="D41" s="23">
        <v>85.0</v>
      </c>
      <c r="E41" s="23">
        <v>71.0</v>
      </c>
      <c r="F41" s="23">
        <v>100.0</v>
      </c>
      <c r="G41" s="23">
        <v>96.0</v>
      </c>
      <c r="H41" s="23">
        <v>90.0</v>
      </c>
      <c r="I41" s="23">
        <v>75.0</v>
      </c>
      <c r="J41" s="23">
        <v>96.0</v>
      </c>
      <c r="K41" s="23">
        <v>95.0</v>
      </c>
      <c r="L41" s="25">
        <f t="shared" si="1"/>
        <v>88.5</v>
      </c>
    </row>
    <row r="42">
      <c r="A42" s="21">
        <f>'INPUT DAFTAR PESERTA'!A42</f>
        <v>39</v>
      </c>
      <c r="B42" s="21">
        <f>'INPUT DAFTAR PESERTA'!B42</f>
        <v>2509046023</v>
      </c>
      <c r="C42" s="22" t="str">
        <f>'INPUT DAFTAR PESERTA'!C42</f>
        <v>Dinar Rahmatheta</v>
      </c>
      <c r="D42" s="23">
        <v>100.0</v>
      </c>
      <c r="E42" s="23">
        <v>70.0</v>
      </c>
      <c r="F42" s="23">
        <v>98.0</v>
      </c>
      <c r="G42" s="23">
        <v>96.0</v>
      </c>
      <c r="H42" s="23">
        <v>80.0</v>
      </c>
      <c r="I42" s="23">
        <v>55.0</v>
      </c>
      <c r="J42" s="23">
        <v>90.0</v>
      </c>
      <c r="K42" s="23">
        <v>90.0</v>
      </c>
      <c r="L42" s="25">
        <f t="shared" si="1"/>
        <v>84.875</v>
      </c>
    </row>
    <row r="43">
      <c r="A43" s="27">
        <f>'INPUT DAFTAR PESERTA'!A43</f>
        <v>40</v>
      </c>
      <c r="B43" s="27">
        <f>'INPUT DAFTAR PESERTA'!B43</f>
        <v>2509046024</v>
      </c>
      <c r="C43" s="28" t="str">
        <f>'INPUT DAFTAR PESERTA'!C43</f>
        <v>Muh. Yasir Naufal</v>
      </c>
      <c r="D43" s="29"/>
      <c r="E43" s="29"/>
      <c r="F43" s="29"/>
      <c r="G43" s="29"/>
      <c r="H43" s="29"/>
      <c r="I43" s="29"/>
      <c r="J43" s="29"/>
      <c r="K43" s="29"/>
      <c r="L43" s="31">
        <f t="shared" si="1"/>
        <v>0</v>
      </c>
    </row>
    <row r="44">
      <c r="A44" s="21">
        <f>'INPUT DAFTAR PESERTA'!A44</f>
        <v>41</v>
      </c>
      <c r="B44" s="21">
        <f>'INPUT DAFTAR PESERTA'!B44</f>
        <v>2509046025</v>
      </c>
      <c r="C44" s="22" t="str">
        <f>'INPUT DAFTAR PESERTA'!C44</f>
        <v>Andi Nada Bunga Zahra</v>
      </c>
      <c r="D44" s="23">
        <v>85.0</v>
      </c>
      <c r="E44" s="23">
        <v>86.0</v>
      </c>
      <c r="F44" s="23">
        <v>95.0</v>
      </c>
      <c r="G44" s="23">
        <v>98.0</v>
      </c>
      <c r="H44" s="23">
        <v>80.0</v>
      </c>
      <c r="I44" s="23">
        <v>70.0</v>
      </c>
      <c r="J44" s="23">
        <v>97.0</v>
      </c>
      <c r="K44" s="23">
        <v>98.0</v>
      </c>
      <c r="L44" s="25">
        <f t="shared" si="1"/>
        <v>88.625</v>
      </c>
    </row>
    <row r="45">
      <c r="A45" s="21">
        <f>'INPUT DAFTAR PESERTA'!A45</f>
        <v>42</v>
      </c>
      <c r="B45" s="21">
        <f>'INPUT DAFTAR PESERTA'!B45</f>
        <v>2509046026</v>
      </c>
      <c r="C45" s="22" t="str">
        <f>'INPUT DAFTAR PESERTA'!C45</f>
        <v>Nabil Rafif Makarim</v>
      </c>
      <c r="D45" s="23">
        <v>100.0</v>
      </c>
      <c r="E45" s="23">
        <v>52.0</v>
      </c>
      <c r="F45" s="23">
        <v>65.0</v>
      </c>
      <c r="G45" s="23">
        <v>91.0</v>
      </c>
      <c r="H45" s="23">
        <v>70.0</v>
      </c>
      <c r="I45" s="23">
        <v>60.0</v>
      </c>
      <c r="J45" s="23">
        <v>83.0</v>
      </c>
      <c r="K45" s="23">
        <v>70.0</v>
      </c>
      <c r="L45" s="25">
        <f t="shared" si="1"/>
        <v>73.875</v>
      </c>
    </row>
    <row r="46">
      <c r="A46" s="21">
        <f>'INPUT DAFTAR PESERTA'!A46</f>
        <v>43</v>
      </c>
      <c r="B46" s="21">
        <f>'INPUT DAFTAR PESERTA'!B46</f>
        <v>2509046027</v>
      </c>
      <c r="C46" s="22" t="str">
        <f>'INPUT DAFTAR PESERTA'!C46</f>
        <v>Natasya Camelia Az-Zahra</v>
      </c>
      <c r="D46" s="23">
        <v>100.0</v>
      </c>
      <c r="E46" s="23">
        <v>80.0</v>
      </c>
      <c r="F46" s="23">
        <v>98.0</v>
      </c>
      <c r="G46" s="23">
        <v>96.0</v>
      </c>
      <c r="H46" s="23">
        <v>80.0</v>
      </c>
      <c r="I46" s="23">
        <v>70.0</v>
      </c>
      <c r="J46" s="23">
        <v>90.0</v>
      </c>
      <c r="K46" s="23">
        <v>98.0</v>
      </c>
      <c r="L46" s="25">
        <f t="shared" si="1"/>
        <v>89</v>
      </c>
    </row>
    <row r="47">
      <c r="A47" s="21">
        <f>'INPUT DAFTAR PESERTA'!A47</f>
        <v>44</v>
      </c>
      <c r="B47" s="21">
        <f>'INPUT DAFTAR PESERTA'!B47</f>
        <v>2509046028</v>
      </c>
      <c r="C47" s="22" t="str">
        <f>'INPUT DAFTAR PESERTA'!C47</f>
        <v>Afirah Al Abidah</v>
      </c>
      <c r="D47" s="26">
        <v>22.0</v>
      </c>
      <c r="E47" s="23">
        <v>12.0</v>
      </c>
      <c r="F47" s="23">
        <v>18.0</v>
      </c>
      <c r="G47" s="23">
        <v>88.0</v>
      </c>
      <c r="H47" s="23">
        <v>60.0</v>
      </c>
      <c r="I47" s="23">
        <v>40.0</v>
      </c>
      <c r="J47" s="23">
        <v>5.0</v>
      </c>
      <c r="K47" s="23">
        <v>70.0</v>
      </c>
      <c r="L47" s="25">
        <f t="shared" si="1"/>
        <v>39.375</v>
      </c>
    </row>
    <row r="48">
      <c r="A48" s="21">
        <f>'INPUT DAFTAR PESERTA'!A48</f>
        <v>45</v>
      </c>
      <c r="B48" s="21">
        <f>'INPUT DAFTAR PESERTA'!B48</f>
        <v>2509046029</v>
      </c>
      <c r="C48" s="22" t="str">
        <f>'INPUT DAFTAR PESERTA'!C48</f>
        <v>Anisa Syalwa</v>
      </c>
      <c r="D48" s="23">
        <v>95.0</v>
      </c>
      <c r="E48" s="23">
        <v>72.0</v>
      </c>
      <c r="F48" s="23">
        <v>40.0</v>
      </c>
      <c r="G48" s="23">
        <v>50.0</v>
      </c>
      <c r="H48" s="23">
        <v>60.0</v>
      </c>
      <c r="I48" s="23">
        <v>50.0</v>
      </c>
      <c r="J48" s="23">
        <v>86.0</v>
      </c>
      <c r="K48" s="23">
        <v>70.0</v>
      </c>
      <c r="L48" s="25">
        <f t="shared" si="1"/>
        <v>65.375</v>
      </c>
    </row>
    <row r="49">
      <c r="A49" s="21">
        <f>'INPUT DAFTAR PESERTA'!A49</f>
        <v>46</v>
      </c>
      <c r="B49" s="21">
        <f>'INPUT DAFTAR PESERTA'!B49</f>
        <v>2509046030</v>
      </c>
      <c r="C49" s="22" t="str">
        <f>'INPUT DAFTAR PESERTA'!C49</f>
        <v>Fikri Firoos Kinarya</v>
      </c>
      <c r="D49" s="23">
        <v>95.0</v>
      </c>
      <c r="E49" s="23">
        <v>65.0</v>
      </c>
      <c r="F49" s="23">
        <v>80.0</v>
      </c>
      <c r="G49" s="23">
        <v>0.0</v>
      </c>
      <c r="H49" s="23">
        <v>80.0</v>
      </c>
      <c r="I49" s="23">
        <v>75.0</v>
      </c>
      <c r="J49" s="23">
        <v>75.0</v>
      </c>
      <c r="K49" s="23">
        <v>95.0</v>
      </c>
      <c r="L49" s="25">
        <f t="shared" si="1"/>
        <v>70.625</v>
      </c>
    </row>
    <row r="50">
      <c r="A50" s="21">
        <f>'INPUT DAFTAR PESERTA'!A50</f>
        <v>47</v>
      </c>
      <c r="B50" s="21">
        <f>'INPUT DAFTAR PESERTA'!B50</f>
        <v>2509046031</v>
      </c>
      <c r="C50" s="22" t="str">
        <f>'INPUT DAFTAR PESERTA'!C50</f>
        <v>Armitha Luthfiana Andini</v>
      </c>
      <c r="D50" s="23">
        <v>86.0</v>
      </c>
      <c r="E50" s="23">
        <v>65.0</v>
      </c>
      <c r="F50" s="23">
        <v>85.0</v>
      </c>
      <c r="G50" s="23">
        <v>0.0</v>
      </c>
      <c r="H50" s="23">
        <v>80.0</v>
      </c>
      <c r="I50" s="23">
        <v>70.0</v>
      </c>
      <c r="J50" s="23">
        <v>90.0</v>
      </c>
      <c r="K50" s="23">
        <v>90.0</v>
      </c>
      <c r="L50" s="25">
        <f t="shared" si="1"/>
        <v>70.75</v>
      </c>
    </row>
    <row r="51">
      <c r="A51" s="21">
        <f>'INPUT DAFTAR PESERTA'!A51</f>
        <v>48</v>
      </c>
      <c r="B51" s="21">
        <f>'INPUT DAFTAR PESERTA'!B51</f>
        <v>2509046032</v>
      </c>
      <c r="C51" s="22" t="str">
        <f>'INPUT DAFTAR PESERTA'!C51</f>
        <v>Fabio Aditya Purnomo</v>
      </c>
      <c r="D51" s="23">
        <v>86.0</v>
      </c>
      <c r="E51" s="23">
        <v>55.0</v>
      </c>
      <c r="F51" s="23">
        <v>75.0</v>
      </c>
      <c r="G51" s="23">
        <v>89.0</v>
      </c>
      <c r="H51" s="23">
        <v>80.0</v>
      </c>
      <c r="I51" s="23">
        <v>100.0</v>
      </c>
      <c r="J51" s="23">
        <v>88.0</v>
      </c>
      <c r="K51" s="23">
        <v>80.0</v>
      </c>
      <c r="L51" s="25">
        <f t="shared" si="1"/>
        <v>81.625</v>
      </c>
    </row>
    <row r="52">
      <c r="A52" s="21">
        <f>'INPUT DAFTAR PESERTA'!A52</f>
        <v>49</v>
      </c>
      <c r="B52" s="21">
        <f>'INPUT DAFTAR PESERTA'!B52</f>
        <v>2509046033</v>
      </c>
      <c r="C52" s="22" t="str">
        <f>'INPUT DAFTAR PESERTA'!C52</f>
        <v>Rifa Davina Zalfa</v>
      </c>
      <c r="D52" s="23">
        <v>86.0</v>
      </c>
      <c r="E52" s="23">
        <v>73.0</v>
      </c>
      <c r="F52" s="23">
        <v>100.0</v>
      </c>
      <c r="G52" s="23">
        <v>96.0</v>
      </c>
      <c r="H52" s="23">
        <v>80.0</v>
      </c>
      <c r="I52" s="23">
        <v>60.0</v>
      </c>
      <c r="J52" s="23">
        <v>98.0</v>
      </c>
      <c r="K52" s="23">
        <v>90.0</v>
      </c>
      <c r="L52" s="25">
        <f t="shared" si="1"/>
        <v>85.375</v>
      </c>
    </row>
    <row r="53">
      <c r="A53" s="21">
        <f>'INPUT DAFTAR PESERTA'!A53</f>
        <v>50</v>
      </c>
      <c r="B53" s="21">
        <f>'INPUT DAFTAR PESERTA'!B53</f>
        <v>2509046034</v>
      </c>
      <c r="C53" s="22" t="str">
        <f>'INPUT DAFTAR PESERTA'!C53</f>
        <v>Nilna Fergita Nouriansa</v>
      </c>
      <c r="D53" s="23">
        <v>86.0</v>
      </c>
      <c r="E53" s="23">
        <v>80.0</v>
      </c>
      <c r="F53" s="23">
        <v>100.0</v>
      </c>
      <c r="G53" s="23">
        <v>99.0</v>
      </c>
      <c r="H53" s="23">
        <v>80.0</v>
      </c>
      <c r="I53" s="23">
        <v>60.0</v>
      </c>
      <c r="J53" s="23">
        <v>90.0</v>
      </c>
      <c r="K53" s="23">
        <v>85.0</v>
      </c>
      <c r="L53" s="25">
        <f t="shared" si="1"/>
        <v>85</v>
      </c>
    </row>
    <row r="54">
      <c r="A54" s="27">
        <f>'INPUT DAFTAR PESERTA'!A54</f>
        <v>51</v>
      </c>
      <c r="B54" s="27">
        <f>'INPUT DAFTAR PESERTA'!B54</f>
        <v>2509046035</v>
      </c>
      <c r="C54" s="28" t="str">
        <f>'INPUT DAFTAR PESERTA'!C54</f>
        <v>Sandi Prakoso</v>
      </c>
      <c r="D54" s="29"/>
      <c r="E54" s="29"/>
      <c r="F54" s="29"/>
      <c r="G54" s="29"/>
      <c r="H54" s="29"/>
      <c r="I54" s="29"/>
      <c r="J54" s="29"/>
      <c r="K54" s="29"/>
      <c r="L54" s="31">
        <f t="shared" si="1"/>
        <v>0</v>
      </c>
    </row>
    <row r="55">
      <c r="A55" s="27">
        <f>'INPUT DAFTAR PESERTA'!A55</f>
        <v>52</v>
      </c>
      <c r="B55" s="27">
        <f>'INPUT DAFTAR PESERTA'!B55</f>
        <v>2509046036</v>
      </c>
      <c r="C55" s="28" t="str">
        <f>'INPUT DAFTAR PESERTA'!C55</f>
        <v>Yarasy Ebed Petra Richard Nanuru</v>
      </c>
      <c r="D55" s="29"/>
      <c r="E55" s="29"/>
      <c r="F55" s="29"/>
      <c r="G55" s="29"/>
      <c r="H55" s="29"/>
      <c r="I55" s="29"/>
      <c r="J55" s="29"/>
      <c r="K55" s="29"/>
      <c r="L55" s="31">
        <f t="shared" si="1"/>
        <v>0</v>
      </c>
    </row>
    <row r="56">
      <c r="A56" s="27">
        <f>'INPUT DAFTAR PESERTA'!A56</f>
        <v>53</v>
      </c>
      <c r="B56" s="27">
        <f>'INPUT DAFTAR PESERTA'!B56</f>
        <v>2509046037</v>
      </c>
      <c r="C56" s="28" t="str">
        <f>'INPUT DAFTAR PESERTA'!C56</f>
        <v>Rasya Hanindya Putri</v>
      </c>
      <c r="D56" s="29"/>
      <c r="E56" s="29"/>
      <c r="F56" s="29"/>
      <c r="G56" s="29"/>
      <c r="H56" s="29"/>
      <c r="I56" s="29"/>
      <c r="J56" s="29"/>
      <c r="K56" s="29"/>
      <c r="L56" s="31">
        <f t="shared" si="1"/>
        <v>0</v>
      </c>
    </row>
    <row r="57">
      <c r="A57" s="21">
        <f>'INPUT DAFTAR PESERTA'!A57</f>
        <v>54</v>
      </c>
      <c r="B57" s="21">
        <f>'INPUT DAFTAR PESERTA'!B57</f>
        <v>2509046038</v>
      </c>
      <c r="C57" s="22" t="str">
        <f>'INPUT DAFTAR PESERTA'!C57</f>
        <v>Stefania Diah Pramestirehi</v>
      </c>
      <c r="D57" s="23">
        <v>80.0</v>
      </c>
      <c r="E57" s="23">
        <v>83.0</v>
      </c>
      <c r="F57" s="23">
        <v>95.0</v>
      </c>
      <c r="G57" s="23">
        <v>99.0</v>
      </c>
      <c r="H57" s="23">
        <v>80.0</v>
      </c>
      <c r="I57" s="23">
        <v>100.0</v>
      </c>
      <c r="J57" s="23">
        <v>90.0</v>
      </c>
      <c r="K57" s="23">
        <v>80.0</v>
      </c>
      <c r="L57" s="25">
        <f t="shared" si="1"/>
        <v>88.375</v>
      </c>
    </row>
    <row r="58">
      <c r="A58" s="21">
        <f>'INPUT DAFTAR PESERTA'!A58</f>
        <v>55</v>
      </c>
      <c r="B58" s="21">
        <f>'INPUT DAFTAR PESERTA'!B58</f>
        <v>2509046039</v>
      </c>
      <c r="C58" s="22" t="str">
        <f>'INPUT DAFTAR PESERTA'!C58</f>
        <v>Azarina Azzahra</v>
      </c>
      <c r="D58" s="23">
        <v>100.0</v>
      </c>
      <c r="E58" s="23">
        <v>98.0</v>
      </c>
      <c r="F58" s="23">
        <v>100.0</v>
      </c>
      <c r="G58" s="23">
        <v>98.0</v>
      </c>
      <c r="H58" s="23">
        <v>80.0</v>
      </c>
      <c r="I58" s="23">
        <v>100.0</v>
      </c>
      <c r="J58" s="23">
        <v>96.0</v>
      </c>
      <c r="K58" s="23">
        <v>98.0</v>
      </c>
      <c r="L58" s="25">
        <f t="shared" si="1"/>
        <v>96.25</v>
      </c>
    </row>
    <row r="59">
      <c r="A59" s="21">
        <f>'INPUT DAFTAR PESERTA'!A59</f>
        <v>56</v>
      </c>
      <c r="B59" s="21">
        <f>'INPUT DAFTAR PESERTA'!B59</f>
        <v>2509046040</v>
      </c>
      <c r="C59" s="22" t="str">
        <f>'INPUT DAFTAR PESERTA'!C59</f>
        <v>Muhammad Bintang Anugrah</v>
      </c>
      <c r="D59" s="23">
        <v>95.0</v>
      </c>
      <c r="E59" s="23">
        <v>82.0</v>
      </c>
      <c r="F59" s="23">
        <v>85.0</v>
      </c>
      <c r="G59" s="23">
        <v>98.0</v>
      </c>
      <c r="H59" s="23">
        <v>80.0</v>
      </c>
      <c r="I59" s="23">
        <v>80.0</v>
      </c>
      <c r="J59" s="23">
        <v>90.0</v>
      </c>
      <c r="K59" s="23">
        <v>90.0</v>
      </c>
      <c r="L59" s="25">
        <f t="shared" si="1"/>
        <v>87.5</v>
      </c>
    </row>
    <row r="60">
      <c r="A60" s="21">
        <f>'INPUT DAFTAR PESERTA'!A60</f>
        <v>57</v>
      </c>
      <c r="B60" s="21">
        <f>'INPUT DAFTAR PESERTA'!B60</f>
        <v>2509046041</v>
      </c>
      <c r="C60" s="22" t="str">
        <f>'INPUT DAFTAR PESERTA'!C60</f>
        <v>Marcel Rizky Indrawan</v>
      </c>
      <c r="D60" s="23">
        <v>80.0</v>
      </c>
      <c r="E60" s="23">
        <v>69.0</v>
      </c>
      <c r="F60" s="23">
        <v>50.0</v>
      </c>
      <c r="G60" s="23">
        <v>92.0</v>
      </c>
      <c r="H60" s="23">
        <v>80.0</v>
      </c>
      <c r="I60" s="23">
        <v>60.0</v>
      </c>
      <c r="J60" s="23">
        <v>89.0</v>
      </c>
      <c r="K60" s="23">
        <v>90.0</v>
      </c>
      <c r="L60" s="25">
        <f t="shared" si="1"/>
        <v>76.25</v>
      </c>
    </row>
    <row r="61">
      <c r="A61" s="21">
        <f>'INPUT DAFTAR PESERTA'!A61</f>
        <v>58</v>
      </c>
      <c r="B61" s="21">
        <f>'INPUT DAFTAR PESERTA'!B61</f>
        <v>2509046042</v>
      </c>
      <c r="C61" s="22" t="str">
        <f>'INPUT DAFTAR PESERTA'!C61</f>
        <v>Mega Dwi Eriyanti</v>
      </c>
      <c r="D61" s="23">
        <v>100.0</v>
      </c>
      <c r="E61" s="23">
        <v>90.0</v>
      </c>
      <c r="F61" s="23">
        <v>100.0</v>
      </c>
      <c r="G61" s="23">
        <v>98.0</v>
      </c>
      <c r="H61" s="23">
        <v>80.0</v>
      </c>
      <c r="I61" s="23">
        <v>70.0</v>
      </c>
      <c r="J61" s="23">
        <v>95.0</v>
      </c>
      <c r="K61" s="23">
        <v>98.0</v>
      </c>
      <c r="L61" s="25">
        <f t="shared" si="1"/>
        <v>91.375</v>
      </c>
    </row>
    <row r="62">
      <c r="A62" s="27">
        <f>'INPUT DAFTAR PESERTA'!A62</f>
        <v>59</v>
      </c>
      <c r="B62" s="27">
        <f>'INPUT DAFTAR PESERTA'!B62</f>
        <v>2509046043</v>
      </c>
      <c r="C62" s="28" t="str">
        <f>'INPUT DAFTAR PESERTA'!C62</f>
        <v>Jessen Jeremi Sinaga</v>
      </c>
      <c r="D62" s="29"/>
      <c r="E62" s="29"/>
      <c r="F62" s="29"/>
      <c r="G62" s="29"/>
      <c r="H62" s="29"/>
      <c r="I62" s="29"/>
      <c r="J62" s="29"/>
      <c r="K62" s="29"/>
      <c r="L62" s="31">
        <f t="shared" si="1"/>
        <v>0</v>
      </c>
    </row>
    <row r="63">
      <c r="A63" s="27">
        <f>'INPUT DAFTAR PESERTA'!A63</f>
        <v>60</v>
      </c>
      <c r="B63" s="27">
        <f>'INPUT DAFTAR PESERTA'!B63</f>
        <v>2509046044</v>
      </c>
      <c r="C63" s="28" t="str">
        <f>'INPUT DAFTAR PESERTA'!C63</f>
        <v>Mohammad Bagus Leo Widiantara</v>
      </c>
      <c r="D63" s="29"/>
      <c r="E63" s="29"/>
      <c r="F63" s="29"/>
      <c r="G63" s="29"/>
      <c r="H63" s="29"/>
      <c r="I63" s="29"/>
      <c r="J63" s="29"/>
      <c r="K63" s="29"/>
      <c r="L63" s="31">
        <f t="shared" si="1"/>
        <v>0</v>
      </c>
    </row>
    <row r="64">
      <c r="A64" s="27">
        <f>'INPUT DAFTAR PESERTA'!A64</f>
        <v>61</v>
      </c>
      <c r="B64" s="27">
        <f>'INPUT DAFTAR PESERTA'!B64</f>
        <v>2509046045</v>
      </c>
      <c r="C64" s="28" t="str">
        <f>'INPUT DAFTAR PESERTA'!C64</f>
        <v>Najwa Aliffah Falah</v>
      </c>
      <c r="D64" s="29"/>
      <c r="E64" s="29"/>
      <c r="F64" s="29"/>
      <c r="G64" s="30"/>
      <c r="H64" s="29"/>
      <c r="I64" s="29"/>
      <c r="J64" s="29"/>
      <c r="K64" s="29"/>
      <c r="L64" s="31">
        <f t="shared" si="1"/>
        <v>0</v>
      </c>
    </row>
    <row r="65">
      <c r="A65" s="21">
        <f>'INPUT DAFTAR PESERTA'!A65</f>
        <v>62</v>
      </c>
      <c r="B65" s="21">
        <f>'INPUT DAFTAR PESERTA'!B65</f>
        <v>2509046046</v>
      </c>
      <c r="C65" s="22" t="str">
        <f>'INPUT DAFTAR PESERTA'!C65</f>
        <v>Jezlhine Suretno</v>
      </c>
      <c r="D65" s="26">
        <v>20.0</v>
      </c>
      <c r="E65" s="23">
        <v>65.0</v>
      </c>
      <c r="F65" s="23">
        <v>80.0</v>
      </c>
      <c r="G65" s="23">
        <v>89.0</v>
      </c>
      <c r="H65" s="23">
        <v>80.0</v>
      </c>
      <c r="I65" s="23">
        <v>20.0</v>
      </c>
      <c r="J65" s="23">
        <v>40.0</v>
      </c>
      <c r="K65" s="23">
        <v>90.0</v>
      </c>
      <c r="L65" s="25">
        <f t="shared" si="1"/>
        <v>60.5</v>
      </c>
    </row>
    <row r="66">
      <c r="A66" s="21">
        <f>'INPUT DAFTAR PESERTA'!A66</f>
        <v>63</v>
      </c>
      <c r="B66" s="21">
        <f>'INPUT DAFTAR PESERTA'!B66</f>
        <v>2509046047</v>
      </c>
      <c r="C66" s="22" t="str">
        <f>'INPUT DAFTAR PESERTA'!C66</f>
        <v>Gideon Giorgy Aipassa</v>
      </c>
      <c r="D66" s="26">
        <v>50.0</v>
      </c>
      <c r="E66" s="23">
        <v>55.0</v>
      </c>
      <c r="F66" s="23">
        <v>80.0</v>
      </c>
      <c r="G66" s="23">
        <v>53.0</v>
      </c>
      <c r="H66" s="23">
        <v>80.0</v>
      </c>
      <c r="I66" s="23">
        <v>35.0</v>
      </c>
      <c r="J66" s="23">
        <v>33.0</v>
      </c>
      <c r="K66" s="23">
        <v>85.0</v>
      </c>
      <c r="L66" s="25">
        <f t="shared" si="1"/>
        <v>58.875</v>
      </c>
    </row>
    <row r="67">
      <c r="A67" s="21">
        <f>'INPUT DAFTAR PESERTA'!A67</f>
        <v>64</v>
      </c>
      <c r="B67" s="21">
        <f>'INPUT DAFTAR PESERTA'!B67</f>
        <v>2509046048</v>
      </c>
      <c r="C67" s="22" t="str">
        <f>'INPUT DAFTAR PESERTA'!C67</f>
        <v>Talitha Kayana Nugroho</v>
      </c>
      <c r="D67" s="26">
        <v>20.0</v>
      </c>
      <c r="E67" s="23">
        <v>52.0</v>
      </c>
      <c r="F67" s="23">
        <v>70.0</v>
      </c>
      <c r="G67" s="23">
        <v>85.0</v>
      </c>
      <c r="H67" s="23">
        <v>80.0</v>
      </c>
      <c r="I67" s="23">
        <v>25.0</v>
      </c>
      <c r="J67" s="23">
        <v>65.0</v>
      </c>
      <c r="K67" s="23">
        <v>70.0</v>
      </c>
      <c r="L67" s="25">
        <f t="shared" si="1"/>
        <v>58.375</v>
      </c>
    </row>
    <row r="68">
      <c r="A68" s="27">
        <f>'INPUT DAFTAR PESERTA'!A68</f>
        <v>65</v>
      </c>
      <c r="B68" s="27">
        <f>'INPUT DAFTAR PESERTA'!B68</f>
        <v>2509046049</v>
      </c>
      <c r="C68" s="28" t="str">
        <f>'INPUT DAFTAR PESERTA'!C68</f>
        <v>Josef Alexandro Wijaya Kusuma</v>
      </c>
      <c r="D68" s="29"/>
      <c r="E68" s="29"/>
      <c r="F68" s="29"/>
      <c r="G68" s="29"/>
      <c r="H68" s="29"/>
      <c r="I68" s="29"/>
      <c r="J68" s="29"/>
      <c r="K68" s="29"/>
      <c r="L68" s="31">
        <f t="shared" si="1"/>
        <v>0</v>
      </c>
    </row>
    <row r="69">
      <c r="A69" s="21">
        <f>'INPUT DAFTAR PESERTA'!A69</f>
        <v>66</v>
      </c>
      <c r="B69" s="21">
        <f>'INPUT DAFTAR PESERTA'!B69</f>
        <v>2509046050</v>
      </c>
      <c r="C69" s="22" t="str">
        <f>'INPUT DAFTAR PESERTA'!C69</f>
        <v>Surya Buana Putra Kamil</v>
      </c>
      <c r="D69" s="26">
        <v>0.0</v>
      </c>
      <c r="E69" s="23">
        <v>0.0</v>
      </c>
      <c r="F69" s="23">
        <v>0.0</v>
      </c>
      <c r="G69" s="23">
        <v>0.0</v>
      </c>
      <c r="H69" s="23">
        <v>60.0</v>
      </c>
      <c r="I69" s="23">
        <v>60.0</v>
      </c>
      <c r="J69" s="23">
        <v>0.0</v>
      </c>
      <c r="K69" s="23">
        <v>70.0</v>
      </c>
      <c r="L69" s="25">
        <f t="shared" si="1"/>
        <v>23.75</v>
      </c>
    </row>
    <row r="70">
      <c r="A70" s="21">
        <f>'INPUT DAFTAR PESERTA'!A70</f>
        <v>67</v>
      </c>
      <c r="B70" s="21">
        <f>'INPUT DAFTAR PESERTA'!B70</f>
        <v>2509046051</v>
      </c>
      <c r="C70" s="22" t="str">
        <f>'INPUT DAFTAR PESERTA'!C70</f>
        <v>Arifatus Saidah</v>
      </c>
      <c r="D70" s="26">
        <v>37.0</v>
      </c>
      <c r="E70" s="23">
        <v>0.0</v>
      </c>
      <c r="F70" s="23">
        <v>0.0</v>
      </c>
      <c r="G70" s="23">
        <v>87.0</v>
      </c>
      <c r="H70" s="23">
        <v>60.0</v>
      </c>
      <c r="I70" s="23">
        <v>0.0</v>
      </c>
      <c r="J70" s="23">
        <v>0.0</v>
      </c>
      <c r="K70" s="23">
        <v>70.0</v>
      </c>
      <c r="L70" s="25">
        <f t="shared" si="1"/>
        <v>31.75</v>
      </c>
    </row>
    <row r="71">
      <c r="A71" s="21">
        <f>'INPUT DAFTAR PESERTA'!A71</f>
        <v>68</v>
      </c>
      <c r="B71" s="21">
        <f>'INPUT DAFTAR PESERTA'!B71</f>
        <v>2509046052</v>
      </c>
      <c r="C71" s="22" t="str">
        <f>'INPUT DAFTAR PESERTA'!C71</f>
        <v>Syarifah Sarah Ashilah</v>
      </c>
      <c r="D71" s="26">
        <v>87.0</v>
      </c>
      <c r="E71" s="23">
        <v>85.0</v>
      </c>
      <c r="F71" s="23">
        <v>98.0</v>
      </c>
      <c r="G71" s="23">
        <v>99.0</v>
      </c>
      <c r="H71" s="23">
        <v>80.0</v>
      </c>
      <c r="I71" s="23">
        <v>45.0</v>
      </c>
      <c r="J71" s="23">
        <v>96.0</v>
      </c>
      <c r="K71" s="23">
        <v>95.0</v>
      </c>
      <c r="L71" s="25">
        <f t="shared" si="1"/>
        <v>85.625</v>
      </c>
    </row>
    <row r="72">
      <c r="A72" s="27">
        <f>'INPUT DAFTAR PESERTA'!A72</f>
        <v>69</v>
      </c>
      <c r="B72" s="27">
        <f>'INPUT DAFTAR PESERTA'!B72</f>
        <v>2509046053</v>
      </c>
      <c r="C72" s="28" t="str">
        <f>'INPUT DAFTAR PESERTA'!C72</f>
        <v>Muhammad Aufa Syarif Prabowo</v>
      </c>
      <c r="D72" s="29"/>
      <c r="E72" s="29"/>
      <c r="F72" s="29"/>
      <c r="G72" s="29"/>
      <c r="H72" s="29"/>
      <c r="I72" s="29"/>
      <c r="J72" s="29"/>
      <c r="K72" s="29"/>
      <c r="L72" s="31">
        <f t="shared" si="1"/>
        <v>0</v>
      </c>
    </row>
    <row r="73">
      <c r="A73" s="27">
        <f>'INPUT DAFTAR PESERTA'!A73</f>
        <v>70</v>
      </c>
      <c r="B73" s="27">
        <f>'INPUT DAFTAR PESERTA'!B73</f>
        <v>2509046054</v>
      </c>
      <c r="C73" s="28" t="str">
        <f>'INPUT DAFTAR PESERTA'!C73</f>
        <v>Kezia Aulia Putri</v>
      </c>
      <c r="D73" s="29"/>
      <c r="E73" s="29"/>
      <c r="F73" s="29"/>
      <c r="G73" s="29"/>
      <c r="H73" s="29"/>
      <c r="I73" s="29"/>
      <c r="J73" s="29"/>
      <c r="K73" s="29"/>
      <c r="L73" s="31">
        <f t="shared" si="1"/>
        <v>0</v>
      </c>
    </row>
    <row r="74">
      <c r="A74" s="21">
        <f>'INPUT DAFTAR PESERTA'!A74</f>
        <v>71</v>
      </c>
      <c r="B74" s="21">
        <f>'INPUT DAFTAR PESERTA'!B74</f>
        <v>2509046055</v>
      </c>
      <c r="C74" s="22" t="str">
        <f>'INPUT DAFTAR PESERTA'!C74</f>
        <v>Nailah Aisya Ainurrahman</v>
      </c>
      <c r="D74" s="23">
        <v>86.0</v>
      </c>
      <c r="E74" s="23">
        <v>51.0</v>
      </c>
      <c r="F74" s="23">
        <v>85.0</v>
      </c>
      <c r="G74" s="23">
        <v>95.0</v>
      </c>
      <c r="H74" s="23">
        <v>80.0</v>
      </c>
      <c r="I74" s="23">
        <v>30.0</v>
      </c>
      <c r="J74" s="23">
        <v>94.0</v>
      </c>
      <c r="K74" s="23">
        <v>82.0</v>
      </c>
      <c r="L74" s="25">
        <f t="shared" si="1"/>
        <v>75.375</v>
      </c>
    </row>
    <row r="75">
      <c r="A75" s="21">
        <f>'INPUT DAFTAR PESERTA'!A75</f>
        <v>72</v>
      </c>
      <c r="B75" s="21">
        <f>'INPUT DAFTAR PESERTA'!B75</f>
        <v>2509046056</v>
      </c>
      <c r="C75" s="22" t="str">
        <f>'INPUT DAFTAR PESERTA'!C75</f>
        <v>Nadine Olivia</v>
      </c>
      <c r="D75" s="23">
        <v>80.0</v>
      </c>
      <c r="E75" s="23">
        <v>68.0</v>
      </c>
      <c r="F75" s="23">
        <v>100.0</v>
      </c>
      <c r="G75" s="23">
        <v>96.0</v>
      </c>
      <c r="H75" s="23">
        <v>60.0</v>
      </c>
      <c r="I75" s="23">
        <v>65.0</v>
      </c>
      <c r="J75" s="23">
        <v>97.0</v>
      </c>
      <c r="K75" s="23">
        <v>70.0</v>
      </c>
      <c r="L75" s="25">
        <f t="shared" si="1"/>
        <v>79.5</v>
      </c>
    </row>
    <row r="76">
      <c r="A76" s="27">
        <f>'INPUT DAFTAR PESERTA'!A76</f>
        <v>73</v>
      </c>
      <c r="B76" s="27">
        <f>'INPUT DAFTAR PESERTA'!B76</f>
        <v>2509046057</v>
      </c>
      <c r="C76" s="28" t="str">
        <f>'INPUT DAFTAR PESERTA'!C76</f>
        <v>Fadhaail Ali Syaban</v>
      </c>
      <c r="D76" s="29"/>
      <c r="E76" s="29"/>
      <c r="F76" s="29"/>
      <c r="G76" s="29"/>
      <c r="H76" s="29"/>
      <c r="I76" s="29"/>
      <c r="J76" s="29"/>
      <c r="K76" s="29"/>
      <c r="L76" s="31">
        <f t="shared" si="1"/>
        <v>0</v>
      </c>
    </row>
    <row r="77">
      <c r="A77" s="21">
        <f>'INPUT DAFTAR PESERTA'!A77</f>
        <v>74</v>
      </c>
      <c r="B77" s="21">
        <f>'INPUT DAFTAR PESERTA'!B77</f>
        <v>2509046058</v>
      </c>
      <c r="C77" s="22" t="str">
        <f>'INPUT DAFTAR PESERTA'!C77</f>
        <v>Tri Partogi Utama Manalu</v>
      </c>
      <c r="D77" s="26">
        <v>37.0</v>
      </c>
      <c r="E77" s="23">
        <v>50.0</v>
      </c>
      <c r="F77" s="23">
        <v>40.0</v>
      </c>
      <c r="G77" s="23">
        <v>60.0</v>
      </c>
      <c r="H77" s="23">
        <v>60.0</v>
      </c>
      <c r="I77" s="23">
        <v>28.0</v>
      </c>
      <c r="J77" s="23">
        <v>80.0</v>
      </c>
      <c r="K77" s="23">
        <v>70.0</v>
      </c>
      <c r="L77" s="25">
        <f t="shared" si="1"/>
        <v>53.125</v>
      </c>
    </row>
    <row r="78">
      <c r="A78" s="27">
        <f>'INPUT DAFTAR PESERTA'!A78</f>
        <v>75</v>
      </c>
      <c r="B78" s="27">
        <f>'INPUT DAFTAR PESERTA'!B78</f>
        <v>2509046059</v>
      </c>
      <c r="C78" s="28" t="str">
        <f>'INPUT DAFTAR PESERTA'!C78</f>
        <v>Fa'iz Pasha Novian</v>
      </c>
      <c r="D78" s="29"/>
      <c r="E78" s="29"/>
      <c r="F78" s="29"/>
      <c r="G78" s="29"/>
      <c r="H78" s="29"/>
      <c r="I78" s="29"/>
      <c r="J78" s="29"/>
      <c r="K78" s="29"/>
      <c r="L78" s="31">
        <f t="shared" si="1"/>
        <v>0</v>
      </c>
    </row>
    <row r="79">
      <c r="A79" s="21">
        <f>'INPUT DAFTAR PESERTA'!A79</f>
        <v>76</v>
      </c>
      <c r="B79" s="21">
        <f>'INPUT DAFTAR PESERTA'!B79</f>
        <v>2509046060</v>
      </c>
      <c r="C79" s="22" t="str">
        <f>'INPUT DAFTAR PESERTA'!C79</f>
        <v>Shasya Tri Fauziah</v>
      </c>
      <c r="D79" s="26">
        <v>85.0</v>
      </c>
      <c r="E79" s="23">
        <v>95.0</v>
      </c>
      <c r="F79" s="23">
        <v>95.0</v>
      </c>
      <c r="G79" s="23">
        <v>97.0</v>
      </c>
      <c r="H79" s="23">
        <v>80.0</v>
      </c>
      <c r="I79" s="23">
        <v>55.0</v>
      </c>
      <c r="J79" s="23">
        <v>93.0</v>
      </c>
      <c r="K79" s="23">
        <v>90.0</v>
      </c>
      <c r="L79" s="25">
        <f t="shared" si="1"/>
        <v>86.25</v>
      </c>
    </row>
    <row r="80">
      <c r="A80" s="21">
        <f>'INPUT DAFTAR PESERTA'!A80</f>
        <v>77</v>
      </c>
      <c r="B80" s="21">
        <f>'INPUT DAFTAR PESERTA'!B80</f>
        <v>2509046061</v>
      </c>
      <c r="C80" s="22" t="str">
        <f>'INPUT DAFTAR PESERTA'!C80</f>
        <v>Alyah Nur Jannah</v>
      </c>
      <c r="D80" s="23">
        <v>50.0</v>
      </c>
      <c r="E80" s="23">
        <v>50.0</v>
      </c>
      <c r="F80" s="23">
        <v>40.0</v>
      </c>
      <c r="G80" s="23">
        <v>0.0</v>
      </c>
      <c r="H80" s="23">
        <v>60.0</v>
      </c>
      <c r="I80" s="23">
        <v>60.0</v>
      </c>
      <c r="J80" s="23">
        <v>0.0</v>
      </c>
      <c r="K80" s="23">
        <v>40.0</v>
      </c>
      <c r="L80" s="25">
        <f t="shared" si="1"/>
        <v>37.5</v>
      </c>
    </row>
    <row r="81">
      <c r="A81" s="21">
        <f>'INPUT DAFTAR PESERTA'!A81</f>
        <v>78</v>
      </c>
      <c r="B81" s="21">
        <f>'INPUT DAFTAR PESERTA'!B81</f>
        <v>2509046062</v>
      </c>
      <c r="C81" s="22" t="str">
        <f>'INPUT DAFTAR PESERTA'!C81</f>
        <v>Rendi Sidebang</v>
      </c>
      <c r="D81" s="26">
        <v>55.0</v>
      </c>
      <c r="E81" s="23">
        <v>45.0</v>
      </c>
      <c r="F81" s="23">
        <v>90.0</v>
      </c>
      <c r="G81" s="23">
        <v>95.0</v>
      </c>
      <c r="H81" s="23">
        <v>80.0</v>
      </c>
      <c r="I81" s="23">
        <v>35.0</v>
      </c>
      <c r="J81" s="23">
        <v>80.0</v>
      </c>
      <c r="K81" s="23">
        <v>88.0</v>
      </c>
      <c r="L81" s="25">
        <f t="shared" si="1"/>
        <v>71</v>
      </c>
    </row>
    <row r="82">
      <c r="A82" s="27">
        <f>'INPUT DAFTAR PESERTA'!A82</f>
        <v>79</v>
      </c>
      <c r="B82" s="27">
        <f>'INPUT DAFTAR PESERTA'!B82</f>
        <v>2509046063</v>
      </c>
      <c r="C82" s="28" t="str">
        <f>'INPUT DAFTAR PESERTA'!C82</f>
        <v>Panca Vito Anandio</v>
      </c>
      <c r="D82" s="30"/>
      <c r="E82" s="29"/>
      <c r="F82" s="29"/>
      <c r="G82" s="29"/>
      <c r="H82" s="29"/>
      <c r="I82" s="29"/>
      <c r="J82" s="29"/>
      <c r="K82" s="29"/>
      <c r="L82" s="31">
        <f t="shared" si="1"/>
        <v>0</v>
      </c>
    </row>
    <row r="83">
      <c r="A83" s="21">
        <f>'INPUT DAFTAR PESERTA'!A83</f>
        <v>80</v>
      </c>
      <c r="B83" s="21">
        <f>'INPUT DAFTAR PESERTA'!B83</f>
        <v>2509046064</v>
      </c>
      <c r="C83" s="22" t="str">
        <f>'INPUT DAFTAR PESERTA'!C83</f>
        <v>Nabila Lestari</v>
      </c>
      <c r="D83" s="23">
        <v>85.0</v>
      </c>
      <c r="E83" s="23">
        <v>40.0</v>
      </c>
      <c r="F83" s="23">
        <v>90.0</v>
      </c>
      <c r="G83" s="23">
        <v>57.0</v>
      </c>
      <c r="H83" s="23">
        <v>60.0</v>
      </c>
      <c r="I83" s="23">
        <v>30.0</v>
      </c>
      <c r="J83" s="23">
        <v>15.0</v>
      </c>
      <c r="K83" s="23">
        <v>90.0</v>
      </c>
      <c r="L83" s="25">
        <f t="shared" si="1"/>
        <v>58.375</v>
      </c>
    </row>
    <row r="84">
      <c r="A84" s="27">
        <f>'INPUT DAFTAR PESERTA'!A84</f>
        <v>81</v>
      </c>
      <c r="B84" s="27">
        <f>'INPUT DAFTAR PESERTA'!B84</f>
        <v>2509046065</v>
      </c>
      <c r="C84" s="28" t="str">
        <f>'INPUT DAFTAR PESERTA'!C84</f>
        <v>Muhammad Mudrikah Salim</v>
      </c>
      <c r="D84" s="29"/>
      <c r="E84" s="29"/>
      <c r="F84" s="29"/>
      <c r="G84" s="29"/>
      <c r="H84" s="29"/>
      <c r="I84" s="29"/>
      <c r="J84" s="29"/>
      <c r="K84" s="29"/>
      <c r="L84" s="31">
        <f t="shared" si="1"/>
        <v>0</v>
      </c>
    </row>
    <row r="85">
      <c r="A85" s="21">
        <f>'INPUT DAFTAR PESERTA'!A85</f>
        <v>82</v>
      </c>
      <c r="B85" s="21">
        <f>'INPUT DAFTAR PESERTA'!B85</f>
        <v>2509046066</v>
      </c>
      <c r="C85" s="22" t="str">
        <f>'INPUT DAFTAR PESERTA'!C85</f>
        <v>Nisriina Nahdah Hizbullah</v>
      </c>
      <c r="D85" s="26">
        <v>30.0</v>
      </c>
      <c r="E85" s="23">
        <v>54.0</v>
      </c>
      <c r="F85" s="23">
        <v>95.0</v>
      </c>
      <c r="G85" s="23">
        <v>94.0</v>
      </c>
      <c r="H85" s="23">
        <v>60.0</v>
      </c>
      <c r="I85" s="23">
        <v>60.0</v>
      </c>
      <c r="J85" s="23">
        <v>65.0</v>
      </c>
      <c r="K85" s="23">
        <v>90.0</v>
      </c>
      <c r="L85" s="25">
        <f t="shared" si="1"/>
        <v>68.5</v>
      </c>
    </row>
    <row r="86">
      <c r="A86" s="27">
        <f>'INPUT DAFTAR PESERTA'!A86</f>
        <v>83</v>
      </c>
      <c r="B86" s="27">
        <f>'INPUT DAFTAR PESERTA'!B86</f>
        <v>2509046067</v>
      </c>
      <c r="C86" s="28" t="str">
        <f>'INPUT DAFTAR PESERTA'!C86</f>
        <v>Rhooid Azzaky</v>
      </c>
      <c r="D86" s="29"/>
      <c r="E86" s="29"/>
      <c r="F86" s="29"/>
      <c r="G86" s="29"/>
      <c r="H86" s="29"/>
      <c r="I86" s="29"/>
      <c r="J86" s="29"/>
      <c r="K86" s="29"/>
      <c r="L86" s="31">
        <f t="shared" si="1"/>
        <v>0</v>
      </c>
    </row>
    <row r="87">
      <c r="A87" s="21">
        <f>'INPUT DAFTAR PESERTA'!A87</f>
        <v>84</v>
      </c>
      <c r="B87" s="21">
        <f>'INPUT DAFTAR PESERTA'!B87</f>
        <v>2509046068</v>
      </c>
      <c r="C87" s="22" t="str">
        <f>'INPUT DAFTAR PESERTA'!C87</f>
        <v>Olga Agnes Violeta Simatupang</v>
      </c>
      <c r="D87" s="26">
        <v>12.0</v>
      </c>
      <c r="E87" s="23">
        <v>15.0</v>
      </c>
      <c r="F87" s="23">
        <v>25.0</v>
      </c>
      <c r="G87" s="23">
        <v>0.0</v>
      </c>
      <c r="H87" s="23">
        <v>60.0</v>
      </c>
      <c r="I87" s="23">
        <v>0.0</v>
      </c>
      <c r="J87" s="23">
        <v>76.0</v>
      </c>
      <c r="K87" s="23">
        <v>70.0</v>
      </c>
      <c r="L87" s="25">
        <f t="shared" si="1"/>
        <v>32.25</v>
      </c>
    </row>
    <row r="88">
      <c r="A88" s="27">
        <f>'INPUT DAFTAR PESERTA'!A88</f>
        <v>85</v>
      </c>
      <c r="B88" s="27">
        <f>'INPUT DAFTAR PESERTA'!B88</f>
        <v>2509046070</v>
      </c>
      <c r="C88" s="28" t="str">
        <f>'INPUT DAFTAR PESERTA'!C88</f>
        <v>Muhammad Ibrahim Habibullah</v>
      </c>
      <c r="D88" s="29"/>
      <c r="E88" s="29"/>
      <c r="F88" s="29"/>
      <c r="G88" s="29"/>
      <c r="H88" s="29"/>
      <c r="I88" s="29"/>
      <c r="J88" s="29"/>
      <c r="K88" s="29"/>
      <c r="L88" s="31">
        <f t="shared" si="1"/>
        <v>0</v>
      </c>
    </row>
    <row r="89">
      <c r="A89" s="27">
        <f>'INPUT DAFTAR PESERTA'!A89</f>
        <v>86</v>
      </c>
      <c r="B89" s="27">
        <f>'INPUT DAFTAR PESERTA'!B89</f>
        <v>2509046071</v>
      </c>
      <c r="C89" s="28" t="str">
        <f>'INPUT DAFTAR PESERTA'!C89</f>
        <v>M. Ali Dinar</v>
      </c>
      <c r="D89" s="29"/>
      <c r="E89" s="29"/>
      <c r="F89" s="29"/>
      <c r="G89" s="29"/>
      <c r="H89" s="29"/>
      <c r="I89" s="29"/>
      <c r="J89" s="29"/>
      <c r="K89" s="29"/>
      <c r="L89" s="31">
        <f t="shared" si="1"/>
        <v>0</v>
      </c>
    </row>
    <row r="90">
      <c r="A90" s="21">
        <f>'INPUT DAFTAR PESERTA'!A90</f>
        <v>87</v>
      </c>
      <c r="B90" s="21">
        <f>'INPUT DAFTAR PESERTA'!B90</f>
        <v>2509046072</v>
      </c>
      <c r="C90" s="22" t="str">
        <f>'INPUT DAFTAR PESERTA'!C90</f>
        <v>Julianitha Tabitha Angi</v>
      </c>
      <c r="D90" s="26">
        <v>88.0</v>
      </c>
      <c r="E90" s="23">
        <v>15.0</v>
      </c>
      <c r="F90" s="23">
        <v>25.0</v>
      </c>
      <c r="G90" s="23">
        <v>94.0</v>
      </c>
      <c r="H90" s="23">
        <v>80.0</v>
      </c>
      <c r="I90" s="23">
        <v>0.0</v>
      </c>
      <c r="J90" s="23">
        <v>0.0</v>
      </c>
      <c r="K90" s="23">
        <v>70.0</v>
      </c>
      <c r="L90" s="25">
        <f t="shared" si="1"/>
        <v>46.5</v>
      </c>
    </row>
    <row r="91">
      <c r="A91" s="27">
        <f>'INPUT DAFTAR PESERTA'!A91</f>
        <v>88</v>
      </c>
      <c r="B91" s="27">
        <f>'INPUT DAFTAR PESERTA'!B91</f>
        <v>2509046073</v>
      </c>
      <c r="C91" s="28" t="str">
        <f>'INPUT DAFTAR PESERTA'!C91</f>
        <v>Sayyid Ahmad Raihan</v>
      </c>
      <c r="D91" s="29"/>
      <c r="E91" s="29"/>
      <c r="F91" s="29"/>
      <c r="G91" s="29"/>
      <c r="H91" s="29"/>
      <c r="I91" s="29"/>
      <c r="J91" s="29"/>
      <c r="K91" s="29"/>
      <c r="L91" s="31">
        <f t="shared" si="1"/>
        <v>0</v>
      </c>
    </row>
    <row r="92">
      <c r="A92" s="27">
        <f>'INPUT DAFTAR PESERTA'!A92</f>
        <v>89</v>
      </c>
      <c r="B92" s="27">
        <f>'INPUT DAFTAR PESERTA'!B92</f>
        <v>2509046074</v>
      </c>
      <c r="C92" s="28" t="str">
        <f>'INPUT DAFTAR PESERTA'!C92</f>
        <v>Junior Agustian Culie</v>
      </c>
      <c r="D92" s="29"/>
      <c r="E92" s="29"/>
      <c r="F92" s="29"/>
      <c r="G92" s="29"/>
      <c r="H92" s="29"/>
      <c r="I92" s="29"/>
      <c r="J92" s="29"/>
      <c r="K92" s="29"/>
      <c r="L92" s="31">
        <f t="shared" si="1"/>
        <v>0</v>
      </c>
    </row>
    <row r="93">
      <c r="A93" s="27">
        <f>'INPUT DAFTAR PESERTA'!A93</f>
        <v>90</v>
      </c>
      <c r="B93" s="27">
        <f>'INPUT DAFTAR PESERTA'!B93</f>
        <v>2509046075</v>
      </c>
      <c r="C93" s="28" t="str">
        <f>'INPUT DAFTAR PESERTA'!C93</f>
        <v>Andi Ahmad Dzaky Palewai Agri</v>
      </c>
      <c r="D93" s="29"/>
      <c r="E93" s="29"/>
      <c r="F93" s="29"/>
      <c r="G93" s="29"/>
      <c r="H93" s="29"/>
      <c r="I93" s="29"/>
      <c r="J93" s="29"/>
      <c r="K93" s="29"/>
      <c r="L93" s="31">
        <f t="shared" si="1"/>
        <v>0</v>
      </c>
    </row>
    <row r="94">
      <c r="A94" s="21">
        <f>'INPUT DAFTAR PESERTA'!A94</f>
        <v>91</v>
      </c>
      <c r="B94" s="21">
        <f>'INPUT DAFTAR PESERTA'!B94</f>
        <v>2509046076</v>
      </c>
      <c r="C94" s="22" t="str">
        <f>'INPUT DAFTAR PESERTA'!C94</f>
        <v>Afif Ahmad Winarno</v>
      </c>
      <c r="D94" s="26">
        <v>27.0</v>
      </c>
      <c r="E94" s="23">
        <v>39.0</v>
      </c>
      <c r="F94" s="23">
        <v>35.0</v>
      </c>
      <c r="G94" s="23">
        <v>45.0</v>
      </c>
      <c r="H94" s="23">
        <v>60.0</v>
      </c>
      <c r="I94" s="23">
        <v>45.0</v>
      </c>
      <c r="J94" s="23">
        <v>43.0</v>
      </c>
      <c r="K94" s="23">
        <v>70.0</v>
      </c>
      <c r="L94" s="25">
        <f t="shared" si="1"/>
        <v>45.5</v>
      </c>
    </row>
    <row r="95">
      <c r="A95" s="27">
        <f>'INPUT DAFTAR PESERTA'!A95</f>
        <v>92</v>
      </c>
      <c r="B95" s="27">
        <f>'INPUT DAFTAR PESERTA'!B95</f>
        <v>2509046077</v>
      </c>
      <c r="C95" s="28" t="str">
        <f>'INPUT DAFTAR PESERTA'!C95</f>
        <v>Muhammad Iqbal</v>
      </c>
      <c r="D95" s="29"/>
      <c r="E95" s="29"/>
      <c r="F95" s="29"/>
      <c r="G95" s="29"/>
      <c r="H95" s="29"/>
      <c r="I95" s="29"/>
      <c r="J95" s="29"/>
      <c r="K95" s="29"/>
      <c r="L95" s="31">
        <f t="shared" si="1"/>
        <v>0</v>
      </c>
    </row>
    <row r="96">
      <c r="A96" s="27">
        <f>'INPUT DAFTAR PESERTA'!A96</f>
        <v>93</v>
      </c>
      <c r="B96" s="27">
        <f>'INPUT DAFTAR PESERTA'!B96</f>
        <v>2509046078</v>
      </c>
      <c r="C96" s="28" t="str">
        <f>'INPUT DAFTAR PESERTA'!C96</f>
        <v>Shodiq Rizyuka Annaufla</v>
      </c>
      <c r="D96" s="29"/>
      <c r="E96" s="29"/>
      <c r="F96" s="29"/>
      <c r="G96" s="29"/>
      <c r="H96" s="29"/>
      <c r="I96" s="29"/>
      <c r="J96" s="29"/>
      <c r="K96" s="29"/>
      <c r="L96" s="31">
        <f t="shared" si="1"/>
        <v>0</v>
      </c>
    </row>
    <row r="97">
      <c r="A97" s="27">
        <f>'INPUT DAFTAR PESERTA'!A97</f>
        <v>94</v>
      </c>
      <c r="B97" s="27">
        <f>'INPUT DAFTAR PESERTA'!B97</f>
        <v>2509046079</v>
      </c>
      <c r="C97" s="28" t="str">
        <f>'INPUT DAFTAR PESERTA'!C97</f>
        <v>Muhamad Jailani</v>
      </c>
      <c r="D97" s="29"/>
      <c r="E97" s="29"/>
      <c r="F97" s="29"/>
      <c r="G97" s="29"/>
      <c r="H97" s="29"/>
      <c r="I97" s="29"/>
      <c r="J97" s="29"/>
      <c r="K97" s="29"/>
      <c r="L97" s="31">
        <f t="shared" si="1"/>
        <v>0</v>
      </c>
    </row>
    <row r="98">
      <c r="A98" s="32" t="s">
        <v>126</v>
      </c>
      <c r="L98" s="33">
        <f>COUNTIF(L4:L97, 0)</f>
        <v>29</v>
      </c>
    </row>
    <row r="99">
      <c r="A99" s="14" t="str">
        <f>'INPUT DAFTAR PESERTA'!A99</f>
        <v/>
      </c>
      <c r="B99" s="14"/>
    </row>
    <row r="100">
      <c r="A100" s="14"/>
      <c r="B100" s="14"/>
    </row>
    <row r="101">
      <c r="A101" s="14"/>
      <c r="B101" s="14"/>
    </row>
    <row r="102">
      <c r="A102" s="14"/>
      <c r="B102" s="14"/>
    </row>
    <row r="103">
      <c r="A103" s="14"/>
      <c r="B103" s="14"/>
    </row>
    <row r="104">
      <c r="A104" s="14"/>
      <c r="B104" s="14"/>
    </row>
    <row r="105">
      <c r="A105" s="14"/>
      <c r="B105" s="14"/>
    </row>
    <row r="106">
      <c r="A106" s="14"/>
      <c r="B106" s="14"/>
    </row>
    <row r="107">
      <c r="A107" s="14"/>
      <c r="B107" s="14"/>
    </row>
    <row r="108">
      <c r="A108" s="14"/>
      <c r="B108" s="14"/>
    </row>
    <row r="109">
      <c r="A109" s="14"/>
      <c r="B109" s="14"/>
    </row>
    <row r="110">
      <c r="A110" s="14"/>
      <c r="B110" s="14"/>
    </row>
    <row r="111">
      <c r="A111" s="14"/>
      <c r="B111" s="14"/>
    </row>
    <row r="112">
      <c r="A112" s="14"/>
      <c r="B112" s="14"/>
    </row>
    <row r="113">
      <c r="A113" s="14"/>
      <c r="B113" s="14"/>
    </row>
    <row r="114">
      <c r="A114" s="14"/>
      <c r="B114" s="14"/>
    </row>
    <row r="115">
      <c r="A115" s="14"/>
      <c r="B115" s="14"/>
    </row>
    <row r="116">
      <c r="A116" s="14"/>
      <c r="B116" s="14"/>
    </row>
    <row r="117">
      <c r="A117" s="14"/>
      <c r="B117" s="14"/>
    </row>
    <row r="118">
      <c r="A118" s="14"/>
      <c r="B118" s="14"/>
    </row>
    <row r="119">
      <c r="A119" s="14"/>
      <c r="B119" s="14"/>
    </row>
    <row r="120">
      <c r="A120" s="14"/>
      <c r="B120" s="14"/>
    </row>
    <row r="121">
      <c r="A121" s="14"/>
      <c r="B121" s="14"/>
    </row>
    <row r="122">
      <c r="A122" s="14"/>
      <c r="B122" s="14"/>
    </row>
    <row r="123">
      <c r="A123" s="14"/>
      <c r="B123" s="14"/>
    </row>
    <row r="124">
      <c r="A124" s="14"/>
      <c r="B124" s="14"/>
    </row>
    <row r="125">
      <c r="A125" s="14"/>
      <c r="B125" s="14"/>
    </row>
    <row r="126">
      <c r="A126" s="14"/>
      <c r="B126" s="14"/>
    </row>
    <row r="127">
      <c r="A127" s="14"/>
      <c r="B127" s="14"/>
    </row>
    <row r="128">
      <c r="A128" s="14"/>
      <c r="B128" s="14"/>
    </row>
    <row r="129">
      <c r="A129" s="14"/>
      <c r="B129" s="14"/>
    </row>
    <row r="130">
      <c r="A130" s="14"/>
      <c r="B130" s="14"/>
    </row>
    <row r="131">
      <c r="A131" s="14"/>
      <c r="B131" s="14"/>
    </row>
    <row r="132">
      <c r="A132" s="14"/>
      <c r="B132" s="14"/>
    </row>
    <row r="133">
      <c r="A133" s="14"/>
      <c r="B133" s="14"/>
    </row>
    <row r="134">
      <c r="A134" s="14"/>
      <c r="B134" s="14"/>
    </row>
    <row r="135">
      <c r="A135" s="14"/>
      <c r="B135" s="14"/>
    </row>
    <row r="136">
      <c r="A136" s="14"/>
      <c r="B136" s="14"/>
    </row>
    <row r="137">
      <c r="A137" s="14"/>
      <c r="B137" s="14"/>
    </row>
    <row r="138">
      <c r="A138" s="14"/>
      <c r="B138" s="14"/>
    </row>
    <row r="139">
      <c r="A139" s="14"/>
      <c r="B139" s="14"/>
    </row>
    <row r="140">
      <c r="A140" s="14"/>
      <c r="B140" s="14"/>
    </row>
    <row r="141">
      <c r="A141" s="14"/>
      <c r="B141" s="14"/>
    </row>
    <row r="142">
      <c r="A142" s="14"/>
      <c r="B142" s="14"/>
    </row>
    <row r="143">
      <c r="A143" s="14"/>
      <c r="B143" s="14"/>
    </row>
    <row r="144">
      <c r="A144" s="14"/>
      <c r="B144" s="14"/>
    </row>
    <row r="145">
      <c r="A145" s="14"/>
      <c r="B145" s="14"/>
    </row>
    <row r="146">
      <c r="A146" s="14"/>
      <c r="B146" s="14"/>
    </row>
    <row r="147">
      <c r="A147" s="14"/>
      <c r="B147" s="14"/>
    </row>
    <row r="148">
      <c r="A148" s="14"/>
      <c r="B148" s="14"/>
    </row>
    <row r="149">
      <c r="A149" s="14"/>
      <c r="B149" s="14"/>
    </row>
    <row r="150">
      <c r="A150" s="14"/>
      <c r="B150" s="14"/>
    </row>
    <row r="151">
      <c r="A151" s="14"/>
      <c r="B151" s="14"/>
    </row>
    <row r="152">
      <c r="A152" s="14"/>
      <c r="B152" s="14"/>
    </row>
    <row r="153">
      <c r="A153" s="14"/>
      <c r="B153" s="14"/>
    </row>
    <row r="154">
      <c r="A154" s="14"/>
      <c r="B154" s="14"/>
    </row>
    <row r="155">
      <c r="A155" s="14"/>
      <c r="B155" s="14"/>
    </row>
    <row r="156">
      <c r="A156" s="14"/>
      <c r="B156" s="14"/>
    </row>
    <row r="157">
      <c r="A157" s="14"/>
      <c r="B157" s="14"/>
    </row>
    <row r="158">
      <c r="A158" s="14"/>
      <c r="B158" s="14"/>
    </row>
    <row r="159">
      <c r="A159" s="14"/>
      <c r="B159" s="14"/>
    </row>
    <row r="160">
      <c r="A160" s="14"/>
      <c r="B160" s="14"/>
    </row>
    <row r="161">
      <c r="A161" s="14"/>
      <c r="B161" s="14"/>
    </row>
    <row r="162">
      <c r="A162" s="14"/>
      <c r="B162" s="14"/>
    </row>
    <row r="163">
      <c r="A163" s="14"/>
      <c r="B163" s="14"/>
    </row>
    <row r="164">
      <c r="A164" s="14"/>
      <c r="B164" s="14"/>
    </row>
    <row r="165">
      <c r="A165" s="14"/>
      <c r="B165" s="14"/>
    </row>
    <row r="166">
      <c r="A166" s="14"/>
      <c r="B166" s="14"/>
    </row>
    <row r="167">
      <c r="A167" s="14"/>
      <c r="B167" s="14"/>
    </row>
    <row r="168">
      <c r="A168" s="14"/>
      <c r="B168" s="14"/>
    </row>
    <row r="169">
      <c r="A169" s="14"/>
      <c r="B169" s="14"/>
    </row>
    <row r="170">
      <c r="A170" s="14"/>
      <c r="B170" s="14"/>
    </row>
    <row r="171">
      <c r="A171" s="14"/>
      <c r="B171" s="14"/>
    </row>
    <row r="172">
      <c r="A172" s="14"/>
      <c r="B172" s="14"/>
    </row>
    <row r="173">
      <c r="A173" s="14"/>
      <c r="B173" s="14"/>
    </row>
    <row r="174">
      <c r="A174" s="14"/>
      <c r="B174" s="14"/>
    </row>
    <row r="175">
      <c r="A175" s="14"/>
      <c r="B175" s="14"/>
    </row>
    <row r="176">
      <c r="A176" s="14"/>
      <c r="B176" s="14"/>
    </row>
    <row r="177">
      <c r="A177" s="14"/>
      <c r="B177" s="14"/>
    </row>
    <row r="178">
      <c r="A178" s="14"/>
      <c r="B178" s="14"/>
    </row>
    <row r="179">
      <c r="A179" s="14"/>
      <c r="B179" s="14"/>
    </row>
    <row r="180">
      <c r="A180" s="14"/>
      <c r="B180" s="14"/>
    </row>
    <row r="181">
      <c r="A181" s="14"/>
      <c r="B181" s="14"/>
    </row>
    <row r="182">
      <c r="A182" s="14"/>
      <c r="B182" s="14"/>
    </row>
    <row r="183">
      <c r="A183" s="14"/>
      <c r="B183" s="14"/>
    </row>
    <row r="184">
      <c r="A184" s="14"/>
      <c r="B184" s="14"/>
    </row>
    <row r="185">
      <c r="A185" s="14"/>
      <c r="B185" s="14"/>
    </row>
    <row r="186">
      <c r="A186" s="14"/>
      <c r="B186" s="14"/>
    </row>
    <row r="187">
      <c r="A187" s="14"/>
      <c r="B187" s="14"/>
    </row>
    <row r="188">
      <c r="A188" s="14"/>
      <c r="B188" s="14"/>
    </row>
    <row r="189">
      <c r="A189" s="14"/>
      <c r="B189" s="14"/>
    </row>
    <row r="190">
      <c r="A190" s="14"/>
      <c r="B190" s="14"/>
    </row>
    <row r="191">
      <c r="A191" s="14"/>
      <c r="B191" s="14"/>
    </row>
    <row r="192">
      <c r="A192" s="14"/>
      <c r="B192" s="14"/>
    </row>
    <row r="193">
      <c r="A193" s="14"/>
      <c r="B193" s="14"/>
    </row>
    <row r="194">
      <c r="A194" s="14"/>
      <c r="B194" s="14"/>
    </row>
    <row r="195">
      <c r="A195" s="14"/>
      <c r="B195" s="14"/>
    </row>
    <row r="196">
      <c r="A196" s="14"/>
      <c r="B196" s="14"/>
    </row>
    <row r="197">
      <c r="A197" s="14"/>
      <c r="B197" s="14"/>
    </row>
    <row r="198">
      <c r="A198" s="14"/>
      <c r="B198" s="14"/>
    </row>
    <row r="199">
      <c r="A199" s="14"/>
      <c r="B199" s="14"/>
    </row>
    <row r="200">
      <c r="A200" s="14"/>
      <c r="B200" s="14"/>
    </row>
    <row r="201">
      <c r="A201" s="14"/>
      <c r="B201" s="14"/>
    </row>
    <row r="202">
      <c r="A202" s="14"/>
      <c r="B202" s="14"/>
    </row>
    <row r="203">
      <c r="A203" s="14"/>
      <c r="B203" s="14"/>
    </row>
    <row r="204">
      <c r="A204" s="14"/>
      <c r="B204" s="14"/>
    </row>
    <row r="205">
      <c r="A205" s="14"/>
      <c r="B205" s="14"/>
    </row>
    <row r="206">
      <c r="A206" s="14"/>
      <c r="B206" s="14"/>
    </row>
    <row r="207">
      <c r="A207" s="14"/>
      <c r="B207" s="14"/>
    </row>
    <row r="208">
      <c r="A208" s="14"/>
      <c r="B208" s="14"/>
    </row>
    <row r="209">
      <c r="A209" s="14"/>
      <c r="B209" s="14"/>
    </row>
    <row r="210">
      <c r="A210" s="14"/>
      <c r="B210" s="14"/>
    </row>
    <row r="211">
      <c r="A211" s="14"/>
      <c r="B211" s="14"/>
    </row>
    <row r="212">
      <c r="A212" s="14"/>
      <c r="B212" s="14"/>
    </row>
    <row r="213">
      <c r="A213" s="14"/>
      <c r="B213" s="14"/>
    </row>
    <row r="214">
      <c r="A214" s="14"/>
      <c r="B214" s="14"/>
    </row>
    <row r="215">
      <c r="A215" s="14"/>
      <c r="B215" s="14"/>
    </row>
    <row r="216">
      <c r="A216" s="14"/>
      <c r="B216" s="14"/>
    </row>
    <row r="217">
      <c r="A217" s="14"/>
      <c r="B217" s="14"/>
    </row>
    <row r="218">
      <c r="A218" s="14"/>
      <c r="B218" s="14"/>
    </row>
    <row r="219">
      <c r="A219" s="14"/>
      <c r="B219" s="14"/>
    </row>
    <row r="220">
      <c r="A220" s="14"/>
      <c r="B220" s="14"/>
    </row>
    <row r="221">
      <c r="A221" s="14"/>
      <c r="B221" s="14"/>
    </row>
    <row r="222">
      <c r="A222" s="14"/>
      <c r="B222" s="14"/>
    </row>
    <row r="223">
      <c r="A223" s="14"/>
      <c r="B223" s="14"/>
    </row>
    <row r="224">
      <c r="A224" s="14"/>
      <c r="B224" s="14"/>
    </row>
    <row r="225">
      <c r="A225" s="14"/>
      <c r="B225" s="14"/>
    </row>
    <row r="226">
      <c r="A226" s="14"/>
      <c r="B226" s="14"/>
    </row>
    <row r="227">
      <c r="A227" s="14"/>
      <c r="B227" s="14"/>
    </row>
    <row r="228">
      <c r="A228" s="14"/>
      <c r="B228" s="14"/>
    </row>
    <row r="229">
      <c r="A229" s="14"/>
      <c r="B229" s="14"/>
    </row>
    <row r="230">
      <c r="A230" s="14"/>
      <c r="B230" s="14"/>
    </row>
    <row r="231">
      <c r="A231" s="14"/>
      <c r="B231" s="14"/>
    </row>
    <row r="232">
      <c r="A232" s="14"/>
      <c r="B232" s="14"/>
    </row>
    <row r="233">
      <c r="A233" s="14"/>
      <c r="B233" s="14"/>
    </row>
    <row r="234">
      <c r="A234" s="14"/>
      <c r="B234" s="14"/>
    </row>
    <row r="235">
      <c r="A235" s="14"/>
      <c r="B235" s="14"/>
    </row>
    <row r="236">
      <c r="A236" s="14"/>
      <c r="B236" s="14"/>
    </row>
    <row r="237">
      <c r="A237" s="14"/>
      <c r="B237" s="14"/>
    </row>
    <row r="238">
      <c r="A238" s="14"/>
      <c r="B238" s="14"/>
    </row>
    <row r="239">
      <c r="A239" s="14"/>
      <c r="B239" s="14"/>
    </row>
    <row r="240">
      <c r="A240" s="14"/>
      <c r="B240" s="14"/>
    </row>
    <row r="241">
      <c r="A241" s="14"/>
      <c r="B241" s="14"/>
    </row>
    <row r="242">
      <c r="A242" s="14"/>
      <c r="B242" s="14"/>
    </row>
    <row r="243">
      <c r="A243" s="14"/>
      <c r="B243" s="14"/>
    </row>
    <row r="244">
      <c r="A244" s="14"/>
      <c r="B244" s="14"/>
    </row>
    <row r="245">
      <c r="A245" s="14"/>
      <c r="B245" s="14"/>
    </row>
    <row r="246">
      <c r="A246" s="14"/>
      <c r="B246" s="14"/>
    </row>
    <row r="247">
      <c r="A247" s="14"/>
      <c r="B247" s="14"/>
    </row>
    <row r="248">
      <c r="A248" s="14"/>
      <c r="B248" s="14"/>
    </row>
    <row r="249">
      <c r="A249" s="14"/>
      <c r="B249" s="14"/>
    </row>
    <row r="250">
      <c r="A250" s="14"/>
      <c r="B250" s="14"/>
    </row>
    <row r="251">
      <c r="A251" s="14"/>
      <c r="B251" s="14"/>
    </row>
    <row r="252">
      <c r="A252" s="14"/>
      <c r="B252" s="14"/>
    </row>
    <row r="253">
      <c r="A253" s="14"/>
      <c r="B253" s="14"/>
    </row>
    <row r="254">
      <c r="A254" s="14"/>
      <c r="B254" s="14"/>
    </row>
    <row r="255">
      <c r="A255" s="14"/>
      <c r="B255" s="14"/>
    </row>
    <row r="256">
      <c r="A256" s="14"/>
      <c r="B256" s="14"/>
    </row>
    <row r="257">
      <c r="A257" s="14"/>
      <c r="B257" s="14"/>
    </row>
    <row r="258">
      <c r="A258" s="14"/>
      <c r="B258" s="14"/>
    </row>
    <row r="259">
      <c r="A259" s="14"/>
      <c r="B259" s="14"/>
    </row>
    <row r="260">
      <c r="A260" s="14"/>
      <c r="B260" s="14"/>
    </row>
    <row r="261">
      <c r="A261" s="14"/>
      <c r="B261" s="14"/>
    </row>
    <row r="262">
      <c r="A262" s="14"/>
      <c r="B262" s="14"/>
    </row>
    <row r="263">
      <c r="A263" s="14"/>
      <c r="B263" s="14"/>
    </row>
    <row r="264">
      <c r="A264" s="14"/>
      <c r="B264" s="14"/>
    </row>
    <row r="265">
      <c r="A265" s="14"/>
      <c r="B265" s="14"/>
    </row>
    <row r="266">
      <c r="A266" s="14"/>
      <c r="B266" s="14"/>
    </row>
    <row r="267">
      <c r="A267" s="14"/>
      <c r="B267" s="14"/>
    </row>
    <row r="268">
      <c r="A268" s="14"/>
      <c r="B268" s="14"/>
    </row>
    <row r="269">
      <c r="A269" s="14"/>
      <c r="B269" s="14"/>
    </row>
    <row r="270">
      <c r="A270" s="14"/>
      <c r="B270" s="14"/>
    </row>
    <row r="271">
      <c r="A271" s="14"/>
      <c r="B271" s="14"/>
    </row>
    <row r="272">
      <c r="A272" s="14"/>
      <c r="B272" s="14"/>
    </row>
    <row r="273">
      <c r="A273" s="14"/>
      <c r="B273" s="14"/>
    </row>
    <row r="274">
      <c r="A274" s="14"/>
      <c r="B274" s="14"/>
    </row>
    <row r="275">
      <c r="A275" s="14"/>
      <c r="B275" s="14"/>
    </row>
    <row r="276">
      <c r="A276" s="14"/>
      <c r="B276" s="14"/>
    </row>
    <row r="277">
      <c r="A277" s="14"/>
      <c r="B277" s="14"/>
    </row>
    <row r="278">
      <c r="A278" s="14"/>
      <c r="B278" s="14"/>
    </row>
    <row r="279">
      <c r="A279" s="14"/>
      <c r="B279" s="14"/>
    </row>
    <row r="280">
      <c r="A280" s="14"/>
      <c r="B280" s="14"/>
    </row>
    <row r="281">
      <c r="A281" s="14"/>
      <c r="B281" s="14"/>
    </row>
    <row r="282">
      <c r="A282" s="14"/>
      <c r="B282" s="14"/>
    </row>
    <row r="283">
      <c r="A283" s="14"/>
      <c r="B283" s="14"/>
    </row>
    <row r="284">
      <c r="A284" s="14"/>
      <c r="B284" s="14"/>
    </row>
    <row r="285">
      <c r="A285" s="14"/>
      <c r="B285" s="14"/>
    </row>
    <row r="286">
      <c r="A286" s="14"/>
      <c r="B286" s="14"/>
    </row>
    <row r="287">
      <c r="A287" s="14"/>
      <c r="B287" s="14"/>
    </row>
    <row r="288">
      <c r="A288" s="14"/>
      <c r="B288" s="14"/>
    </row>
    <row r="289">
      <c r="A289" s="14"/>
      <c r="B289" s="14"/>
    </row>
    <row r="290">
      <c r="A290" s="14"/>
      <c r="B290" s="14"/>
    </row>
    <row r="291">
      <c r="A291" s="14"/>
      <c r="B291" s="14"/>
    </row>
    <row r="292">
      <c r="A292" s="14"/>
      <c r="B292" s="14"/>
    </row>
    <row r="293">
      <c r="A293" s="14"/>
      <c r="B293" s="14"/>
    </row>
    <row r="294">
      <c r="A294" s="14"/>
      <c r="B294" s="14"/>
    </row>
    <row r="295">
      <c r="A295" s="14"/>
      <c r="B295" s="14"/>
    </row>
    <row r="296">
      <c r="A296" s="14"/>
      <c r="B296" s="14"/>
    </row>
    <row r="297">
      <c r="A297" s="14"/>
      <c r="B297" s="14"/>
    </row>
    <row r="298">
      <c r="A298" s="14"/>
      <c r="B298" s="14"/>
    </row>
    <row r="299">
      <c r="A299" s="14"/>
      <c r="B299" s="14"/>
    </row>
    <row r="300">
      <c r="A300" s="14"/>
      <c r="B300" s="14"/>
    </row>
    <row r="301">
      <c r="A301" s="14"/>
      <c r="B301" s="14"/>
    </row>
    <row r="302">
      <c r="A302" s="14"/>
      <c r="B302" s="14"/>
    </row>
    <row r="303">
      <c r="A303" s="14"/>
      <c r="B303" s="14"/>
    </row>
    <row r="304">
      <c r="A304" s="14"/>
      <c r="B304" s="14"/>
    </row>
    <row r="305">
      <c r="A305" s="14"/>
      <c r="B305" s="14"/>
    </row>
    <row r="306">
      <c r="A306" s="14"/>
      <c r="B306" s="14"/>
    </row>
    <row r="307">
      <c r="A307" s="14"/>
      <c r="B307" s="14"/>
    </row>
    <row r="308">
      <c r="A308" s="14"/>
      <c r="B308" s="14"/>
    </row>
    <row r="309">
      <c r="A309" s="14"/>
      <c r="B309" s="14"/>
    </row>
    <row r="310">
      <c r="A310" s="14"/>
      <c r="B310" s="14"/>
    </row>
    <row r="311">
      <c r="A311" s="14"/>
      <c r="B311" s="14"/>
    </row>
    <row r="312">
      <c r="A312" s="14"/>
      <c r="B312" s="14"/>
    </row>
    <row r="313">
      <c r="A313" s="14"/>
      <c r="B313" s="14"/>
    </row>
    <row r="314">
      <c r="A314" s="14"/>
      <c r="B314" s="14"/>
    </row>
    <row r="315">
      <c r="A315" s="14"/>
      <c r="B315" s="14"/>
    </row>
    <row r="316">
      <c r="A316" s="14"/>
      <c r="B316" s="14"/>
    </row>
    <row r="317">
      <c r="A317" s="14"/>
      <c r="B317" s="14"/>
    </row>
    <row r="318">
      <c r="A318" s="14"/>
      <c r="B318" s="14"/>
    </row>
    <row r="319">
      <c r="A319" s="14"/>
      <c r="B319" s="14"/>
    </row>
    <row r="320">
      <c r="A320" s="14"/>
      <c r="B320" s="14"/>
    </row>
    <row r="321">
      <c r="A321" s="14"/>
      <c r="B321" s="14"/>
    </row>
    <row r="322">
      <c r="A322" s="14"/>
      <c r="B322" s="14"/>
    </row>
    <row r="323">
      <c r="A323" s="14"/>
      <c r="B323" s="14"/>
    </row>
    <row r="324">
      <c r="A324" s="14"/>
      <c r="B324" s="14"/>
    </row>
    <row r="325">
      <c r="A325" s="14"/>
      <c r="B325" s="14"/>
    </row>
    <row r="326">
      <c r="A326" s="14"/>
      <c r="B326" s="14"/>
    </row>
    <row r="327">
      <c r="A327" s="14"/>
      <c r="B327" s="14"/>
    </row>
    <row r="328">
      <c r="A328" s="14"/>
      <c r="B328" s="14"/>
    </row>
    <row r="329">
      <c r="A329" s="14"/>
      <c r="B329" s="14"/>
    </row>
    <row r="330">
      <c r="A330" s="14"/>
      <c r="B330" s="14"/>
    </row>
    <row r="331">
      <c r="A331" s="14"/>
      <c r="B331" s="14"/>
    </row>
    <row r="332">
      <c r="A332" s="14"/>
      <c r="B332" s="14"/>
    </row>
    <row r="333">
      <c r="A333" s="14"/>
      <c r="B333" s="14"/>
    </row>
    <row r="334">
      <c r="A334" s="14"/>
      <c r="B334" s="14"/>
    </row>
    <row r="335">
      <c r="A335" s="14"/>
      <c r="B335" s="14"/>
    </row>
    <row r="336">
      <c r="A336" s="14"/>
      <c r="B336" s="14"/>
    </row>
    <row r="337">
      <c r="A337" s="14"/>
      <c r="B337" s="14"/>
    </row>
    <row r="338">
      <c r="A338" s="14"/>
      <c r="B338" s="14"/>
    </row>
    <row r="339">
      <c r="A339" s="14"/>
      <c r="B339" s="14"/>
    </row>
    <row r="340">
      <c r="A340" s="14"/>
      <c r="B340" s="14"/>
    </row>
    <row r="341">
      <c r="A341" s="14"/>
      <c r="B341" s="14"/>
    </row>
    <row r="342">
      <c r="A342" s="14"/>
      <c r="B342" s="14"/>
    </row>
    <row r="343">
      <c r="A343" s="14"/>
      <c r="B343" s="14"/>
    </row>
    <row r="344">
      <c r="A344" s="14"/>
      <c r="B344" s="14"/>
    </row>
    <row r="345">
      <c r="A345" s="14"/>
      <c r="B345" s="14"/>
    </row>
    <row r="346">
      <c r="A346" s="14"/>
      <c r="B346" s="14"/>
    </row>
    <row r="347">
      <c r="A347" s="14"/>
      <c r="B347" s="14"/>
    </row>
    <row r="348">
      <c r="A348" s="14"/>
      <c r="B348" s="14"/>
    </row>
    <row r="349">
      <c r="A349" s="14"/>
      <c r="B349" s="14"/>
    </row>
    <row r="350">
      <c r="A350" s="14"/>
      <c r="B350" s="14"/>
    </row>
    <row r="351">
      <c r="A351" s="14"/>
      <c r="B351" s="14"/>
    </row>
    <row r="352">
      <c r="A352" s="14"/>
      <c r="B352" s="14"/>
    </row>
    <row r="353">
      <c r="A353" s="14"/>
      <c r="B353" s="14"/>
    </row>
    <row r="354">
      <c r="A354" s="14"/>
      <c r="B354" s="14"/>
    </row>
    <row r="355">
      <c r="A355" s="14"/>
      <c r="B355" s="14"/>
    </row>
    <row r="356">
      <c r="A356" s="14"/>
      <c r="B356" s="14"/>
    </row>
    <row r="357">
      <c r="A357" s="14"/>
      <c r="B357" s="14"/>
    </row>
    <row r="358">
      <c r="A358" s="14"/>
      <c r="B358" s="14"/>
    </row>
    <row r="359">
      <c r="A359" s="14"/>
      <c r="B359" s="14"/>
    </row>
    <row r="360">
      <c r="A360" s="14"/>
      <c r="B360" s="14"/>
    </row>
    <row r="361">
      <c r="A361" s="14"/>
      <c r="B361" s="14"/>
    </row>
    <row r="362">
      <c r="A362" s="14"/>
      <c r="B362" s="14"/>
    </row>
    <row r="363">
      <c r="A363" s="14"/>
      <c r="B363" s="14"/>
    </row>
    <row r="364">
      <c r="A364" s="14"/>
      <c r="B364" s="14"/>
    </row>
    <row r="365">
      <c r="A365" s="14"/>
      <c r="B365" s="14"/>
    </row>
    <row r="366">
      <c r="A366" s="14"/>
      <c r="B366" s="14"/>
    </row>
    <row r="367">
      <c r="A367" s="14"/>
      <c r="B367" s="14"/>
    </row>
    <row r="368">
      <c r="A368" s="14"/>
      <c r="B368" s="14"/>
    </row>
    <row r="369">
      <c r="A369" s="14"/>
      <c r="B369" s="14"/>
    </row>
    <row r="370">
      <c r="A370" s="14"/>
      <c r="B370" s="14"/>
    </row>
    <row r="371">
      <c r="A371" s="14"/>
      <c r="B371" s="14"/>
    </row>
    <row r="372">
      <c r="A372" s="14"/>
      <c r="B372" s="14"/>
    </row>
    <row r="373">
      <c r="A373" s="14"/>
      <c r="B373" s="14"/>
    </row>
    <row r="374">
      <c r="A374" s="14"/>
      <c r="B374" s="14"/>
    </row>
    <row r="375">
      <c r="A375" s="14"/>
      <c r="B375" s="14"/>
    </row>
    <row r="376">
      <c r="A376" s="14"/>
      <c r="B376" s="14"/>
    </row>
    <row r="377">
      <c r="A377" s="14"/>
      <c r="B377" s="14"/>
    </row>
    <row r="378">
      <c r="A378" s="14"/>
      <c r="B378" s="14"/>
    </row>
    <row r="379">
      <c r="A379" s="14"/>
      <c r="B379" s="14"/>
    </row>
    <row r="380">
      <c r="A380" s="14"/>
      <c r="B380" s="14"/>
    </row>
    <row r="381">
      <c r="A381" s="14"/>
      <c r="B381" s="14"/>
    </row>
    <row r="382">
      <c r="A382" s="14"/>
      <c r="B382" s="14"/>
    </row>
    <row r="383">
      <c r="A383" s="14"/>
      <c r="B383" s="14"/>
    </row>
    <row r="384">
      <c r="A384" s="14"/>
      <c r="B384" s="14"/>
    </row>
    <row r="385">
      <c r="A385" s="14"/>
      <c r="B385" s="14"/>
    </row>
    <row r="386">
      <c r="A386" s="14"/>
      <c r="B386" s="14"/>
    </row>
    <row r="387">
      <c r="A387" s="14"/>
      <c r="B387" s="14"/>
    </row>
    <row r="388">
      <c r="A388" s="14"/>
      <c r="B388" s="14"/>
    </row>
    <row r="389">
      <c r="A389" s="14"/>
      <c r="B389" s="14"/>
    </row>
    <row r="390">
      <c r="A390" s="14"/>
      <c r="B390" s="14"/>
    </row>
    <row r="391">
      <c r="A391" s="14"/>
      <c r="B391" s="14"/>
    </row>
    <row r="392">
      <c r="A392" s="14"/>
      <c r="B392" s="14"/>
    </row>
    <row r="393">
      <c r="A393" s="14"/>
      <c r="B393" s="14"/>
    </row>
    <row r="394">
      <c r="A394" s="14"/>
      <c r="B394" s="14"/>
    </row>
    <row r="395">
      <c r="A395" s="14"/>
      <c r="B395" s="14"/>
    </row>
    <row r="396">
      <c r="A396" s="14"/>
      <c r="B396" s="14"/>
    </row>
    <row r="397">
      <c r="A397" s="14"/>
      <c r="B397" s="14"/>
    </row>
    <row r="398">
      <c r="A398" s="14"/>
      <c r="B398" s="14"/>
    </row>
    <row r="399">
      <c r="A399" s="14"/>
      <c r="B399" s="14"/>
    </row>
    <row r="400">
      <c r="A400" s="14"/>
      <c r="B400" s="14"/>
    </row>
    <row r="401">
      <c r="A401" s="14"/>
      <c r="B401" s="14"/>
    </row>
    <row r="402">
      <c r="A402" s="14"/>
      <c r="B402" s="14"/>
    </row>
    <row r="403">
      <c r="A403" s="14"/>
      <c r="B403" s="14"/>
    </row>
    <row r="404">
      <c r="A404" s="14"/>
      <c r="B404" s="14"/>
    </row>
    <row r="405">
      <c r="A405" s="14"/>
      <c r="B405" s="14"/>
    </row>
    <row r="406">
      <c r="A406" s="14"/>
      <c r="B406" s="14"/>
    </row>
    <row r="407">
      <c r="A407" s="14"/>
      <c r="B407" s="14"/>
    </row>
    <row r="408">
      <c r="A408" s="14"/>
      <c r="B408" s="14"/>
    </row>
    <row r="409">
      <c r="A409" s="14"/>
      <c r="B409" s="14"/>
    </row>
    <row r="410">
      <c r="A410" s="14"/>
      <c r="B410" s="14"/>
    </row>
    <row r="411">
      <c r="A411" s="14"/>
      <c r="B411" s="14"/>
    </row>
    <row r="412">
      <c r="A412" s="14"/>
      <c r="B412" s="14"/>
    </row>
    <row r="413">
      <c r="A413" s="14"/>
      <c r="B413" s="14"/>
    </row>
    <row r="414">
      <c r="A414" s="14"/>
      <c r="B414" s="14"/>
    </row>
    <row r="415">
      <c r="A415" s="14"/>
      <c r="B415" s="14"/>
    </row>
    <row r="416">
      <c r="A416" s="14"/>
      <c r="B416" s="14"/>
    </row>
    <row r="417">
      <c r="A417" s="14"/>
      <c r="B417" s="14"/>
    </row>
    <row r="418">
      <c r="A418" s="14"/>
      <c r="B418" s="14"/>
    </row>
    <row r="419">
      <c r="A419" s="14"/>
      <c r="B419" s="14"/>
    </row>
    <row r="420">
      <c r="A420" s="14"/>
      <c r="B420" s="14"/>
    </row>
    <row r="421">
      <c r="A421" s="14"/>
      <c r="B421" s="14"/>
    </row>
    <row r="422">
      <c r="A422" s="14"/>
      <c r="B422" s="14"/>
    </row>
    <row r="423">
      <c r="A423" s="14"/>
      <c r="B423" s="14"/>
    </row>
    <row r="424">
      <c r="A424" s="14"/>
      <c r="B424" s="14"/>
    </row>
    <row r="425">
      <c r="A425" s="14"/>
      <c r="B425" s="14"/>
    </row>
    <row r="426">
      <c r="A426" s="14"/>
      <c r="B426" s="14"/>
    </row>
    <row r="427">
      <c r="A427" s="14"/>
      <c r="B427" s="14"/>
    </row>
    <row r="428">
      <c r="A428" s="14"/>
      <c r="B428" s="14"/>
    </row>
    <row r="429">
      <c r="A429" s="14"/>
      <c r="B429" s="14"/>
    </row>
    <row r="430">
      <c r="A430" s="14"/>
      <c r="B430" s="14"/>
    </row>
    <row r="431">
      <c r="A431" s="14"/>
      <c r="B431" s="14"/>
    </row>
    <row r="432">
      <c r="A432" s="14"/>
      <c r="B432" s="14"/>
    </row>
    <row r="433">
      <c r="A433" s="14"/>
      <c r="B433" s="14"/>
    </row>
    <row r="434">
      <c r="A434" s="14"/>
      <c r="B434" s="14"/>
    </row>
    <row r="435">
      <c r="A435" s="14"/>
      <c r="B435" s="14"/>
    </row>
    <row r="436">
      <c r="A436" s="14"/>
      <c r="B436" s="14"/>
    </row>
    <row r="437">
      <c r="A437" s="14"/>
      <c r="B437" s="14"/>
    </row>
    <row r="438">
      <c r="A438" s="14"/>
      <c r="B438" s="14"/>
    </row>
    <row r="439">
      <c r="A439" s="14"/>
      <c r="B439" s="14"/>
    </row>
    <row r="440">
      <c r="A440" s="14"/>
      <c r="B440" s="14"/>
    </row>
    <row r="441">
      <c r="A441" s="14"/>
      <c r="B441" s="14"/>
    </row>
    <row r="442">
      <c r="A442" s="14"/>
      <c r="B442" s="14"/>
    </row>
    <row r="443">
      <c r="A443" s="14"/>
      <c r="B443" s="14"/>
    </row>
    <row r="444">
      <c r="A444" s="14"/>
      <c r="B444" s="14"/>
    </row>
    <row r="445">
      <c r="A445" s="14"/>
      <c r="B445" s="14"/>
    </row>
    <row r="446">
      <c r="A446" s="14"/>
      <c r="B446" s="14"/>
    </row>
    <row r="447">
      <c r="A447" s="14"/>
      <c r="B447" s="14"/>
    </row>
    <row r="448">
      <c r="A448" s="14"/>
      <c r="B448" s="14"/>
    </row>
    <row r="449">
      <c r="A449" s="14"/>
      <c r="B449" s="14"/>
    </row>
    <row r="450">
      <c r="A450" s="14"/>
      <c r="B450" s="14"/>
    </row>
    <row r="451">
      <c r="A451" s="14"/>
      <c r="B451" s="14"/>
    </row>
    <row r="452">
      <c r="A452" s="14"/>
      <c r="B452" s="14"/>
    </row>
    <row r="453">
      <c r="A453" s="14"/>
      <c r="B453" s="14"/>
    </row>
    <row r="454">
      <c r="A454" s="14"/>
      <c r="B454" s="14"/>
    </row>
    <row r="455">
      <c r="A455" s="14"/>
      <c r="B455" s="14"/>
    </row>
    <row r="456">
      <c r="A456" s="14"/>
      <c r="B456" s="14"/>
    </row>
    <row r="457">
      <c r="A457" s="14"/>
      <c r="B457" s="14"/>
    </row>
    <row r="458">
      <c r="A458" s="14"/>
      <c r="B458" s="14"/>
    </row>
    <row r="459">
      <c r="A459" s="14"/>
      <c r="B459" s="14"/>
    </row>
    <row r="460">
      <c r="A460" s="14"/>
      <c r="B460" s="14"/>
    </row>
    <row r="461">
      <c r="A461" s="14"/>
      <c r="B461" s="14"/>
    </row>
    <row r="462">
      <c r="A462" s="14"/>
      <c r="B462" s="14"/>
    </row>
    <row r="463">
      <c r="A463" s="14"/>
      <c r="B463" s="14"/>
    </row>
    <row r="464">
      <c r="A464" s="14"/>
      <c r="B464" s="14"/>
    </row>
    <row r="465">
      <c r="A465" s="14"/>
      <c r="B465" s="14"/>
    </row>
    <row r="466">
      <c r="A466" s="14"/>
      <c r="B466" s="14"/>
    </row>
    <row r="467">
      <c r="A467" s="14"/>
      <c r="B467" s="14"/>
    </row>
    <row r="468">
      <c r="A468" s="14"/>
      <c r="B468" s="14"/>
    </row>
    <row r="469">
      <c r="A469" s="14"/>
      <c r="B469" s="14"/>
    </row>
    <row r="470">
      <c r="A470" s="14"/>
      <c r="B470" s="14"/>
    </row>
    <row r="471">
      <c r="A471" s="14"/>
      <c r="B471" s="14"/>
    </row>
    <row r="472">
      <c r="A472" s="14"/>
      <c r="B472" s="14"/>
    </row>
    <row r="473">
      <c r="A473" s="14"/>
      <c r="B473" s="14"/>
    </row>
    <row r="474">
      <c r="A474" s="14"/>
      <c r="B474" s="14"/>
    </row>
    <row r="475">
      <c r="A475" s="14"/>
      <c r="B475" s="14"/>
    </row>
    <row r="476">
      <c r="A476" s="14"/>
      <c r="B476" s="14"/>
    </row>
    <row r="477">
      <c r="A477" s="14"/>
      <c r="B477" s="14"/>
    </row>
    <row r="478">
      <c r="A478" s="14"/>
      <c r="B478" s="14"/>
    </row>
    <row r="479">
      <c r="A479" s="14"/>
      <c r="B479" s="14"/>
    </row>
    <row r="480">
      <c r="A480" s="14"/>
      <c r="B480" s="14"/>
    </row>
    <row r="481">
      <c r="A481" s="14"/>
      <c r="B481" s="14"/>
    </row>
    <row r="482">
      <c r="A482" s="14"/>
      <c r="B482" s="14"/>
    </row>
    <row r="483">
      <c r="A483" s="14"/>
      <c r="B483" s="14"/>
    </row>
    <row r="484">
      <c r="A484" s="14"/>
      <c r="B484" s="14"/>
    </row>
    <row r="485">
      <c r="A485" s="14"/>
      <c r="B485" s="14"/>
    </row>
    <row r="486">
      <c r="A486" s="14"/>
      <c r="B486" s="14"/>
    </row>
    <row r="487">
      <c r="A487" s="14"/>
      <c r="B487" s="14"/>
    </row>
    <row r="488">
      <c r="A488" s="14"/>
      <c r="B488" s="14"/>
    </row>
    <row r="489">
      <c r="A489" s="14"/>
      <c r="B489" s="14"/>
    </row>
    <row r="490">
      <c r="A490" s="14"/>
      <c r="B490" s="14"/>
    </row>
    <row r="491">
      <c r="A491" s="14"/>
      <c r="B491" s="14"/>
    </row>
    <row r="492">
      <c r="A492" s="14"/>
      <c r="B492" s="14"/>
    </row>
    <row r="493">
      <c r="A493" s="14"/>
      <c r="B493" s="14"/>
    </row>
    <row r="494">
      <c r="A494" s="14"/>
      <c r="B494" s="14"/>
    </row>
    <row r="495">
      <c r="A495" s="14"/>
      <c r="B495" s="14"/>
    </row>
    <row r="496">
      <c r="A496" s="14"/>
      <c r="B496" s="14"/>
    </row>
    <row r="497">
      <c r="A497" s="14"/>
      <c r="B497" s="14"/>
    </row>
    <row r="498">
      <c r="A498" s="14"/>
      <c r="B498" s="14"/>
    </row>
    <row r="499">
      <c r="A499" s="14"/>
      <c r="B499" s="14"/>
    </row>
    <row r="500">
      <c r="A500" s="14"/>
      <c r="B500" s="14"/>
    </row>
    <row r="501">
      <c r="A501" s="14"/>
      <c r="B501" s="14"/>
    </row>
    <row r="502">
      <c r="A502" s="14"/>
      <c r="B502" s="14"/>
    </row>
    <row r="503">
      <c r="A503" s="14"/>
      <c r="B503" s="14"/>
    </row>
    <row r="504">
      <c r="A504" s="14"/>
      <c r="B504" s="14"/>
    </row>
    <row r="505">
      <c r="A505" s="14"/>
      <c r="B505" s="14"/>
    </row>
    <row r="506">
      <c r="A506" s="14"/>
      <c r="B506" s="14"/>
    </row>
    <row r="507">
      <c r="A507" s="14"/>
      <c r="B507" s="14"/>
    </row>
    <row r="508">
      <c r="A508" s="14"/>
      <c r="B508" s="14"/>
    </row>
    <row r="509">
      <c r="A509" s="14"/>
      <c r="B509" s="14"/>
    </row>
    <row r="510">
      <c r="A510" s="14"/>
      <c r="B510" s="14"/>
    </row>
    <row r="511">
      <c r="A511" s="14"/>
      <c r="B511" s="14"/>
    </row>
    <row r="512">
      <c r="A512" s="14"/>
      <c r="B512" s="14"/>
    </row>
    <row r="513">
      <c r="A513" s="14"/>
      <c r="B513" s="14"/>
    </row>
    <row r="514">
      <c r="A514" s="14"/>
      <c r="B514" s="14"/>
    </row>
    <row r="515">
      <c r="A515" s="14"/>
      <c r="B515" s="14"/>
    </row>
    <row r="516">
      <c r="A516" s="14"/>
      <c r="B516" s="14"/>
    </row>
    <row r="517">
      <c r="A517" s="14"/>
      <c r="B517" s="14"/>
    </row>
    <row r="518">
      <c r="A518" s="14"/>
      <c r="B518" s="14"/>
    </row>
    <row r="519">
      <c r="A519" s="14"/>
      <c r="B519" s="14"/>
    </row>
    <row r="520">
      <c r="A520" s="14"/>
      <c r="B520" s="14"/>
    </row>
    <row r="521">
      <c r="A521" s="14"/>
      <c r="B521" s="14"/>
    </row>
    <row r="522">
      <c r="A522" s="14"/>
      <c r="B522" s="14"/>
    </row>
    <row r="523">
      <c r="A523" s="14"/>
      <c r="B523" s="14"/>
    </row>
    <row r="524">
      <c r="A524" s="14"/>
      <c r="B524" s="14"/>
    </row>
    <row r="525">
      <c r="A525" s="14"/>
      <c r="B525" s="14"/>
    </row>
    <row r="526">
      <c r="A526" s="14"/>
      <c r="B526" s="14"/>
    </row>
    <row r="527">
      <c r="A527" s="14"/>
      <c r="B527" s="14"/>
    </row>
    <row r="528">
      <c r="A528" s="14"/>
      <c r="B528" s="14"/>
    </row>
    <row r="529">
      <c r="A529" s="14"/>
      <c r="B529" s="14"/>
    </row>
    <row r="530">
      <c r="A530" s="14"/>
      <c r="B530" s="14"/>
    </row>
    <row r="531">
      <c r="A531" s="14"/>
      <c r="B531" s="14"/>
    </row>
    <row r="532">
      <c r="A532" s="14"/>
      <c r="B532" s="14"/>
    </row>
    <row r="533">
      <c r="A533" s="14"/>
      <c r="B533" s="14"/>
    </row>
    <row r="534">
      <c r="A534" s="14"/>
      <c r="B534" s="14"/>
    </row>
    <row r="535">
      <c r="A535" s="14"/>
      <c r="B535" s="14"/>
    </row>
    <row r="536">
      <c r="A536" s="14"/>
      <c r="B536" s="14"/>
    </row>
    <row r="537">
      <c r="A537" s="14"/>
      <c r="B537" s="14"/>
    </row>
    <row r="538">
      <c r="A538" s="14"/>
      <c r="B538" s="14"/>
    </row>
    <row r="539">
      <c r="A539" s="14"/>
      <c r="B539" s="14"/>
    </row>
    <row r="540">
      <c r="A540" s="14"/>
      <c r="B540" s="14"/>
    </row>
    <row r="541">
      <c r="A541" s="14"/>
      <c r="B541" s="14"/>
    </row>
    <row r="542">
      <c r="A542" s="14"/>
      <c r="B542" s="14"/>
    </row>
    <row r="543">
      <c r="A543" s="14"/>
      <c r="B543" s="14"/>
    </row>
    <row r="544">
      <c r="A544" s="14"/>
      <c r="B544" s="14"/>
    </row>
    <row r="545">
      <c r="A545" s="14"/>
      <c r="B545" s="14"/>
    </row>
    <row r="546">
      <c r="A546" s="14"/>
      <c r="B546" s="14"/>
    </row>
    <row r="547">
      <c r="A547" s="14"/>
      <c r="B547" s="14"/>
    </row>
    <row r="548">
      <c r="A548" s="14"/>
      <c r="B548" s="14"/>
    </row>
    <row r="549">
      <c r="A549" s="14"/>
      <c r="B549" s="14"/>
    </row>
    <row r="550">
      <c r="A550" s="14"/>
      <c r="B550" s="14"/>
    </row>
    <row r="551">
      <c r="A551" s="14"/>
      <c r="B551" s="14"/>
    </row>
    <row r="552">
      <c r="A552" s="14"/>
      <c r="B552" s="14"/>
    </row>
    <row r="553">
      <c r="A553" s="14"/>
      <c r="B553" s="14"/>
    </row>
    <row r="554">
      <c r="A554" s="14"/>
      <c r="B554" s="14"/>
    </row>
    <row r="555">
      <c r="A555" s="14"/>
      <c r="B555" s="14"/>
    </row>
    <row r="556">
      <c r="A556" s="14"/>
      <c r="B556" s="14"/>
    </row>
    <row r="557">
      <c r="A557" s="14"/>
      <c r="B557" s="14"/>
    </row>
    <row r="558">
      <c r="A558" s="14"/>
      <c r="B558" s="14"/>
    </row>
    <row r="559">
      <c r="A559" s="14"/>
      <c r="B559" s="14"/>
    </row>
    <row r="560">
      <c r="A560" s="14"/>
      <c r="B560" s="14"/>
    </row>
    <row r="561">
      <c r="A561" s="14"/>
      <c r="B561" s="14"/>
    </row>
    <row r="562">
      <c r="A562" s="14"/>
      <c r="B562" s="14"/>
    </row>
    <row r="563">
      <c r="A563" s="14"/>
      <c r="B563" s="14"/>
    </row>
    <row r="564">
      <c r="A564" s="14"/>
      <c r="B564" s="14"/>
    </row>
    <row r="565">
      <c r="A565" s="14"/>
      <c r="B565" s="14"/>
    </row>
    <row r="566">
      <c r="A566" s="14"/>
      <c r="B566" s="14"/>
    </row>
    <row r="567">
      <c r="A567" s="14"/>
      <c r="B567" s="14"/>
    </row>
    <row r="568">
      <c r="A568" s="14"/>
      <c r="B568" s="14"/>
    </row>
    <row r="569">
      <c r="A569" s="14"/>
      <c r="B569" s="14"/>
    </row>
    <row r="570">
      <c r="A570" s="14"/>
      <c r="B570" s="14"/>
    </row>
    <row r="571">
      <c r="A571" s="14"/>
      <c r="B571" s="14"/>
    </row>
    <row r="572">
      <c r="A572" s="14"/>
      <c r="B572" s="14"/>
    </row>
    <row r="573">
      <c r="A573" s="14"/>
      <c r="B573" s="14"/>
    </row>
    <row r="574">
      <c r="A574" s="14"/>
      <c r="B574" s="14"/>
    </row>
    <row r="575">
      <c r="A575" s="14"/>
      <c r="B575" s="14"/>
    </row>
    <row r="576">
      <c r="A576" s="14"/>
      <c r="B576" s="14"/>
    </row>
    <row r="577">
      <c r="A577" s="14"/>
      <c r="B577" s="14"/>
    </row>
    <row r="578">
      <c r="A578" s="14"/>
      <c r="B578" s="14"/>
    </row>
    <row r="579">
      <c r="A579" s="14"/>
      <c r="B579" s="14"/>
    </row>
    <row r="580">
      <c r="A580" s="14"/>
      <c r="B580" s="14"/>
    </row>
    <row r="581">
      <c r="A581" s="14"/>
      <c r="B581" s="14"/>
    </row>
    <row r="582">
      <c r="A582" s="14"/>
      <c r="B582" s="14"/>
    </row>
    <row r="583">
      <c r="A583" s="14"/>
      <c r="B583" s="14"/>
    </row>
    <row r="584">
      <c r="A584" s="14"/>
      <c r="B584" s="14"/>
    </row>
    <row r="585">
      <c r="A585" s="14"/>
      <c r="B585" s="14"/>
    </row>
    <row r="586">
      <c r="A586" s="14"/>
      <c r="B586" s="14"/>
    </row>
    <row r="587">
      <c r="A587" s="14"/>
      <c r="B587" s="14"/>
    </row>
    <row r="588">
      <c r="A588" s="14"/>
      <c r="B588" s="14"/>
    </row>
    <row r="589">
      <c r="A589" s="14"/>
      <c r="B589" s="14"/>
    </row>
    <row r="590">
      <c r="A590" s="14"/>
      <c r="B590" s="14"/>
    </row>
    <row r="591">
      <c r="A591" s="14"/>
      <c r="B591" s="14"/>
    </row>
    <row r="592">
      <c r="A592" s="14"/>
      <c r="B592" s="14"/>
    </row>
    <row r="593">
      <c r="A593" s="14"/>
      <c r="B593" s="14"/>
    </row>
    <row r="594">
      <c r="A594" s="14"/>
      <c r="B594" s="14"/>
    </row>
    <row r="595">
      <c r="A595" s="14"/>
      <c r="B595" s="14"/>
    </row>
    <row r="596">
      <c r="A596" s="14"/>
      <c r="B596" s="14"/>
    </row>
    <row r="597">
      <c r="A597" s="14"/>
      <c r="B597" s="14"/>
    </row>
    <row r="598">
      <c r="A598" s="14"/>
      <c r="B598" s="14"/>
    </row>
    <row r="599">
      <c r="A599" s="14"/>
      <c r="B599" s="14"/>
    </row>
    <row r="600">
      <c r="A600" s="14"/>
      <c r="B600" s="14"/>
    </row>
    <row r="601">
      <c r="A601" s="14"/>
      <c r="B601" s="14"/>
    </row>
    <row r="602">
      <c r="A602" s="14"/>
      <c r="B602" s="14"/>
    </row>
    <row r="603">
      <c r="A603" s="14"/>
      <c r="B603" s="14"/>
    </row>
    <row r="604">
      <c r="A604" s="14"/>
      <c r="B604" s="14"/>
    </row>
    <row r="605">
      <c r="A605" s="14"/>
      <c r="B605" s="14"/>
    </row>
    <row r="606">
      <c r="A606" s="14"/>
      <c r="B606" s="14"/>
    </row>
    <row r="607">
      <c r="A607" s="14"/>
      <c r="B607" s="14"/>
    </row>
    <row r="608">
      <c r="A608" s="14"/>
      <c r="B608" s="14"/>
    </row>
    <row r="609">
      <c r="A609" s="14"/>
      <c r="B609" s="14"/>
    </row>
    <row r="610">
      <c r="A610" s="14"/>
      <c r="B610" s="14"/>
    </row>
    <row r="611">
      <c r="A611" s="14"/>
      <c r="B611" s="14"/>
    </row>
    <row r="612">
      <c r="A612" s="14"/>
      <c r="B612" s="14"/>
    </row>
    <row r="613">
      <c r="A613" s="14"/>
      <c r="B613" s="14"/>
    </row>
    <row r="614">
      <c r="A614" s="14"/>
      <c r="B614" s="14"/>
    </row>
    <row r="615">
      <c r="A615" s="14"/>
      <c r="B615" s="14"/>
    </row>
    <row r="616">
      <c r="A616" s="14"/>
      <c r="B616" s="14"/>
    </row>
    <row r="617">
      <c r="A617" s="14"/>
      <c r="B617" s="14"/>
    </row>
    <row r="618">
      <c r="A618" s="14"/>
      <c r="B618" s="14"/>
    </row>
    <row r="619">
      <c r="A619" s="14"/>
      <c r="B619" s="14"/>
    </row>
    <row r="620">
      <c r="A620" s="14"/>
      <c r="B620" s="14"/>
    </row>
    <row r="621">
      <c r="A621" s="14"/>
      <c r="B621" s="14"/>
    </row>
    <row r="622">
      <c r="A622" s="14"/>
      <c r="B622" s="14"/>
    </row>
    <row r="623">
      <c r="A623" s="14"/>
      <c r="B623" s="14"/>
    </row>
    <row r="624">
      <c r="A624" s="14"/>
      <c r="B624" s="14"/>
    </row>
    <row r="625">
      <c r="A625" s="14"/>
      <c r="B625" s="14"/>
    </row>
    <row r="626">
      <c r="A626" s="14"/>
      <c r="B626" s="14"/>
    </row>
    <row r="627">
      <c r="A627" s="14"/>
      <c r="B627" s="14"/>
    </row>
    <row r="628">
      <c r="A628" s="14"/>
      <c r="B628" s="14"/>
    </row>
    <row r="629">
      <c r="A629" s="14"/>
      <c r="B629" s="14"/>
    </row>
    <row r="630">
      <c r="A630" s="14"/>
      <c r="B630" s="14"/>
    </row>
    <row r="631">
      <c r="A631" s="14"/>
      <c r="B631" s="14"/>
    </row>
    <row r="632">
      <c r="A632" s="14"/>
      <c r="B632" s="14"/>
    </row>
    <row r="633">
      <c r="A633" s="14"/>
      <c r="B633" s="14"/>
    </row>
    <row r="634">
      <c r="A634" s="14"/>
      <c r="B634" s="14"/>
    </row>
    <row r="635">
      <c r="A635" s="14"/>
      <c r="B635" s="14"/>
    </row>
    <row r="636">
      <c r="A636" s="14"/>
      <c r="B636" s="14"/>
    </row>
    <row r="637">
      <c r="A637" s="14"/>
      <c r="B637" s="14"/>
    </row>
    <row r="638">
      <c r="A638" s="14"/>
      <c r="B638" s="14"/>
    </row>
    <row r="639">
      <c r="A639" s="14"/>
      <c r="B639" s="14"/>
    </row>
    <row r="640">
      <c r="A640" s="14"/>
      <c r="B640" s="14"/>
    </row>
    <row r="641">
      <c r="A641" s="14"/>
      <c r="B641" s="14"/>
    </row>
    <row r="642">
      <c r="A642" s="14"/>
      <c r="B642" s="14"/>
    </row>
    <row r="643">
      <c r="A643" s="14"/>
      <c r="B643" s="14"/>
    </row>
    <row r="644">
      <c r="A644" s="14"/>
      <c r="B644" s="14"/>
    </row>
    <row r="645">
      <c r="A645" s="14"/>
      <c r="B645" s="14"/>
    </row>
    <row r="646">
      <c r="A646" s="14"/>
      <c r="B646" s="14"/>
    </row>
    <row r="647">
      <c r="A647" s="14"/>
      <c r="B647" s="14"/>
    </row>
    <row r="648">
      <c r="A648" s="14"/>
      <c r="B648" s="14"/>
    </row>
    <row r="649">
      <c r="A649" s="14"/>
      <c r="B649" s="14"/>
    </row>
    <row r="650">
      <c r="A650" s="14"/>
      <c r="B650" s="14"/>
    </row>
    <row r="651">
      <c r="A651" s="14"/>
      <c r="B651" s="14"/>
    </row>
    <row r="652">
      <c r="A652" s="14"/>
      <c r="B652" s="14"/>
    </row>
    <row r="653">
      <c r="A653" s="14"/>
      <c r="B653" s="14"/>
    </row>
    <row r="654">
      <c r="A654" s="14"/>
      <c r="B654" s="14"/>
    </row>
    <row r="655">
      <c r="A655" s="14"/>
      <c r="B655" s="14"/>
    </row>
    <row r="656">
      <c r="A656" s="14"/>
      <c r="B656" s="14"/>
    </row>
    <row r="657">
      <c r="A657" s="14"/>
      <c r="B657" s="14"/>
    </row>
    <row r="658">
      <c r="A658" s="14"/>
      <c r="B658" s="14"/>
    </row>
    <row r="659">
      <c r="A659" s="14"/>
      <c r="B659" s="14"/>
    </row>
    <row r="660">
      <c r="A660" s="14"/>
      <c r="B660" s="14"/>
    </row>
    <row r="661">
      <c r="A661" s="14"/>
      <c r="B661" s="14"/>
    </row>
    <row r="662">
      <c r="A662" s="14"/>
      <c r="B662" s="14"/>
    </row>
    <row r="663">
      <c r="A663" s="14"/>
      <c r="B663" s="14"/>
    </row>
    <row r="664">
      <c r="A664" s="14"/>
      <c r="B664" s="14"/>
    </row>
    <row r="665">
      <c r="A665" s="14"/>
      <c r="B665" s="14"/>
    </row>
    <row r="666">
      <c r="A666" s="14"/>
      <c r="B666" s="14"/>
    </row>
    <row r="667">
      <c r="A667" s="14"/>
      <c r="B667" s="14"/>
    </row>
    <row r="668">
      <c r="A668" s="14"/>
      <c r="B668" s="14"/>
    </row>
    <row r="669">
      <c r="A669" s="14"/>
      <c r="B669" s="14"/>
    </row>
    <row r="670">
      <c r="A670" s="14"/>
      <c r="B670" s="14"/>
    </row>
    <row r="671">
      <c r="A671" s="14"/>
      <c r="B671" s="14"/>
    </row>
    <row r="672">
      <c r="A672" s="14"/>
      <c r="B672" s="14"/>
    </row>
    <row r="673">
      <c r="A673" s="14"/>
      <c r="B673" s="14"/>
    </row>
    <row r="674">
      <c r="A674" s="14"/>
      <c r="B674" s="14"/>
    </row>
    <row r="675">
      <c r="A675" s="14"/>
      <c r="B675" s="14"/>
    </row>
    <row r="676">
      <c r="A676" s="14"/>
      <c r="B676" s="14"/>
    </row>
    <row r="677">
      <c r="A677" s="14"/>
      <c r="B677" s="14"/>
    </row>
    <row r="678">
      <c r="A678" s="14"/>
      <c r="B678" s="14"/>
    </row>
    <row r="679">
      <c r="A679" s="14"/>
      <c r="B679" s="14"/>
    </row>
    <row r="680">
      <c r="A680" s="14"/>
      <c r="B680" s="14"/>
    </row>
    <row r="681">
      <c r="A681" s="14"/>
      <c r="B681" s="14"/>
    </row>
    <row r="682">
      <c r="A682" s="14"/>
      <c r="B682" s="14"/>
    </row>
    <row r="683">
      <c r="A683" s="14"/>
      <c r="B683" s="14"/>
    </row>
    <row r="684">
      <c r="A684" s="14"/>
      <c r="B684" s="14"/>
    </row>
    <row r="685">
      <c r="A685" s="14"/>
      <c r="B685" s="14"/>
    </row>
    <row r="686">
      <c r="A686" s="14"/>
      <c r="B686" s="14"/>
    </row>
    <row r="687">
      <c r="A687" s="14"/>
      <c r="B687" s="14"/>
    </row>
    <row r="688">
      <c r="A688" s="14"/>
      <c r="B688" s="14"/>
    </row>
    <row r="689">
      <c r="A689" s="14"/>
      <c r="B689" s="14"/>
    </row>
    <row r="690">
      <c r="A690" s="14"/>
      <c r="B690" s="14"/>
    </row>
    <row r="691">
      <c r="A691" s="14"/>
      <c r="B691" s="14"/>
    </row>
    <row r="692">
      <c r="A692" s="14"/>
      <c r="B692" s="14"/>
    </row>
    <row r="693">
      <c r="A693" s="14"/>
      <c r="B693" s="14"/>
    </row>
    <row r="694">
      <c r="A694" s="14"/>
      <c r="B694" s="14"/>
    </row>
    <row r="695">
      <c r="A695" s="14"/>
      <c r="B695" s="14"/>
    </row>
    <row r="696">
      <c r="A696" s="14"/>
      <c r="B696" s="14"/>
    </row>
    <row r="697">
      <c r="A697" s="14"/>
      <c r="B697" s="14"/>
    </row>
    <row r="698">
      <c r="A698" s="14"/>
      <c r="B698" s="14"/>
    </row>
    <row r="699">
      <c r="A699" s="14"/>
      <c r="B699" s="14"/>
    </row>
    <row r="700">
      <c r="A700" s="14"/>
      <c r="B700" s="14"/>
    </row>
    <row r="701">
      <c r="A701" s="14"/>
      <c r="B701" s="14"/>
    </row>
    <row r="702">
      <c r="A702" s="14"/>
      <c r="B702" s="14"/>
    </row>
    <row r="703">
      <c r="A703" s="14"/>
      <c r="B703" s="14"/>
    </row>
    <row r="704">
      <c r="A704" s="14"/>
      <c r="B704" s="14"/>
    </row>
    <row r="705">
      <c r="A705" s="14"/>
      <c r="B705" s="14"/>
    </row>
    <row r="706">
      <c r="A706" s="14"/>
      <c r="B706" s="14"/>
    </row>
    <row r="707">
      <c r="A707" s="14"/>
      <c r="B707" s="14"/>
    </row>
    <row r="708">
      <c r="A708" s="14"/>
      <c r="B708" s="14"/>
    </row>
    <row r="709">
      <c r="A709" s="14"/>
      <c r="B709" s="14"/>
    </row>
    <row r="710">
      <c r="A710" s="14"/>
      <c r="B710" s="14"/>
    </row>
    <row r="711">
      <c r="A711" s="14"/>
      <c r="B711" s="14"/>
    </row>
    <row r="712">
      <c r="A712" s="14"/>
      <c r="B712" s="14"/>
    </row>
    <row r="713">
      <c r="A713" s="14"/>
      <c r="B713" s="14"/>
    </row>
    <row r="714">
      <c r="A714" s="14"/>
      <c r="B714" s="14"/>
    </row>
    <row r="715">
      <c r="A715" s="14"/>
      <c r="B715" s="14"/>
    </row>
    <row r="716">
      <c r="A716" s="14"/>
      <c r="B716" s="14"/>
    </row>
    <row r="717">
      <c r="A717" s="14"/>
      <c r="B717" s="14"/>
    </row>
    <row r="718">
      <c r="A718" s="14"/>
      <c r="B718" s="14"/>
    </row>
    <row r="719">
      <c r="A719" s="14"/>
      <c r="B719" s="14"/>
    </row>
    <row r="720">
      <c r="A720" s="14"/>
      <c r="B720" s="14"/>
    </row>
    <row r="721">
      <c r="A721" s="14"/>
      <c r="B721" s="14"/>
    </row>
    <row r="722">
      <c r="A722" s="14"/>
      <c r="B722" s="14"/>
    </row>
    <row r="723">
      <c r="A723" s="14"/>
      <c r="B723" s="14"/>
    </row>
    <row r="724">
      <c r="A724" s="14"/>
      <c r="B724" s="14"/>
    </row>
    <row r="725">
      <c r="A725" s="14"/>
      <c r="B725" s="14"/>
    </row>
    <row r="726">
      <c r="A726" s="14"/>
      <c r="B726" s="14"/>
    </row>
    <row r="727">
      <c r="A727" s="14"/>
      <c r="B727" s="14"/>
    </row>
    <row r="728">
      <c r="A728" s="14"/>
      <c r="B728" s="14"/>
    </row>
    <row r="729">
      <c r="A729" s="14"/>
      <c r="B729" s="14"/>
    </row>
    <row r="730">
      <c r="A730" s="14"/>
      <c r="B730" s="14"/>
    </row>
    <row r="731">
      <c r="A731" s="14"/>
      <c r="B731" s="14"/>
    </row>
    <row r="732">
      <c r="A732" s="14"/>
      <c r="B732" s="14"/>
    </row>
    <row r="733">
      <c r="A733" s="14"/>
      <c r="B733" s="14"/>
    </row>
    <row r="734">
      <c r="A734" s="14"/>
      <c r="B734" s="14"/>
    </row>
    <row r="735">
      <c r="A735" s="14"/>
      <c r="B735" s="14"/>
    </row>
    <row r="736">
      <c r="A736" s="14"/>
      <c r="B736" s="14"/>
    </row>
    <row r="737">
      <c r="A737" s="14"/>
      <c r="B737" s="14"/>
    </row>
    <row r="738">
      <c r="A738" s="14"/>
      <c r="B738" s="14"/>
    </row>
    <row r="739">
      <c r="A739" s="14"/>
      <c r="B739" s="14"/>
    </row>
    <row r="740">
      <c r="A740" s="14"/>
      <c r="B740" s="14"/>
    </row>
    <row r="741">
      <c r="A741" s="14"/>
      <c r="B741" s="14"/>
    </row>
    <row r="742">
      <c r="A742" s="14"/>
      <c r="B742" s="14"/>
    </row>
    <row r="743">
      <c r="A743" s="14"/>
      <c r="B743" s="14"/>
    </row>
    <row r="744">
      <c r="A744" s="14"/>
      <c r="B744" s="14"/>
    </row>
    <row r="745">
      <c r="A745" s="14"/>
      <c r="B745" s="14"/>
    </row>
    <row r="746">
      <c r="A746" s="14"/>
      <c r="B746" s="14"/>
    </row>
    <row r="747">
      <c r="A747" s="14"/>
      <c r="B747" s="14"/>
    </row>
    <row r="748">
      <c r="A748" s="14"/>
      <c r="B748" s="14"/>
    </row>
    <row r="749">
      <c r="A749" s="14"/>
      <c r="B749" s="14"/>
    </row>
    <row r="750">
      <c r="A750" s="14"/>
      <c r="B750" s="14"/>
    </row>
    <row r="751">
      <c r="A751" s="14"/>
      <c r="B751" s="14"/>
    </row>
    <row r="752">
      <c r="A752" s="14"/>
      <c r="B752" s="14"/>
    </row>
    <row r="753">
      <c r="A753" s="14"/>
      <c r="B753" s="14"/>
    </row>
    <row r="754">
      <c r="A754" s="14"/>
      <c r="B754" s="14"/>
    </row>
    <row r="755">
      <c r="A755" s="14"/>
      <c r="B755" s="14"/>
    </row>
    <row r="756">
      <c r="A756" s="14"/>
      <c r="B756" s="14"/>
    </row>
    <row r="757">
      <c r="A757" s="14"/>
      <c r="B757" s="14"/>
    </row>
    <row r="758">
      <c r="A758" s="14"/>
      <c r="B758" s="14"/>
    </row>
    <row r="759">
      <c r="A759" s="14"/>
      <c r="B759" s="14"/>
    </row>
    <row r="760">
      <c r="A760" s="14"/>
      <c r="B760" s="14"/>
    </row>
    <row r="761">
      <c r="A761" s="14"/>
      <c r="B761" s="14"/>
    </row>
    <row r="762">
      <c r="A762" s="14"/>
      <c r="B762" s="14"/>
    </row>
    <row r="763">
      <c r="A763" s="14"/>
      <c r="B763" s="14"/>
    </row>
    <row r="764">
      <c r="A764" s="14"/>
      <c r="B764" s="14"/>
    </row>
    <row r="765">
      <c r="A765" s="14"/>
      <c r="B765" s="14"/>
    </row>
    <row r="766">
      <c r="A766" s="14"/>
      <c r="B766" s="14"/>
    </row>
    <row r="767">
      <c r="A767" s="14"/>
      <c r="B767" s="14"/>
    </row>
    <row r="768">
      <c r="A768" s="14"/>
      <c r="B768" s="14"/>
    </row>
    <row r="769">
      <c r="A769" s="14"/>
      <c r="B769" s="14"/>
    </row>
    <row r="770">
      <c r="A770" s="14"/>
      <c r="B770" s="14"/>
    </row>
    <row r="771">
      <c r="A771" s="14"/>
      <c r="B771" s="14"/>
    </row>
    <row r="772">
      <c r="A772" s="14"/>
      <c r="B772" s="14"/>
    </row>
    <row r="773">
      <c r="A773" s="14"/>
      <c r="B773" s="14"/>
    </row>
    <row r="774">
      <c r="A774" s="14"/>
      <c r="B774" s="14"/>
    </row>
    <row r="775">
      <c r="A775" s="14"/>
      <c r="B775" s="14"/>
    </row>
    <row r="776">
      <c r="A776" s="14"/>
      <c r="B776" s="14"/>
    </row>
    <row r="777">
      <c r="A777" s="14"/>
      <c r="B777" s="14"/>
    </row>
    <row r="778">
      <c r="A778" s="14"/>
      <c r="B778" s="14"/>
    </row>
    <row r="779">
      <c r="A779" s="14"/>
      <c r="B779" s="14"/>
    </row>
    <row r="780">
      <c r="A780" s="14"/>
      <c r="B780" s="14"/>
    </row>
    <row r="781">
      <c r="A781" s="14"/>
      <c r="B781" s="14"/>
    </row>
    <row r="782">
      <c r="A782" s="14"/>
      <c r="B782" s="14"/>
    </row>
    <row r="783">
      <c r="A783" s="14"/>
      <c r="B783" s="14"/>
    </row>
    <row r="784">
      <c r="A784" s="14"/>
      <c r="B784" s="14"/>
    </row>
    <row r="785">
      <c r="A785" s="14"/>
      <c r="B785" s="14"/>
    </row>
    <row r="786">
      <c r="A786" s="14"/>
      <c r="B786" s="14"/>
    </row>
    <row r="787">
      <c r="A787" s="14"/>
      <c r="B787" s="14"/>
    </row>
    <row r="788">
      <c r="A788" s="14"/>
      <c r="B788" s="14"/>
    </row>
    <row r="789">
      <c r="A789" s="14"/>
      <c r="B789" s="14"/>
    </row>
    <row r="790">
      <c r="A790" s="14"/>
      <c r="B790" s="14"/>
    </row>
    <row r="791">
      <c r="A791" s="14"/>
      <c r="B791" s="14"/>
    </row>
    <row r="792">
      <c r="A792" s="14"/>
      <c r="B792" s="14"/>
    </row>
    <row r="793">
      <c r="A793" s="14"/>
      <c r="B793" s="14"/>
    </row>
    <row r="794">
      <c r="A794" s="14"/>
      <c r="B794" s="14"/>
    </row>
    <row r="795">
      <c r="A795" s="14"/>
      <c r="B795" s="14"/>
    </row>
    <row r="796">
      <c r="A796" s="14"/>
      <c r="B796" s="14"/>
    </row>
    <row r="797">
      <c r="A797" s="14"/>
      <c r="B797" s="14"/>
    </row>
    <row r="798">
      <c r="A798" s="14"/>
      <c r="B798" s="14"/>
    </row>
    <row r="799">
      <c r="A799" s="14"/>
      <c r="B799" s="14"/>
    </row>
    <row r="800">
      <c r="A800" s="14"/>
      <c r="B800" s="14"/>
    </row>
    <row r="801">
      <c r="A801" s="14"/>
      <c r="B801" s="14"/>
    </row>
    <row r="802">
      <c r="A802" s="14"/>
      <c r="B802" s="14"/>
    </row>
    <row r="803">
      <c r="A803" s="14"/>
      <c r="B803" s="14"/>
    </row>
    <row r="804">
      <c r="A804" s="14"/>
      <c r="B804" s="14"/>
    </row>
    <row r="805">
      <c r="A805" s="14"/>
      <c r="B805" s="14"/>
    </row>
    <row r="806">
      <c r="A806" s="14"/>
      <c r="B806" s="14"/>
    </row>
    <row r="807">
      <c r="A807" s="14"/>
      <c r="B807" s="14"/>
    </row>
    <row r="808">
      <c r="A808" s="14"/>
      <c r="B808" s="14"/>
    </row>
    <row r="809">
      <c r="A809" s="14"/>
      <c r="B809" s="14"/>
    </row>
    <row r="810">
      <c r="A810" s="14"/>
      <c r="B810" s="14"/>
    </row>
    <row r="811">
      <c r="A811" s="14"/>
      <c r="B811" s="14"/>
    </row>
    <row r="812">
      <c r="A812" s="14"/>
      <c r="B812" s="14"/>
    </row>
    <row r="813">
      <c r="A813" s="14"/>
      <c r="B813" s="14"/>
    </row>
    <row r="814">
      <c r="A814" s="14"/>
      <c r="B814" s="14"/>
    </row>
    <row r="815">
      <c r="A815" s="14"/>
      <c r="B815" s="14"/>
    </row>
    <row r="816">
      <c r="A816" s="14"/>
      <c r="B816" s="14"/>
    </row>
    <row r="817">
      <c r="A817" s="14"/>
      <c r="B817" s="14"/>
    </row>
    <row r="818">
      <c r="A818" s="14"/>
      <c r="B818" s="14"/>
    </row>
    <row r="819">
      <c r="A819" s="14"/>
      <c r="B819" s="14"/>
    </row>
    <row r="820">
      <c r="A820" s="14"/>
      <c r="B820" s="14"/>
    </row>
    <row r="821">
      <c r="A821" s="14"/>
      <c r="B821" s="14"/>
    </row>
    <row r="822">
      <c r="A822" s="14"/>
      <c r="B822" s="14"/>
    </row>
    <row r="823">
      <c r="A823" s="14"/>
      <c r="B823" s="14"/>
    </row>
    <row r="824">
      <c r="A824" s="14"/>
      <c r="B824" s="14"/>
    </row>
    <row r="825">
      <c r="A825" s="14"/>
      <c r="B825" s="14"/>
    </row>
    <row r="826">
      <c r="A826" s="14"/>
      <c r="B826" s="14"/>
    </row>
    <row r="827">
      <c r="A827" s="14"/>
      <c r="B827" s="14"/>
    </row>
    <row r="828">
      <c r="A828" s="14"/>
      <c r="B828" s="14"/>
    </row>
    <row r="829">
      <c r="A829" s="14"/>
      <c r="B829" s="14"/>
    </row>
    <row r="830">
      <c r="A830" s="14"/>
      <c r="B830" s="14"/>
    </row>
    <row r="831">
      <c r="A831" s="14"/>
      <c r="B831" s="14"/>
    </row>
    <row r="832">
      <c r="A832" s="14"/>
      <c r="B832" s="14"/>
    </row>
    <row r="833">
      <c r="A833" s="14"/>
      <c r="B833" s="14"/>
    </row>
    <row r="834">
      <c r="A834" s="14"/>
      <c r="B834" s="14"/>
    </row>
    <row r="835">
      <c r="A835" s="14"/>
      <c r="B835" s="14"/>
    </row>
    <row r="836">
      <c r="A836" s="14"/>
      <c r="B836" s="14"/>
    </row>
    <row r="837">
      <c r="A837" s="14"/>
      <c r="B837" s="14"/>
    </row>
    <row r="838">
      <c r="A838" s="14"/>
      <c r="B838" s="14"/>
    </row>
    <row r="839">
      <c r="A839" s="14"/>
      <c r="B839" s="14"/>
    </row>
    <row r="840">
      <c r="A840" s="14"/>
      <c r="B840" s="14"/>
    </row>
    <row r="841">
      <c r="A841" s="14"/>
      <c r="B841" s="14"/>
    </row>
    <row r="842">
      <c r="A842" s="14"/>
      <c r="B842" s="14"/>
    </row>
    <row r="843">
      <c r="A843" s="14"/>
      <c r="B843" s="14"/>
    </row>
    <row r="844">
      <c r="A844" s="14"/>
      <c r="B844" s="14"/>
    </row>
    <row r="845">
      <c r="A845" s="14"/>
      <c r="B845" s="14"/>
    </row>
    <row r="846">
      <c r="A846" s="14"/>
      <c r="B846" s="14"/>
    </row>
    <row r="847">
      <c r="A847" s="14"/>
      <c r="B847" s="14"/>
    </row>
    <row r="848">
      <c r="A848" s="14"/>
      <c r="B848" s="14"/>
    </row>
    <row r="849">
      <c r="A849" s="14"/>
      <c r="B849" s="14"/>
    </row>
    <row r="850">
      <c r="A850" s="14"/>
      <c r="B850" s="14"/>
    </row>
    <row r="851">
      <c r="A851" s="14"/>
      <c r="B851" s="14"/>
    </row>
    <row r="852">
      <c r="A852" s="14"/>
      <c r="B852" s="14"/>
    </row>
    <row r="853">
      <c r="A853" s="14"/>
      <c r="B853" s="14"/>
    </row>
    <row r="854">
      <c r="A854" s="14"/>
      <c r="B854" s="14"/>
    </row>
    <row r="855">
      <c r="A855" s="14"/>
      <c r="B855" s="14"/>
    </row>
    <row r="856">
      <c r="A856" s="14"/>
      <c r="B856" s="14"/>
    </row>
    <row r="857">
      <c r="A857" s="14"/>
      <c r="B857" s="14"/>
    </row>
    <row r="858">
      <c r="A858" s="14"/>
      <c r="B858" s="14"/>
    </row>
    <row r="859">
      <c r="A859" s="14"/>
      <c r="B859" s="14"/>
    </row>
    <row r="860">
      <c r="A860" s="14"/>
      <c r="B860" s="14"/>
    </row>
    <row r="861">
      <c r="A861" s="14"/>
      <c r="B861" s="14"/>
    </row>
    <row r="862">
      <c r="A862" s="14"/>
      <c r="B862" s="14"/>
    </row>
    <row r="863">
      <c r="A863" s="14"/>
      <c r="B863" s="14"/>
    </row>
    <row r="864">
      <c r="A864" s="14"/>
      <c r="B864" s="14"/>
    </row>
    <row r="865">
      <c r="A865" s="14"/>
      <c r="B865" s="14"/>
    </row>
    <row r="866">
      <c r="A866" s="14"/>
      <c r="B866" s="14"/>
    </row>
    <row r="867">
      <c r="A867" s="14"/>
      <c r="B867" s="14"/>
    </row>
    <row r="868">
      <c r="A868" s="14"/>
      <c r="B868" s="14"/>
    </row>
    <row r="869">
      <c r="A869" s="14"/>
      <c r="B869" s="14"/>
    </row>
    <row r="870">
      <c r="A870" s="14"/>
      <c r="B870" s="14"/>
    </row>
    <row r="871">
      <c r="A871" s="14"/>
      <c r="B871" s="14"/>
    </row>
    <row r="872">
      <c r="A872" s="14"/>
      <c r="B872" s="14"/>
    </row>
    <row r="873">
      <c r="A873" s="14"/>
      <c r="B873" s="14"/>
    </row>
    <row r="874">
      <c r="A874" s="14"/>
      <c r="B874" s="14"/>
    </row>
    <row r="875">
      <c r="A875" s="14"/>
      <c r="B875" s="14"/>
    </row>
    <row r="876">
      <c r="A876" s="14"/>
      <c r="B876" s="14"/>
    </row>
    <row r="877">
      <c r="A877" s="14"/>
      <c r="B877" s="14"/>
    </row>
    <row r="878">
      <c r="A878" s="14"/>
      <c r="B878" s="14"/>
    </row>
    <row r="879">
      <c r="A879" s="14"/>
      <c r="B879" s="14"/>
    </row>
    <row r="880">
      <c r="A880" s="14"/>
      <c r="B880" s="14"/>
    </row>
    <row r="881">
      <c r="A881" s="14"/>
      <c r="B881" s="14"/>
    </row>
    <row r="882">
      <c r="A882" s="14"/>
      <c r="B882" s="14"/>
    </row>
    <row r="883">
      <c r="A883" s="14"/>
      <c r="B883" s="14"/>
    </row>
    <row r="884">
      <c r="A884" s="14"/>
      <c r="B884" s="14"/>
    </row>
    <row r="885">
      <c r="A885" s="14"/>
      <c r="B885" s="14"/>
    </row>
    <row r="886">
      <c r="A886" s="14"/>
      <c r="B886" s="14"/>
    </row>
    <row r="887">
      <c r="A887" s="14"/>
      <c r="B887" s="14"/>
    </row>
    <row r="888">
      <c r="A888" s="14"/>
      <c r="B888" s="14"/>
    </row>
    <row r="889">
      <c r="A889" s="14"/>
      <c r="B889" s="14"/>
    </row>
    <row r="890">
      <c r="A890" s="14"/>
      <c r="B890" s="14"/>
    </row>
    <row r="891">
      <c r="A891" s="14"/>
      <c r="B891" s="14"/>
    </row>
    <row r="892">
      <c r="A892" s="14"/>
      <c r="B892" s="14"/>
    </row>
    <row r="893">
      <c r="A893" s="14"/>
      <c r="B893" s="14"/>
    </row>
    <row r="894">
      <c r="A894" s="14"/>
      <c r="B894" s="14"/>
    </row>
    <row r="895">
      <c r="A895" s="14"/>
      <c r="B895" s="14"/>
    </row>
    <row r="896">
      <c r="A896" s="14"/>
      <c r="B896" s="14"/>
    </row>
    <row r="897">
      <c r="A897" s="14"/>
      <c r="B897" s="14"/>
    </row>
    <row r="898">
      <c r="A898" s="14"/>
      <c r="B898" s="14"/>
    </row>
    <row r="899">
      <c r="A899" s="14"/>
      <c r="B899" s="14"/>
    </row>
    <row r="900">
      <c r="A900" s="14"/>
      <c r="B900" s="14"/>
    </row>
    <row r="901">
      <c r="A901" s="14"/>
      <c r="B901" s="14"/>
    </row>
    <row r="902">
      <c r="A902" s="14"/>
      <c r="B902" s="14"/>
    </row>
    <row r="903">
      <c r="A903" s="14"/>
      <c r="B903" s="14"/>
    </row>
    <row r="904">
      <c r="A904" s="14"/>
      <c r="B904" s="14"/>
    </row>
    <row r="905">
      <c r="A905" s="14"/>
      <c r="B905" s="14"/>
    </row>
    <row r="906">
      <c r="A906" s="14"/>
      <c r="B906" s="14"/>
    </row>
    <row r="907">
      <c r="A907" s="14"/>
      <c r="B907" s="14"/>
    </row>
    <row r="908">
      <c r="A908" s="14"/>
      <c r="B908" s="14"/>
    </row>
    <row r="909">
      <c r="A909" s="14"/>
      <c r="B909" s="14"/>
    </row>
    <row r="910">
      <c r="A910" s="14"/>
      <c r="B910" s="14"/>
    </row>
    <row r="911">
      <c r="A911" s="14"/>
      <c r="B911" s="14"/>
    </row>
    <row r="912">
      <c r="A912" s="14"/>
      <c r="B912" s="14"/>
    </row>
    <row r="913">
      <c r="A913" s="14"/>
      <c r="B913" s="14"/>
    </row>
    <row r="914">
      <c r="A914" s="14"/>
      <c r="B914" s="14"/>
    </row>
    <row r="915">
      <c r="A915" s="14"/>
      <c r="B915" s="14"/>
    </row>
    <row r="916">
      <c r="A916" s="14"/>
      <c r="B916" s="14"/>
    </row>
    <row r="917">
      <c r="A917" s="14"/>
      <c r="B917" s="14"/>
    </row>
    <row r="918">
      <c r="A918" s="14"/>
      <c r="B918" s="14"/>
    </row>
    <row r="919">
      <c r="A919" s="14"/>
      <c r="B919" s="14"/>
    </row>
    <row r="920">
      <c r="A920" s="14"/>
      <c r="B920" s="14"/>
    </row>
    <row r="921">
      <c r="A921" s="14"/>
      <c r="B921" s="14"/>
    </row>
    <row r="922">
      <c r="A922" s="14"/>
      <c r="B922" s="14"/>
    </row>
    <row r="923">
      <c r="A923" s="14"/>
      <c r="B923" s="14"/>
    </row>
    <row r="924">
      <c r="A924" s="14"/>
      <c r="B924" s="14"/>
    </row>
    <row r="925">
      <c r="A925" s="14"/>
      <c r="B925" s="14"/>
    </row>
    <row r="926">
      <c r="A926" s="14"/>
      <c r="B926" s="14"/>
    </row>
    <row r="927">
      <c r="A927" s="14"/>
      <c r="B927" s="14"/>
    </row>
    <row r="928">
      <c r="A928" s="14"/>
      <c r="B928" s="14"/>
    </row>
    <row r="929">
      <c r="A929" s="14"/>
      <c r="B929" s="14"/>
    </row>
    <row r="930">
      <c r="A930" s="14"/>
      <c r="B930" s="14"/>
    </row>
    <row r="931">
      <c r="A931" s="14"/>
      <c r="B931" s="14"/>
    </row>
    <row r="932">
      <c r="A932" s="14"/>
      <c r="B932" s="14"/>
    </row>
    <row r="933">
      <c r="A933" s="14"/>
      <c r="B933" s="14"/>
    </row>
    <row r="934">
      <c r="A934" s="14"/>
      <c r="B934" s="14"/>
    </row>
    <row r="935">
      <c r="A935" s="14"/>
      <c r="B935" s="14"/>
    </row>
    <row r="936">
      <c r="A936" s="14"/>
      <c r="B936" s="14"/>
    </row>
    <row r="937">
      <c r="A937" s="14"/>
      <c r="B937" s="14"/>
    </row>
    <row r="938">
      <c r="A938" s="14"/>
      <c r="B938" s="14"/>
    </row>
    <row r="939">
      <c r="A939" s="14"/>
      <c r="B939" s="14"/>
    </row>
    <row r="940">
      <c r="A940" s="14"/>
      <c r="B940" s="14"/>
    </row>
    <row r="941">
      <c r="A941" s="14"/>
      <c r="B941" s="14"/>
    </row>
    <row r="942">
      <c r="A942" s="14"/>
      <c r="B942" s="14"/>
    </row>
    <row r="943">
      <c r="A943" s="14"/>
      <c r="B943" s="14"/>
    </row>
    <row r="944">
      <c r="A944" s="14"/>
      <c r="B944" s="14"/>
    </row>
    <row r="945">
      <c r="A945" s="14"/>
      <c r="B945" s="14"/>
    </row>
    <row r="946">
      <c r="A946" s="14"/>
      <c r="B946" s="14"/>
    </row>
    <row r="947">
      <c r="A947" s="14"/>
      <c r="B947" s="14"/>
    </row>
    <row r="948">
      <c r="A948" s="14"/>
      <c r="B948" s="14"/>
    </row>
    <row r="949">
      <c r="A949" s="14"/>
      <c r="B949" s="14"/>
    </row>
    <row r="950">
      <c r="A950" s="14"/>
      <c r="B950" s="14"/>
    </row>
    <row r="951">
      <c r="A951" s="14"/>
      <c r="B951" s="14"/>
    </row>
    <row r="952">
      <c r="A952" s="14"/>
      <c r="B952" s="14"/>
    </row>
    <row r="953">
      <c r="A953" s="14"/>
      <c r="B953" s="14"/>
    </row>
    <row r="954">
      <c r="A954" s="14"/>
      <c r="B954" s="14"/>
    </row>
    <row r="955">
      <c r="A955" s="14"/>
      <c r="B955" s="14"/>
    </row>
    <row r="956">
      <c r="A956" s="14"/>
      <c r="B956" s="14"/>
    </row>
    <row r="957">
      <c r="A957" s="14"/>
      <c r="B957" s="14"/>
    </row>
    <row r="958">
      <c r="A958" s="14"/>
      <c r="B958" s="14"/>
    </row>
    <row r="959">
      <c r="A959" s="14"/>
      <c r="B959" s="14"/>
    </row>
    <row r="960">
      <c r="A960" s="14"/>
      <c r="B960" s="14"/>
    </row>
    <row r="961">
      <c r="A961" s="14"/>
      <c r="B961" s="14"/>
    </row>
    <row r="962">
      <c r="A962" s="14"/>
      <c r="B962" s="14"/>
    </row>
    <row r="963">
      <c r="A963" s="14"/>
      <c r="B963" s="14"/>
    </row>
    <row r="964">
      <c r="A964" s="14"/>
      <c r="B964" s="14"/>
    </row>
    <row r="965">
      <c r="A965" s="14"/>
      <c r="B965" s="14"/>
    </row>
    <row r="966">
      <c r="A966" s="14"/>
      <c r="B966" s="14"/>
    </row>
    <row r="967">
      <c r="A967" s="14"/>
      <c r="B967" s="14"/>
    </row>
    <row r="968">
      <c r="A968" s="14"/>
      <c r="B968" s="14"/>
    </row>
    <row r="969">
      <c r="A969" s="14"/>
      <c r="B969" s="14"/>
    </row>
    <row r="970">
      <c r="A970" s="14"/>
      <c r="B970" s="14"/>
    </row>
    <row r="971">
      <c r="A971" s="14"/>
      <c r="B971" s="14"/>
    </row>
    <row r="972">
      <c r="A972" s="14"/>
      <c r="B972" s="14"/>
    </row>
    <row r="973">
      <c r="A973" s="14"/>
      <c r="B973" s="14"/>
    </row>
    <row r="974">
      <c r="A974" s="14"/>
      <c r="B974" s="14"/>
    </row>
    <row r="975">
      <c r="A975" s="14"/>
      <c r="B975" s="14"/>
    </row>
    <row r="976">
      <c r="A976" s="14"/>
      <c r="B976" s="14"/>
    </row>
    <row r="977">
      <c r="A977" s="14"/>
      <c r="B977" s="14"/>
    </row>
    <row r="978">
      <c r="A978" s="14"/>
      <c r="B978" s="14"/>
    </row>
    <row r="979">
      <c r="A979" s="14"/>
      <c r="B979" s="14"/>
    </row>
    <row r="980">
      <c r="A980" s="14"/>
      <c r="B980" s="14"/>
    </row>
    <row r="981">
      <c r="A981" s="14"/>
      <c r="B981" s="14"/>
    </row>
    <row r="982">
      <c r="A982" s="14"/>
      <c r="B982" s="14"/>
    </row>
    <row r="983">
      <c r="A983" s="14"/>
      <c r="B983" s="14"/>
    </row>
    <row r="984">
      <c r="A984" s="14"/>
      <c r="B984" s="14"/>
    </row>
    <row r="985">
      <c r="A985" s="14"/>
      <c r="B985" s="14"/>
    </row>
    <row r="986">
      <c r="A986" s="14"/>
      <c r="B986" s="14"/>
    </row>
    <row r="987">
      <c r="A987" s="14"/>
      <c r="B987" s="14"/>
    </row>
    <row r="988">
      <c r="A988" s="14"/>
      <c r="B988" s="14"/>
    </row>
    <row r="989">
      <c r="A989" s="14"/>
      <c r="B989" s="14"/>
    </row>
    <row r="990">
      <c r="A990" s="14"/>
      <c r="B990" s="14"/>
    </row>
    <row r="991">
      <c r="A991" s="14"/>
      <c r="B991" s="14"/>
    </row>
    <row r="992">
      <c r="A992" s="14"/>
      <c r="B992" s="14"/>
    </row>
    <row r="993">
      <c r="A993" s="14"/>
      <c r="B993" s="14"/>
    </row>
    <row r="994">
      <c r="A994" s="14"/>
      <c r="B994" s="14"/>
    </row>
    <row r="995">
      <c r="A995" s="14"/>
      <c r="B995" s="14"/>
    </row>
    <row r="996">
      <c r="A996" s="14"/>
      <c r="B996" s="14"/>
    </row>
    <row r="997">
      <c r="A997" s="14"/>
      <c r="B997" s="14"/>
    </row>
    <row r="998">
      <c r="A998" s="14"/>
      <c r="B998" s="14"/>
    </row>
    <row r="999">
      <c r="A999" s="14"/>
      <c r="B999" s="14"/>
    </row>
    <row r="1000">
      <c r="A1000" s="14"/>
      <c r="B1000" s="14"/>
    </row>
  </sheetData>
  <mergeCells count="6">
    <mergeCell ref="A2:A3"/>
    <mergeCell ref="B2:B3"/>
    <mergeCell ref="C2:C3"/>
    <mergeCell ref="D2:K2"/>
    <mergeCell ref="L2:L3"/>
    <mergeCell ref="A98:K9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15.13"/>
    <col customWidth="1" min="3" max="3" width="29.0"/>
  </cols>
  <sheetData>
    <row r="1">
      <c r="A1" s="34" t="s">
        <v>127</v>
      </c>
      <c r="B1" s="35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>
      <c r="A2" s="35"/>
      <c r="B2" s="35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15" t="s">
        <v>0</v>
      </c>
      <c r="B3" s="15" t="s">
        <v>128</v>
      </c>
      <c r="C3" s="15" t="s">
        <v>2</v>
      </c>
      <c r="D3" s="37" t="s">
        <v>129</v>
      </c>
      <c r="E3" s="17"/>
      <c r="F3" s="17"/>
      <c r="G3" s="17"/>
      <c r="H3" s="17"/>
      <c r="I3" s="17"/>
      <c r="J3" s="17"/>
      <c r="K3" s="18"/>
      <c r="L3" s="38" t="s">
        <v>117</v>
      </c>
      <c r="M3" s="38" t="s">
        <v>130</v>
      </c>
      <c r="N3" s="15" t="s">
        <v>47</v>
      </c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19"/>
      <c r="B4" s="19"/>
      <c r="C4" s="19"/>
      <c r="D4" s="20" t="s">
        <v>118</v>
      </c>
      <c r="E4" s="20" t="s">
        <v>119</v>
      </c>
      <c r="F4" s="20" t="s">
        <v>120</v>
      </c>
      <c r="G4" s="20" t="s">
        <v>121</v>
      </c>
      <c r="H4" s="20" t="s">
        <v>122</v>
      </c>
      <c r="I4" s="20" t="s">
        <v>123</v>
      </c>
      <c r="J4" s="20" t="s">
        <v>124</v>
      </c>
      <c r="K4" s="20" t="s">
        <v>125</v>
      </c>
      <c r="L4" s="39">
        <v>0.5</v>
      </c>
      <c r="M4" s="39">
        <v>0.5</v>
      </c>
      <c r="N4" s="19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21">
        <f>'INPUT DAFTAR PESERTA'!A4</f>
        <v>1</v>
      </c>
      <c r="B5" s="21">
        <f>'INPUT DAFTAR PESERTA'!B4</f>
        <v>2109046048</v>
      </c>
      <c r="C5" s="40" t="str">
        <f>'INPUT DAFTAR PESERTA'!C4</f>
        <v>Rafif Fitriansyah Nasution</v>
      </c>
      <c r="D5" s="26">
        <v>80.0</v>
      </c>
      <c r="E5" s="26">
        <v>71.0</v>
      </c>
      <c r="F5" s="26">
        <v>79.0</v>
      </c>
      <c r="G5" s="26">
        <v>94.0</v>
      </c>
      <c r="H5" s="26">
        <v>95.0</v>
      </c>
      <c r="I5" s="26">
        <v>36.0</v>
      </c>
      <c r="J5" s="26">
        <v>87.0</v>
      </c>
      <c r="K5" s="26">
        <v>0.0</v>
      </c>
      <c r="L5" s="41">
        <f t="shared" ref="L5:L98" si="1">(D5+E5+F5+G5+H5+I5+J5+K5)/8</f>
        <v>67.75</v>
      </c>
      <c r="M5" s="41">
        <f>'LAPORAN RESMI'!L4</f>
        <v>82.375</v>
      </c>
      <c r="N5" s="41">
        <f t="shared" ref="N5:N98" si="2">(L5*$L$4)+(M5*$M$4)</f>
        <v>75.0625</v>
      </c>
      <c r="O5" s="35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21">
        <f>'INPUT DAFTAR PESERTA'!A5</f>
        <v>2</v>
      </c>
      <c r="B6" s="21">
        <f>'INPUT DAFTAR PESERTA'!B5</f>
        <v>2109046053</v>
      </c>
      <c r="C6" s="40" t="str">
        <f>'INPUT DAFTAR PESERTA'!C5</f>
        <v>Muhamaad Rizky Ramdani</v>
      </c>
      <c r="D6" s="26">
        <v>83.0</v>
      </c>
      <c r="E6" s="26">
        <v>46.0</v>
      </c>
      <c r="F6" s="26">
        <v>49.0</v>
      </c>
      <c r="G6" s="26">
        <v>94.0</v>
      </c>
      <c r="H6" s="26">
        <v>90.0</v>
      </c>
      <c r="I6" s="26">
        <v>24.0</v>
      </c>
      <c r="J6" s="26">
        <v>55.0</v>
      </c>
      <c r="K6" s="26">
        <v>0.0</v>
      </c>
      <c r="L6" s="41">
        <f t="shared" si="1"/>
        <v>55.125</v>
      </c>
      <c r="M6" s="41">
        <f>'LAPORAN RESMI'!L5</f>
        <v>71.875</v>
      </c>
      <c r="N6" s="41">
        <f t="shared" si="2"/>
        <v>63.5</v>
      </c>
      <c r="O6" s="35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21">
        <f>'INPUT DAFTAR PESERTA'!A6</f>
        <v>3</v>
      </c>
      <c r="B7" s="21">
        <f>'INPUT DAFTAR PESERTA'!B6</f>
        <v>2409046015</v>
      </c>
      <c r="C7" s="40" t="str">
        <f>'INPUT DAFTAR PESERTA'!C6</f>
        <v>Nur Fadillah Septadi</v>
      </c>
      <c r="D7" s="26">
        <v>67.0</v>
      </c>
      <c r="E7" s="26">
        <v>72.0</v>
      </c>
      <c r="F7" s="26">
        <v>80.0</v>
      </c>
      <c r="G7" s="26">
        <v>93.0</v>
      </c>
      <c r="H7" s="26">
        <v>92.0</v>
      </c>
      <c r="I7" s="26">
        <v>45.0</v>
      </c>
      <c r="J7" s="26">
        <v>57.0</v>
      </c>
      <c r="K7" s="26">
        <v>0.0</v>
      </c>
      <c r="L7" s="41">
        <f t="shared" si="1"/>
        <v>63.25</v>
      </c>
      <c r="M7" s="41">
        <f>'LAPORAN RESMI'!L6</f>
        <v>69.875</v>
      </c>
      <c r="N7" s="41">
        <f t="shared" si="2"/>
        <v>66.5625</v>
      </c>
      <c r="O7" s="35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21">
        <f>'INPUT DAFTAR PESERTA'!A7</f>
        <v>4</v>
      </c>
      <c r="B8" s="21">
        <f>'INPUT DAFTAR PESERTA'!B7</f>
        <v>2409046026</v>
      </c>
      <c r="C8" s="40" t="str">
        <f>'INPUT DAFTAR PESERTA'!C7</f>
        <v>Aisha Aqmarina Fathiyya Hawwa</v>
      </c>
      <c r="D8" s="26">
        <v>98.0</v>
      </c>
      <c r="E8" s="26">
        <v>82.0</v>
      </c>
      <c r="F8" s="26">
        <v>46.0</v>
      </c>
      <c r="G8" s="26">
        <v>65.0</v>
      </c>
      <c r="H8" s="26">
        <v>40.0</v>
      </c>
      <c r="I8" s="26">
        <v>50.0</v>
      </c>
      <c r="J8" s="26">
        <v>0.0</v>
      </c>
      <c r="K8" s="26">
        <v>90.0</v>
      </c>
      <c r="L8" s="41">
        <f t="shared" si="1"/>
        <v>58.875</v>
      </c>
      <c r="M8" s="41">
        <f>'LAPORAN RESMI'!L7</f>
        <v>78.5</v>
      </c>
      <c r="N8" s="41">
        <f t="shared" si="2"/>
        <v>68.6875</v>
      </c>
      <c r="O8" s="35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21">
        <f>'INPUT DAFTAR PESERTA'!A8</f>
        <v>5</v>
      </c>
      <c r="B9" s="21">
        <f>'INPUT DAFTAR PESERTA'!B8</f>
        <v>2409046027</v>
      </c>
      <c r="C9" s="40" t="str">
        <f>'INPUT DAFTAR PESERTA'!C8</f>
        <v>Faykar Alfarisi Armadani</v>
      </c>
      <c r="D9" s="26">
        <v>29.0</v>
      </c>
      <c r="E9" s="26">
        <v>69.0</v>
      </c>
      <c r="F9" s="42">
        <v>63.0</v>
      </c>
      <c r="G9" s="26">
        <v>65.0</v>
      </c>
      <c r="H9" s="26">
        <v>80.0</v>
      </c>
      <c r="I9" s="26">
        <v>36.0</v>
      </c>
      <c r="J9" s="26">
        <v>80.0</v>
      </c>
      <c r="K9" s="26">
        <v>47.0</v>
      </c>
      <c r="L9" s="41">
        <f t="shared" si="1"/>
        <v>58.625</v>
      </c>
      <c r="M9" s="41">
        <f>'LAPORAN RESMI'!L8</f>
        <v>80.5</v>
      </c>
      <c r="N9" s="41">
        <f t="shared" si="2"/>
        <v>69.5625</v>
      </c>
      <c r="O9" s="35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21">
        <f>'INPUT DAFTAR PESERTA'!A9</f>
        <v>6</v>
      </c>
      <c r="B10" s="21">
        <f>'INPUT DAFTAR PESERTA'!B9</f>
        <v>2409046034</v>
      </c>
      <c r="C10" s="40" t="str">
        <f>'INPUT DAFTAR PESERTA'!C9</f>
        <v>Annisa Nurdin</v>
      </c>
      <c r="D10" s="26">
        <v>41.5</v>
      </c>
      <c r="E10" s="26">
        <v>85.0</v>
      </c>
      <c r="F10" s="26">
        <v>96.0</v>
      </c>
      <c r="G10" s="26">
        <v>96.0</v>
      </c>
      <c r="H10" s="26">
        <v>97.0</v>
      </c>
      <c r="I10" s="26">
        <v>30.0</v>
      </c>
      <c r="J10" s="26">
        <v>0.0</v>
      </c>
      <c r="K10" s="26">
        <v>0.0</v>
      </c>
      <c r="L10" s="41">
        <f t="shared" si="1"/>
        <v>55.6875</v>
      </c>
      <c r="M10" s="41">
        <f>'LAPORAN RESMI'!L9</f>
        <v>76.3125</v>
      </c>
      <c r="N10" s="41">
        <f t="shared" si="2"/>
        <v>66</v>
      </c>
      <c r="O10" s="35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21">
        <f>'INPUT DAFTAR PESERTA'!A10</f>
        <v>7</v>
      </c>
      <c r="B11" s="21">
        <f>'INPUT DAFTAR PESERTA'!B10</f>
        <v>2409046042</v>
      </c>
      <c r="C11" s="40" t="str">
        <f>'INPUT DAFTAR PESERTA'!C10</f>
        <v>Aflahal Aula</v>
      </c>
      <c r="D11" s="26">
        <v>45.5</v>
      </c>
      <c r="E11" s="26">
        <v>53.0</v>
      </c>
      <c r="F11" s="26">
        <v>89.0</v>
      </c>
      <c r="G11" s="26">
        <v>91.0</v>
      </c>
      <c r="H11" s="26">
        <v>98.0</v>
      </c>
      <c r="I11" s="26">
        <v>39.0</v>
      </c>
      <c r="J11" s="26">
        <v>85.0</v>
      </c>
      <c r="K11" s="26">
        <v>70.0</v>
      </c>
      <c r="L11" s="41">
        <f t="shared" si="1"/>
        <v>71.3125</v>
      </c>
      <c r="M11" s="41">
        <f>'LAPORAN RESMI'!L10</f>
        <v>79.3125</v>
      </c>
      <c r="N11" s="41">
        <f t="shared" si="2"/>
        <v>75.3125</v>
      </c>
      <c r="O11" s="35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21">
        <f>'INPUT DAFTAR PESERTA'!A11</f>
        <v>8</v>
      </c>
      <c r="B12" s="21">
        <f>'INPUT DAFTAR PESERTA'!B11</f>
        <v>2409046045</v>
      </c>
      <c r="C12" s="40" t="str">
        <f>'INPUT DAFTAR PESERTA'!C11</f>
        <v>Jofan Ananda Sulle</v>
      </c>
      <c r="D12" s="26">
        <v>46.0</v>
      </c>
      <c r="E12" s="26">
        <v>78.0</v>
      </c>
      <c r="F12" s="26">
        <v>92.0</v>
      </c>
      <c r="G12" s="26">
        <v>90.0</v>
      </c>
      <c r="H12" s="26">
        <v>97.0</v>
      </c>
      <c r="I12" s="26">
        <v>31.0</v>
      </c>
      <c r="J12" s="26">
        <v>84.0</v>
      </c>
      <c r="K12" s="26">
        <v>0.0</v>
      </c>
      <c r="L12" s="41">
        <f t="shared" si="1"/>
        <v>64.75</v>
      </c>
      <c r="M12" s="41">
        <f>'LAPORAN RESMI'!L11</f>
        <v>81.625</v>
      </c>
      <c r="N12" s="41">
        <f t="shared" si="2"/>
        <v>73.1875</v>
      </c>
      <c r="O12" s="35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21">
        <f>'INPUT DAFTAR PESERTA'!A12</f>
        <v>9</v>
      </c>
      <c r="B13" s="21">
        <f>'INPUT DAFTAR PESERTA'!B12</f>
        <v>2409046046</v>
      </c>
      <c r="C13" s="40" t="str">
        <f>'INPUT DAFTAR PESERTA'!C12</f>
        <v>Muhammad Ananda Harisyah Putra</v>
      </c>
      <c r="D13" s="26">
        <v>75.0</v>
      </c>
      <c r="E13" s="26">
        <v>83.0</v>
      </c>
      <c r="F13" s="26">
        <v>77.0</v>
      </c>
      <c r="G13" s="26">
        <v>93.0</v>
      </c>
      <c r="H13" s="26">
        <v>93.0</v>
      </c>
      <c r="I13" s="26">
        <v>44.0</v>
      </c>
      <c r="J13" s="26">
        <v>83.0</v>
      </c>
      <c r="K13" s="26">
        <v>58.0</v>
      </c>
      <c r="L13" s="41">
        <f t="shared" si="1"/>
        <v>75.75</v>
      </c>
      <c r="M13" s="41">
        <f>'LAPORAN RESMI'!L12</f>
        <v>86.625</v>
      </c>
      <c r="N13" s="41">
        <f t="shared" si="2"/>
        <v>81.1875</v>
      </c>
      <c r="O13" s="35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21">
        <f>'INPUT DAFTAR PESERTA'!A13</f>
        <v>10</v>
      </c>
      <c r="B14" s="21">
        <f>'INPUT DAFTAR PESERTA'!B13</f>
        <v>2409046048</v>
      </c>
      <c r="C14" s="40" t="str">
        <f>'INPUT DAFTAR PESERTA'!C13</f>
        <v>Zaid Iman At-Tamam</v>
      </c>
      <c r="D14" s="26">
        <v>57.0</v>
      </c>
      <c r="E14" s="26">
        <v>60.0</v>
      </c>
      <c r="F14" s="26">
        <v>43.0</v>
      </c>
      <c r="G14" s="26">
        <v>68.0</v>
      </c>
      <c r="H14" s="26">
        <v>86.0</v>
      </c>
      <c r="I14" s="26">
        <v>29.0</v>
      </c>
      <c r="J14" s="26">
        <v>68.0</v>
      </c>
      <c r="K14" s="26">
        <v>0.0</v>
      </c>
      <c r="L14" s="41">
        <f t="shared" si="1"/>
        <v>51.375</v>
      </c>
      <c r="M14" s="41">
        <f>'LAPORAN RESMI'!L13</f>
        <v>74.625</v>
      </c>
      <c r="N14" s="41">
        <f t="shared" si="2"/>
        <v>63</v>
      </c>
      <c r="O14" s="35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21">
        <f>'INPUT DAFTAR PESERTA'!A14</f>
        <v>11</v>
      </c>
      <c r="B15" s="21">
        <f>'INPUT DAFTAR PESERTA'!B14</f>
        <v>2409046050</v>
      </c>
      <c r="C15" s="40" t="str">
        <f>'INPUT DAFTAR PESERTA'!C14</f>
        <v>Fachri Zia Pasha</v>
      </c>
      <c r="D15" s="26">
        <v>67.0</v>
      </c>
      <c r="E15" s="26">
        <v>78.0</v>
      </c>
      <c r="F15" s="26">
        <v>88.0</v>
      </c>
      <c r="G15" s="26">
        <v>95.0</v>
      </c>
      <c r="H15" s="26">
        <v>88.0</v>
      </c>
      <c r="I15" s="26">
        <v>27.0</v>
      </c>
      <c r="J15" s="26">
        <v>75.0</v>
      </c>
      <c r="K15" s="26">
        <v>45.0</v>
      </c>
      <c r="L15" s="41">
        <f t="shared" si="1"/>
        <v>70.375</v>
      </c>
      <c r="M15" s="41">
        <f>'LAPORAN RESMI'!L14</f>
        <v>80.625</v>
      </c>
      <c r="N15" s="41">
        <f t="shared" si="2"/>
        <v>75.5</v>
      </c>
      <c r="O15" s="35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21">
        <f>'INPUT DAFTAR PESERTA'!A15</f>
        <v>12</v>
      </c>
      <c r="B16" s="21">
        <f>'INPUT DAFTAR PESERTA'!B15</f>
        <v>2409046051</v>
      </c>
      <c r="C16" s="40" t="str">
        <f>'INPUT DAFTAR PESERTA'!C15</f>
        <v>Aziffa Reisazalea</v>
      </c>
      <c r="D16" s="26">
        <v>80.0</v>
      </c>
      <c r="E16" s="26">
        <v>82.0</v>
      </c>
      <c r="F16" s="26">
        <v>89.0</v>
      </c>
      <c r="G16" s="26">
        <v>91.0</v>
      </c>
      <c r="H16" s="26">
        <v>93.0</v>
      </c>
      <c r="I16" s="26">
        <v>57.0</v>
      </c>
      <c r="J16" s="26">
        <v>81.0</v>
      </c>
      <c r="K16" s="26">
        <v>48.0</v>
      </c>
      <c r="L16" s="41">
        <f t="shared" si="1"/>
        <v>77.625</v>
      </c>
      <c r="M16" s="41">
        <f>'LAPORAN RESMI'!L15</f>
        <v>89.5</v>
      </c>
      <c r="N16" s="41">
        <f t="shared" si="2"/>
        <v>83.5625</v>
      </c>
      <c r="O16" s="35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21">
        <f>'INPUT DAFTAR PESERTA'!A16</f>
        <v>13</v>
      </c>
      <c r="B17" s="21">
        <f>'INPUT DAFTAR PESERTA'!B16</f>
        <v>2409046054</v>
      </c>
      <c r="C17" s="40" t="str">
        <f>'INPUT DAFTAR PESERTA'!C16</f>
        <v>Suci Andra Pramitha</v>
      </c>
      <c r="D17" s="26">
        <v>0.0</v>
      </c>
      <c r="E17" s="26">
        <v>0.0</v>
      </c>
      <c r="F17" s="26">
        <v>0.0</v>
      </c>
      <c r="G17" s="26">
        <v>79.0</v>
      </c>
      <c r="H17" s="26">
        <v>75.0</v>
      </c>
      <c r="I17" s="26">
        <v>74.0</v>
      </c>
      <c r="J17" s="26">
        <v>90.0</v>
      </c>
      <c r="K17" s="26">
        <v>0.0</v>
      </c>
      <c r="L17" s="41">
        <f t="shared" si="1"/>
        <v>39.75</v>
      </c>
      <c r="M17" s="41">
        <f>'LAPORAN RESMI'!L16</f>
        <v>63.5</v>
      </c>
      <c r="N17" s="41">
        <f t="shared" si="2"/>
        <v>51.625</v>
      </c>
      <c r="O17" s="35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21">
        <f>'INPUT DAFTAR PESERTA'!A17</f>
        <v>14</v>
      </c>
      <c r="B18" s="21">
        <f>'INPUT DAFTAR PESERTA'!B17</f>
        <v>2409046056</v>
      </c>
      <c r="C18" s="40" t="str">
        <f>'INPUT DAFTAR PESERTA'!C17</f>
        <v>Reira Praditha</v>
      </c>
      <c r="D18" s="26">
        <v>88.0</v>
      </c>
      <c r="E18" s="26">
        <v>86.0</v>
      </c>
      <c r="F18" s="26">
        <v>56.0</v>
      </c>
      <c r="G18" s="26">
        <v>96.0</v>
      </c>
      <c r="H18" s="26">
        <v>99.0</v>
      </c>
      <c r="I18" s="26">
        <v>55.0</v>
      </c>
      <c r="J18" s="26">
        <v>41.0</v>
      </c>
      <c r="K18" s="26">
        <v>75.0</v>
      </c>
      <c r="L18" s="41">
        <f t="shared" si="1"/>
        <v>74.5</v>
      </c>
      <c r="M18" s="41">
        <f>'LAPORAN RESMI'!L17</f>
        <v>79.625</v>
      </c>
      <c r="N18" s="41">
        <f t="shared" si="2"/>
        <v>77.0625</v>
      </c>
      <c r="O18" s="35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21">
        <f>'INPUT DAFTAR PESERTA'!A18</f>
        <v>15</v>
      </c>
      <c r="B19" s="21">
        <f>'INPUT DAFTAR PESERTA'!B18</f>
        <v>2409046060</v>
      </c>
      <c r="C19" s="40" t="str">
        <f>'INPUT DAFTAR PESERTA'!C18</f>
        <v>Ainaya Salsabila</v>
      </c>
      <c r="D19" s="26">
        <v>90.0</v>
      </c>
      <c r="E19" s="26">
        <v>80.0</v>
      </c>
      <c r="F19" s="26">
        <v>90.0</v>
      </c>
      <c r="G19" s="26">
        <v>95.0</v>
      </c>
      <c r="H19" s="26">
        <v>99.0</v>
      </c>
      <c r="I19" s="26">
        <v>52.0</v>
      </c>
      <c r="J19" s="26">
        <v>96.0</v>
      </c>
      <c r="K19" s="26">
        <v>41.0</v>
      </c>
      <c r="L19" s="41">
        <f t="shared" si="1"/>
        <v>80.375</v>
      </c>
      <c r="M19" s="41">
        <f>'LAPORAN RESMI'!L18</f>
        <v>87.5</v>
      </c>
      <c r="N19" s="41">
        <f t="shared" si="2"/>
        <v>83.9375</v>
      </c>
      <c r="O19" s="35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21">
        <f>'INPUT DAFTAR PESERTA'!A19</f>
        <v>16</v>
      </c>
      <c r="B20" s="21">
        <f>'INPUT DAFTAR PESERTA'!B19</f>
        <v>2504096069</v>
      </c>
      <c r="C20" s="40" t="str">
        <f>'INPUT DAFTAR PESERTA'!C19</f>
        <v>Hafidz Ihsan Izzuddin</v>
      </c>
      <c r="D20" s="26">
        <v>42.0</v>
      </c>
      <c r="E20" s="26">
        <v>0.0</v>
      </c>
      <c r="F20" s="26">
        <v>35.0</v>
      </c>
      <c r="G20" s="26">
        <v>39.0</v>
      </c>
      <c r="H20" s="26">
        <v>0.0</v>
      </c>
      <c r="I20" s="26">
        <v>30.0</v>
      </c>
      <c r="J20" s="26">
        <v>0.0</v>
      </c>
      <c r="K20" s="26">
        <v>0.0</v>
      </c>
      <c r="L20" s="41">
        <f t="shared" si="1"/>
        <v>18.25</v>
      </c>
      <c r="M20" s="41">
        <f>'LAPORAN RESMI'!L19</f>
        <v>0</v>
      </c>
      <c r="N20" s="41">
        <f t="shared" si="2"/>
        <v>9.125</v>
      </c>
      <c r="O20" s="35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>
      <c r="A21" s="21">
        <f>'INPUT DAFTAR PESERTA'!A20</f>
        <v>17</v>
      </c>
      <c r="B21" s="21">
        <f>'INPUT DAFTAR PESERTA'!B20</f>
        <v>2509046001</v>
      </c>
      <c r="C21" s="40" t="str">
        <f>'INPUT DAFTAR PESERTA'!C20</f>
        <v>Nurman Dwi Prasetyo</v>
      </c>
      <c r="D21" s="26">
        <v>23.0</v>
      </c>
      <c r="E21" s="26">
        <v>38.0</v>
      </c>
      <c r="F21" s="26">
        <v>34.0</v>
      </c>
      <c r="G21" s="26">
        <v>76.0</v>
      </c>
      <c r="H21" s="26">
        <v>0.0</v>
      </c>
      <c r="I21" s="26">
        <v>40.0</v>
      </c>
      <c r="J21" s="26">
        <v>0.0</v>
      </c>
      <c r="K21" s="26">
        <v>50.0</v>
      </c>
      <c r="L21" s="41">
        <f t="shared" si="1"/>
        <v>32.625</v>
      </c>
      <c r="M21" s="41">
        <f>'LAPORAN RESMI'!L20</f>
        <v>79.125</v>
      </c>
      <c r="N21" s="41">
        <f t="shared" si="2"/>
        <v>55.875</v>
      </c>
      <c r="O21" s="35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>
      <c r="A22" s="21">
        <f>'INPUT DAFTAR PESERTA'!A21</f>
        <v>18</v>
      </c>
      <c r="B22" s="21">
        <f>'INPUT DAFTAR PESERTA'!B21</f>
        <v>2509046002</v>
      </c>
      <c r="C22" s="40" t="str">
        <f>'INPUT DAFTAR PESERTA'!C21</f>
        <v>Farid Akmal</v>
      </c>
      <c r="D22" s="26">
        <v>68.0</v>
      </c>
      <c r="E22" s="26">
        <v>76.0</v>
      </c>
      <c r="F22" s="26">
        <v>62.0</v>
      </c>
      <c r="G22" s="26">
        <v>69.0</v>
      </c>
      <c r="H22" s="26">
        <v>0.0</v>
      </c>
      <c r="I22" s="26">
        <v>72.0</v>
      </c>
      <c r="J22" s="26">
        <v>67.0</v>
      </c>
      <c r="K22" s="26">
        <v>80.0</v>
      </c>
      <c r="L22" s="41">
        <f t="shared" si="1"/>
        <v>61.75</v>
      </c>
      <c r="M22" s="41">
        <f>'LAPORAN RESMI'!L21</f>
        <v>91.75</v>
      </c>
      <c r="N22" s="41">
        <f t="shared" si="2"/>
        <v>76.75</v>
      </c>
      <c r="O22" s="35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>
      <c r="A23" s="21">
        <f>'INPUT DAFTAR PESERTA'!A22</f>
        <v>19</v>
      </c>
      <c r="B23" s="21">
        <f>'INPUT DAFTAR PESERTA'!B22</f>
        <v>2509046003</v>
      </c>
      <c r="C23" s="40" t="str">
        <f>'INPUT DAFTAR PESERTA'!C22</f>
        <v>Azzahra Tusitha</v>
      </c>
      <c r="D23" s="26">
        <v>77.0</v>
      </c>
      <c r="E23" s="26">
        <v>91.0</v>
      </c>
      <c r="F23" s="26">
        <v>95.0</v>
      </c>
      <c r="G23" s="26">
        <v>94.0</v>
      </c>
      <c r="H23" s="26">
        <v>0.0</v>
      </c>
      <c r="I23" s="26">
        <v>42.0</v>
      </c>
      <c r="J23" s="26">
        <v>80.0</v>
      </c>
      <c r="K23" s="26">
        <v>85.0</v>
      </c>
      <c r="L23" s="41">
        <f t="shared" si="1"/>
        <v>70.5</v>
      </c>
      <c r="M23" s="41">
        <f>'LAPORAN RESMI'!L22</f>
        <v>94.5</v>
      </c>
      <c r="N23" s="41">
        <f t="shared" si="2"/>
        <v>82.5</v>
      </c>
      <c r="O23" s="35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>
      <c r="A24" s="21">
        <f>'INPUT DAFTAR PESERTA'!A23</f>
        <v>20</v>
      </c>
      <c r="B24" s="21">
        <f>'INPUT DAFTAR PESERTA'!B23</f>
        <v>2509046004</v>
      </c>
      <c r="C24" s="40" t="str">
        <f>'INPUT DAFTAR PESERTA'!C23</f>
        <v>Ahmadia Syarifah Lauradinta</v>
      </c>
      <c r="D24" s="26">
        <v>28.0</v>
      </c>
      <c r="E24" s="26">
        <v>75.0</v>
      </c>
      <c r="F24" s="26">
        <v>20.0</v>
      </c>
      <c r="G24" s="26">
        <v>34.0</v>
      </c>
      <c r="H24" s="26">
        <v>45.0</v>
      </c>
      <c r="I24" s="26">
        <v>40.0</v>
      </c>
      <c r="J24" s="26">
        <v>0.0</v>
      </c>
      <c r="K24" s="26">
        <v>0.0</v>
      </c>
      <c r="L24" s="41">
        <f t="shared" si="1"/>
        <v>30.25</v>
      </c>
      <c r="M24" s="41">
        <f>'LAPORAN RESMI'!L23</f>
        <v>81.375</v>
      </c>
      <c r="N24" s="41">
        <f t="shared" si="2"/>
        <v>55.8125</v>
      </c>
      <c r="O24" s="35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>
      <c r="A25" s="21">
        <f>'INPUT DAFTAR PESERTA'!A24</f>
        <v>21</v>
      </c>
      <c r="B25" s="21">
        <f>'INPUT DAFTAR PESERTA'!B24</f>
        <v>2509046005</v>
      </c>
      <c r="C25" s="40" t="str">
        <f>'INPUT DAFTAR PESERTA'!C24</f>
        <v>Seysa Puji Annura</v>
      </c>
      <c r="D25" s="26">
        <v>0.0</v>
      </c>
      <c r="E25" s="26">
        <v>56.5</v>
      </c>
      <c r="F25" s="26">
        <v>40.0</v>
      </c>
      <c r="G25" s="26">
        <v>23.0</v>
      </c>
      <c r="H25" s="26">
        <v>23.0</v>
      </c>
      <c r="I25" s="26">
        <v>10.0</v>
      </c>
      <c r="J25" s="26">
        <v>0.0</v>
      </c>
      <c r="K25" s="26">
        <v>0.0</v>
      </c>
      <c r="L25" s="41">
        <f t="shared" si="1"/>
        <v>19.0625</v>
      </c>
      <c r="M25" s="41">
        <f>'LAPORAN RESMI'!L24</f>
        <v>69.125</v>
      </c>
      <c r="N25" s="41">
        <f t="shared" si="2"/>
        <v>44.09375</v>
      </c>
      <c r="O25" s="35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>
      <c r="A26" s="21">
        <f>'INPUT DAFTAR PESERTA'!A25</f>
        <v>22</v>
      </c>
      <c r="B26" s="21">
        <f>'INPUT DAFTAR PESERTA'!B25</f>
        <v>2509046006</v>
      </c>
      <c r="C26" s="40" t="str">
        <f>'INPUT DAFTAR PESERTA'!C25</f>
        <v>Gita Ramadhani Supriyadi</v>
      </c>
      <c r="D26" s="26">
        <v>0.0</v>
      </c>
      <c r="E26" s="26">
        <v>0.0</v>
      </c>
      <c r="F26" s="26">
        <v>0.0</v>
      </c>
      <c r="G26" s="26">
        <v>0.0</v>
      </c>
      <c r="H26" s="26">
        <v>0.0</v>
      </c>
      <c r="I26" s="26">
        <v>0.0</v>
      </c>
      <c r="J26" s="26">
        <v>0.0</v>
      </c>
      <c r="K26" s="26">
        <v>0.0</v>
      </c>
      <c r="L26" s="41">
        <f t="shared" si="1"/>
        <v>0</v>
      </c>
      <c r="M26" s="41">
        <f>'LAPORAN RESMI'!L25</f>
        <v>0</v>
      </c>
      <c r="N26" s="41">
        <f t="shared" si="2"/>
        <v>0</v>
      </c>
      <c r="O26" s="35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>
      <c r="A27" s="21">
        <f>'INPUT DAFTAR PESERTA'!A26</f>
        <v>23</v>
      </c>
      <c r="B27" s="21">
        <f>'INPUT DAFTAR PESERTA'!B26</f>
        <v>2509046007</v>
      </c>
      <c r="C27" s="40" t="str">
        <f>'INPUT DAFTAR PESERTA'!C26</f>
        <v>Fabio Cannavaro Sinaga</v>
      </c>
      <c r="D27" s="26">
        <v>90.0</v>
      </c>
      <c r="E27" s="26">
        <v>72.0</v>
      </c>
      <c r="F27" s="26">
        <v>71.0</v>
      </c>
      <c r="G27" s="26">
        <v>88.0</v>
      </c>
      <c r="H27" s="26">
        <v>60.0</v>
      </c>
      <c r="I27" s="26">
        <v>73.0</v>
      </c>
      <c r="J27" s="26">
        <v>67.0</v>
      </c>
      <c r="K27" s="26">
        <v>0.0</v>
      </c>
      <c r="L27" s="41">
        <f t="shared" si="1"/>
        <v>65.125</v>
      </c>
      <c r="M27" s="41">
        <f>'LAPORAN RESMI'!L26</f>
        <v>86.75</v>
      </c>
      <c r="N27" s="41">
        <f t="shared" si="2"/>
        <v>75.9375</v>
      </c>
      <c r="O27" s="35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>
      <c r="A28" s="21">
        <f>'INPUT DAFTAR PESERTA'!A27</f>
        <v>24</v>
      </c>
      <c r="B28" s="21">
        <f>'INPUT DAFTAR PESERTA'!B27</f>
        <v>2509046008</v>
      </c>
      <c r="C28" s="40" t="str">
        <f>'INPUT DAFTAR PESERTA'!C27</f>
        <v>Hayatun Nisa</v>
      </c>
      <c r="D28" s="26">
        <v>57.0</v>
      </c>
      <c r="E28" s="26">
        <v>20.0</v>
      </c>
      <c r="F28" s="26">
        <v>43.0</v>
      </c>
      <c r="G28" s="26">
        <v>50.0</v>
      </c>
      <c r="H28" s="26">
        <v>95.0</v>
      </c>
      <c r="I28" s="26">
        <v>28.0</v>
      </c>
      <c r="J28" s="26">
        <v>13.0</v>
      </c>
      <c r="K28" s="26">
        <v>18.0</v>
      </c>
      <c r="L28" s="41">
        <f t="shared" si="1"/>
        <v>40.5</v>
      </c>
      <c r="M28" s="41">
        <f>'LAPORAN RESMI'!L27</f>
        <v>76.75</v>
      </c>
      <c r="N28" s="41">
        <f t="shared" si="2"/>
        <v>58.625</v>
      </c>
      <c r="O28" s="35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>
      <c r="A29" s="21">
        <f>'INPUT DAFTAR PESERTA'!A28</f>
        <v>25</v>
      </c>
      <c r="B29" s="21">
        <f>'INPUT DAFTAR PESERTA'!B28</f>
        <v>2509046009</v>
      </c>
      <c r="C29" s="40" t="str">
        <f>'INPUT DAFTAR PESERTA'!C28</f>
        <v>Khalilah Denissa Ardia Cahyani</v>
      </c>
      <c r="D29" s="26">
        <v>40.0</v>
      </c>
      <c r="E29" s="26">
        <v>2.0</v>
      </c>
      <c r="F29" s="26">
        <v>50.0</v>
      </c>
      <c r="G29" s="26">
        <v>40.0</v>
      </c>
      <c r="H29" s="26">
        <v>68.0</v>
      </c>
      <c r="I29" s="26">
        <v>10.0</v>
      </c>
      <c r="J29" s="26">
        <v>0.0</v>
      </c>
      <c r="K29" s="26">
        <v>0.0</v>
      </c>
      <c r="L29" s="41">
        <f t="shared" si="1"/>
        <v>26.25</v>
      </c>
      <c r="M29" s="41">
        <f>'LAPORAN RESMI'!L28</f>
        <v>47.5</v>
      </c>
      <c r="N29" s="41">
        <f t="shared" si="2"/>
        <v>36.875</v>
      </c>
      <c r="O29" s="35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>
      <c r="A30" s="21">
        <f>'INPUT DAFTAR PESERTA'!A29</f>
        <v>26</v>
      </c>
      <c r="B30" s="21">
        <f>'INPUT DAFTAR PESERTA'!B29</f>
        <v>2509046010</v>
      </c>
      <c r="C30" s="40" t="str">
        <f>'INPUT DAFTAR PESERTA'!C29</f>
        <v>Athila Nadya Zalikha</v>
      </c>
      <c r="D30" s="26">
        <v>50.0</v>
      </c>
      <c r="E30" s="26">
        <v>0.0</v>
      </c>
      <c r="F30" s="26">
        <v>0.0</v>
      </c>
      <c r="G30" s="26">
        <v>0.0</v>
      </c>
      <c r="H30" s="26">
        <v>60.0</v>
      </c>
      <c r="I30" s="26">
        <v>20.0</v>
      </c>
      <c r="J30" s="26">
        <v>27.0</v>
      </c>
      <c r="K30" s="26">
        <v>12.0</v>
      </c>
      <c r="L30" s="41">
        <f t="shared" si="1"/>
        <v>21.125</v>
      </c>
      <c r="M30" s="41">
        <f>'LAPORAN RESMI'!L29</f>
        <v>0</v>
      </c>
      <c r="N30" s="41">
        <f t="shared" si="2"/>
        <v>10.5625</v>
      </c>
      <c r="O30" s="35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>
      <c r="A31" s="21">
        <f>'INPUT DAFTAR PESERTA'!A30</f>
        <v>27</v>
      </c>
      <c r="B31" s="21">
        <f>'INPUT DAFTAR PESERTA'!B30</f>
        <v>2509046011</v>
      </c>
      <c r="C31" s="40" t="str">
        <f>'INPUT DAFTAR PESERTA'!C30</f>
        <v>Aditya Pratama</v>
      </c>
      <c r="D31" s="26">
        <v>40.0</v>
      </c>
      <c r="E31" s="26">
        <v>18.0</v>
      </c>
      <c r="F31" s="26">
        <v>0.0</v>
      </c>
      <c r="G31" s="26">
        <v>0.0</v>
      </c>
      <c r="H31" s="26">
        <v>0.0</v>
      </c>
      <c r="I31" s="26">
        <v>0.0</v>
      </c>
      <c r="J31" s="26">
        <v>17.0</v>
      </c>
      <c r="K31" s="26">
        <v>0.0</v>
      </c>
      <c r="L31" s="41">
        <f t="shared" si="1"/>
        <v>9.375</v>
      </c>
      <c r="M31" s="41">
        <f>'LAPORAN RESMI'!L30</f>
        <v>0</v>
      </c>
      <c r="N31" s="41">
        <f t="shared" si="2"/>
        <v>4.6875</v>
      </c>
      <c r="O31" s="35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>
      <c r="A32" s="21">
        <f>'INPUT DAFTAR PESERTA'!A31</f>
        <v>28</v>
      </c>
      <c r="B32" s="21">
        <f>'INPUT DAFTAR PESERTA'!B31</f>
        <v>2509046012</v>
      </c>
      <c r="C32" s="40" t="str">
        <f>'INPUT DAFTAR PESERTA'!C31</f>
        <v>Atiiqah Permata Hati</v>
      </c>
      <c r="D32" s="26">
        <v>0.0</v>
      </c>
      <c r="E32" s="26">
        <v>0.0</v>
      </c>
      <c r="F32" s="26">
        <v>28.0</v>
      </c>
      <c r="G32" s="26">
        <v>41.0</v>
      </c>
      <c r="H32" s="26">
        <v>85.0</v>
      </c>
      <c r="I32" s="26">
        <v>34.0</v>
      </c>
      <c r="J32" s="26">
        <v>37.0</v>
      </c>
      <c r="K32" s="26">
        <v>0.0</v>
      </c>
      <c r="L32" s="41">
        <f t="shared" si="1"/>
        <v>28.125</v>
      </c>
      <c r="M32" s="41">
        <f>'LAPORAN RESMI'!L31</f>
        <v>59.125</v>
      </c>
      <c r="N32" s="41">
        <f t="shared" si="2"/>
        <v>43.625</v>
      </c>
      <c r="O32" s="35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>
      <c r="A33" s="21">
        <f>'INPUT DAFTAR PESERTA'!A32</f>
        <v>29</v>
      </c>
      <c r="B33" s="21">
        <f>'INPUT DAFTAR PESERTA'!B32</f>
        <v>2509046013</v>
      </c>
      <c r="C33" s="40" t="str">
        <f>'INPUT DAFTAR PESERTA'!C32</f>
        <v>Yolanda Denis Aprilia</v>
      </c>
      <c r="D33" s="26">
        <v>70.0</v>
      </c>
      <c r="E33" s="26">
        <v>0.0</v>
      </c>
      <c r="F33" s="26">
        <v>40.0</v>
      </c>
      <c r="G33" s="26">
        <v>32.0</v>
      </c>
      <c r="H33" s="26">
        <v>36.0</v>
      </c>
      <c r="I33" s="26">
        <v>34.0</v>
      </c>
      <c r="J33" s="26">
        <v>29.0</v>
      </c>
      <c r="K33" s="26">
        <v>0.0</v>
      </c>
      <c r="L33" s="41">
        <f t="shared" si="1"/>
        <v>30.125</v>
      </c>
      <c r="M33" s="41">
        <f>'LAPORAN RESMI'!L32</f>
        <v>79.75</v>
      </c>
      <c r="N33" s="41">
        <f t="shared" si="2"/>
        <v>54.9375</v>
      </c>
      <c r="O33" s="35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>
      <c r="A34" s="21">
        <f>'INPUT DAFTAR PESERTA'!A33</f>
        <v>30</v>
      </c>
      <c r="B34" s="21">
        <f>'INPUT DAFTAR PESERTA'!B33</f>
        <v>2509046014</v>
      </c>
      <c r="C34" s="40" t="str">
        <f>'INPUT DAFTAR PESERTA'!C33</f>
        <v>Farah Najma</v>
      </c>
      <c r="D34" s="26">
        <v>0.0</v>
      </c>
      <c r="E34" s="26">
        <v>19.0</v>
      </c>
      <c r="F34" s="26">
        <v>0.0</v>
      </c>
      <c r="G34" s="26">
        <v>0.0</v>
      </c>
      <c r="H34" s="26">
        <v>0.0</v>
      </c>
      <c r="I34" s="26">
        <v>14.0</v>
      </c>
      <c r="J34" s="26">
        <v>17.0</v>
      </c>
      <c r="K34" s="26">
        <v>0.0</v>
      </c>
      <c r="L34" s="41">
        <f t="shared" si="1"/>
        <v>6.25</v>
      </c>
      <c r="M34" s="41">
        <f>'LAPORAN RESMI'!L33</f>
        <v>71.75</v>
      </c>
      <c r="N34" s="41">
        <f t="shared" si="2"/>
        <v>39</v>
      </c>
      <c r="O34" s="35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>
      <c r="A35" s="21">
        <f>'INPUT DAFTAR PESERTA'!A34</f>
        <v>31</v>
      </c>
      <c r="B35" s="21">
        <f>'INPUT DAFTAR PESERTA'!B34</f>
        <v>2509046015</v>
      </c>
      <c r="C35" s="40" t="str">
        <f>'INPUT DAFTAR PESERTA'!C34</f>
        <v>Muhammad Abdul Mu'in</v>
      </c>
      <c r="D35" s="26">
        <v>62.0</v>
      </c>
      <c r="E35" s="26">
        <v>44.0</v>
      </c>
      <c r="F35" s="26">
        <v>33.0</v>
      </c>
      <c r="G35" s="26">
        <v>34.0</v>
      </c>
      <c r="H35" s="26">
        <v>38.0</v>
      </c>
      <c r="I35" s="26">
        <v>26.0</v>
      </c>
      <c r="J35" s="26">
        <v>32.0</v>
      </c>
      <c r="K35" s="26">
        <v>45.0</v>
      </c>
      <c r="L35" s="41">
        <f t="shared" si="1"/>
        <v>39.25</v>
      </c>
      <c r="M35" s="41">
        <f>'LAPORAN RESMI'!L34</f>
        <v>78.875</v>
      </c>
      <c r="N35" s="41">
        <f t="shared" si="2"/>
        <v>59.0625</v>
      </c>
      <c r="O35" s="35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>
      <c r="A36" s="21">
        <f>'INPUT DAFTAR PESERTA'!A35</f>
        <v>32</v>
      </c>
      <c r="B36" s="21">
        <f>'INPUT DAFTAR PESERTA'!B35</f>
        <v>2509046016</v>
      </c>
      <c r="C36" s="40" t="str">
        <f>'INPUT DAFTAR PESERTA'!C35</f>
        <v>Muhammad Rofiq Al-Hakim</v>
      </c>
      <c r="D36" s="26">
        <v>0.0</v>
      </c>
      <c r="E36" s="26">
        <v>0.0</v>
      </c>
      <c r="F36" s="26">
        <v>0.0</v>
      </c>
      <c r="G36" s="26">
        <v>34.0</v>
      </c>
      <c r="H36" s="26">
        <v>82.0</v>
      </c>
      <c r="I36" s="26">
        <v>55.0</v>
      </c>
      <c r="J36" s="26">
        <v>51.0</v>
      </c>
      <c r="K36" s="26">
        <v>18.9</v>
      </c>
      <c r="L36" s="41">
        <f t="shared" si="1"/>
        <v>30.1125</v>
      </c>
      <c r="M36" s="41">
        <f>'LAPORAN RESMI'!L35</f>
        <v>0</v>
      </c>
      <c r="N36" s="41">
        <f t="shared" si="2"/>
        <v>15.05625</v>
      </c>
      <c r="O36" s="35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>
      <c r="A37" s="21">
        <f>'INPUT DAFTAR PESERTA'!A36</f>
        <v>33</v>
      </c>
      <c r="B37" s="21">
        <f>'INPUT DAFTAR PESERTA'!B36</f>
        <v>2509046017</v>
      </c>
      <c r="C37" s="40" t="str">
        <f>'INPUT DAFTAR PESERTA'!C36</f>
        <v>Nadia Eka Pratiwi</v>
      </c>
      <c r="D37" s="26">
        <v>0.0</v>
      </c>
      <c r="E37" s="26">
        <v>39.0</v>
      </c>
      <c r="F37" s="26">
        <v>58.0</v>
      </c>
      <c r="G37" s="26">
        <v>69.0</v>
      </c>
      <c r="H37" s="26">
        <v>95.0</v>
      </c>
      <c r="I37" s="26">
        <v>48.0</v>
      </c>
      <c r="J37" s="26">
        <v>86.0</v>
      </c>
      <c r="K37" s="26">
        <v>90.0</v>
      </c>
      <c r="L37" s="41">
        <f t="shared" si="1"/>
        <v>60.625</v>
      </c>
      <c r="M37" s="41">
        <f>'LAPORAN RESMI'!L36</f>
        <v>92.125</v>
      </c>
      <c r="N37" s="41">
        <f t="shared" si="2"/>
        <v>76.375</v>
      </c>
      <c r="O37" s="35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>
      <c r="A38" s="21">
        <f>'INPUT DAFTAR PESERTA'!A37</f>
        <v>34</v>
      </c>
      <c r="B38" s="21">
        <f>'INPUT DAFTAR PESERTA'!B37</f>
        <v>2509046018</v>
      </c>
      <c r="C38" s="40" t="str">
        <f>'INPUT DAFTAR PESERTA'!C37</f>
        <v>Rayhana Erda Affiyah</v>
      </c>
      <c r="D38" s="26">
        <v>85.0</v>
      </c>
      <c r="E38" s="26">
        <v>32.0</v>
      </c>
      <c r="F38" s="26">
        <v>70.0</v>
      </c>
      <c r="G38" s="26">
        <v>87.0</v>
      </c>
      <c r="H38" s="26">
        <v>77.0</v>
      </c>
      <c r="I38" s="26">
        <v>42.0</v>
      </c>
      <c r="J38" s="26">
        <v>72.0</v>
      </c>
      <c r="K38" s="26">
        <v>74.5</v>
      </c>
      <c r="L38" s="41">
        <f t="shared" si="1"/>
        <v>67.4375</v>
      </c>
      <c r="M38" s="41">
        <f>'LAPORAN RESMI'!L37</f>
        <v>89.625</v>
      </c>
      <c r="N38" s="41">
        <f t="shared" si="2"/>
        <v>78.53125</v>
      </c>
      <c r="O38" s="35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>
      <c r="A39" s="21">
        <f>'INPUT DAFTAR PESERTA'!A38</f>
        <v>35</v>
      </c>
      <c r="B39" s="21">
        <f>'INPUT DAFTAR PESERTA'!B38</f>
        <v>2509046019</v>
      </c>
      <c r="C39" s="40" t="str">
        <f>'INPUT DAFTAR PESERTA'!C38</f>
        <v>Astrina Nadhiroh Illiyin</v>
      </c>
      <c r="D39" s="26">
        <v>0.0</v>
      </c>
      <c r="E39" s="26">
        <v>23.0</v>
      </c>
      <c r="F39" s="26">
        <v>80.0</v>
      </c>
      <c r="G39" s="26">
        <v>87.0</v>
      </c>
      <c r="H39" s="26">
        <v>85.0</v>
      </c>
      <c r="I39" s="26">
        <v>53.0</v>
      </c>
      <c r="J39" s="26">
        <v>82.0</v>
      </c>
      <c r="K39" s="26">
        <v>66.0</v>
      </c>
      <c r="L39" s="41">
        <f t="shared" si="1"/>
        <v>59.5</v>
      </c>
      <c r="M39" s="41">
        <f>'LAPORAN RESMI'!L38</f>
        <v>83.25</v>
      </c>
      <c r="N39" s="41">
        <f t="shared" si="2"/>
        <v>71.375</v>
      </c>
      <c r="O39" s="35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>
      <c r="A40" s="21">
        <f>'INPUT DAFTAR PESERTA'!A39</f>
        <v>36</v>
      </c>
      <c r="B40" s="21">
        <f>'INPUT DAFTAR PESERTA'!B39</f>
        <v>2509046020</v>
      </c>
      <c r="C40" s="40" t="str">
        <f>'INPUT DAFTAR PESERTA'!C39</f>
        <v>Muhammad Davindia Akmaluza</v>
      </c>
      <c r="D40" s="26">
        <v>20.0</v>
      </c>
      <c r="E40" s="26">
        <v>0.0</v>
      </c>
      <c r="F40" s="26">
        <v>10.0</v>
      </c>
      <c r="G40" s="26">
        <v>0.0</v>
      </c>
      <c r="H40" s="26">
        <v>0.0</v>
      </c>
      <c r="I40" s="26">
        <v>0.0</v>
      </c>
      <c r="J40" s="26">
        <v>18.0</v>
      </c>
      <c r="K40" s="26">
        <v>0.0</v>
      </c>
      <c r="L40" s="41">
        <f t="shared" si="1"/>
        <v>6</v>
      </c>
      <c r="M40" s="41">
        <f>'LAPORAN RESMI'!L39</f>
        <v>0</v>
      </c>
      <c r="N40" s="41">
        <f t="shared" si="2"/>
        <v>3</v>
      </c>
      <c r="O40" s="34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>
      <c r="A41" s="21">
        <f>'INPUT DAFTAR PESERTA'!A40</f>
        <v>37</v>
      </c>
      <c r="B41" s="21">
        <f>'INPUT DAFTAR PESERTA'!B40</f>
        <v>2509046021</v>
      </c>
      <c r="C41" s="40" t="str">
        <f>'INPUT DAFTAR PESERTA'!C40</f>
        <v>Muhammad Naufal Sabilillah</v>
      </c>
      <c r="D41" s="26">
        <v>55.0</v>
      </c>
      <c r="E41" s="26">
        <v>58.0</v>
      </c>
      <c r="F41" s="26">
        <v>72.0</v>
      </c>
      <c r="G41" s="26">
        <v>95.0</v>
      </c>
      <c r="H41" s="26">
        <v>100.0</v>
      </c>
      <c r="I41" s="26">
        <v>84.0</v>
      </c>
      <c r="J41" s="26">
        <v>94.0</v>
      </c>
      <c r="K41" s="26">
        <v>72.0</v>
      </c>
      <c r="L41" s="41">
        <f t="shared" si="1"/>
        <v>78.75</v>
      </c>
      <c r="M41" s="41">
        <f>'LAPORAN RESMI'!L40</f>
        <v>90.875</v>
      </c>
      <c r="N41" s="41">
        <f t="shared" si="2"/>
        <v>84.8125</v>
      </c>
      <c r="O41" s="34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>
      <c r="A42" s="21">
        <f>'INPUT DAFTAR PESERTA'!A41</f>
        <v>38</v>
      </c>
      <c r="B42" s="21">
        <f>'INPUT DAFTAR PESERTA'!B41</f>
        <v>2509046022</v>
      </c>
      <c r="C42" s="40" t="str">
        <f>'INPUT DAFTAR PESERTA'!C41</f>
        <v>Miranda Nur Salsabila</v>
      </c>
      <c r="D42" s="26">
        <v>52.0</v>
      </c>
      <c r="E42" s="26">
        <v>11.0</v>
      </c>
      <c r="F42" s="26">
        <v>17.0</v>
      </c>
      <c r="G42" s="26">
        <v>32.0</v>
      </c>
      <c r="H42" s="26">
        <v>80.0</v>
      </c>
      <c r="I42" s="26">
        <v>23.0</v>
      </c>
      <c r="J42" s="26">
        <v>83.0</v>
      </c>
      <c r="K42" s="26">
        <v>56.8</v>
      </c>
      <c r="L42" s="41">
        <f t="shared" si="1"/>
        <v>44.35</v>
      </c>
      <c r="M42" s="41">
        <f>'LAPORAN RESMI'!L41</f>
        <v>88.5</v>
      </c>
      <c r="N42" s="41">
        <f t="shared" si="2"/>
        <v>66.425</v>
      </c>
      <c r="O42" s="34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>
      <c r="A43" s="21">
        <f>'INPUT DAFTAR PESERTA'!A42</f>
        <v>39</v>
      </c>
      <c r="B43" s="21">
        <f>'INPUT DAFTAR PESERTA'!B42</f>
        <v>2509046023</v>
      </c>
      <c r="C43" s="40" t="str">
        <f>'INPUT DAFTAR PESERTA'!C42</f>
        <v>Dinar Rahmatheta</v>
      </c>
      <c r="D43" s="26">
        <v>92.0</v>
      </c>
      <c r="E43" s="26">
        <v>12.0</v>
      </c>
      <c r="F43" s="26">
        <v>20.0</v>
      </c>
      <c r="G43" s="26">
        <v>56.0</v>
      </c>
      <c r="H43" s="26">
        <v>95.0</v>
      </c>
      <c r="I43" s="26">
        <v>47.0</v>
      </c>
      <c r="J43" s="26">
        <v>90.0</v>
      </c>
      <c r="K43" s="26">
        <v>66.8</v>
      </c>
      <c r="L43" s="41">
        <f t="shared" si="1"/>
        <v>59.85</v>
      </c>
      <c r="M43" s="41">
        <f>'LAPORAN RESMI'!L42</f>
        <v>84.875</v>
      </c>
      <c r="N43" s="41">
        <f t="shared" si="2"/>
        <v>72.3625</v>
      </c>
      <c r="O43" s="35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>
      <c r="A44" s="21">
        <f>'INPUT DAFTAR PESERTA'!A43</f>
        <v>40</v>
      </c>
      <c r="B44" s="21">
        <f>'INPUT DAFTAR PESERTA'!B43</f>
        <v>2509046024</v>
      </c>
      <c r="C44" s="40" t="str">
        <f>'INPUT DAFTAR PESERTA'!C43</f>
        <v>Muh. Yasir Naufal</v>
      </c>
      <c r="D44" s="26">
        <v>55.0</v>
      </c>
      <c r="E44" s="26">
        <v>0.0</v>
      </c>
      <c r="F44" s="26">
        <v>40.0</v>
      </c>
      <c r="G44" s="26">
        <v>0.0</v>
      </c>
      <c r="H44" s="26">
        <v>0.0</v>
      </c>
      <c r="I44" s="26">
        <v>8.0</v>
      </c>
      <c r="J44" s="26">
        <v>0.0</v>
      </c>
      <c r="K44" s="26">
        <v>0.0</v>
      </c>
      <c r="L44" s="41">
        <f t="shared" si="1"/>
        <v>12.875</v>
      </c>
      <c r="M44" s="41">
        <f>'LAPORAN RESMI'!L43</f>
        <v>0</v>
      </c>
      <c r="N44" s="41">
        <f t="shared" si="2"/>
        <v>6.4375</v>
      </c>
      <c r="O44" s="35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>
      <c r="A45" s="21">
        <f>'INPUT DAFTAR PESERTA'!A44</f>
        <v>41</v>
      </c>
      <c r="B45" s="21">
        <f>'INPUT DAFTAR PESERTA'!B44</f>
        <v>2509046025</v>
      </c>
      <c r="C45" s="40" t="str">
        <f>'INPUT DAFTAR PESERTA'!C44</f>
        <v>Andi Nada Bunga Zahra</v>
      </c>
      <c r="D45" s="26">
        <v>47.0</v>
      </c>
      <c r="E45" s="26">
        <v>78.0</v>
      </c>
      <c r="F45" s="26">
        <v>43.0</v>
      </c>
      <c r="G45" s="26">
        <v>0.0</v>
      </c>
      <c r="H45" s="26">
        <v>0.0</v>
      </c>
      <c r="I45" s="26">
        <v>26.0</v>
      </c>
      <c r="J45" s="26">
        <v>91.0</v>
      </c>
      <c r="K45" s="26">
        <v>89.0</v>
      </c>
      <c r="L45" s="41">
        <f t="shared" si="1"/>
        <v>46.75</v>
      </c>
      <c r="M45" s="41">
        <f>'LAPORAN RESMI'!L44</f>
        <v>88.625</v>
      </c>
      <c r="N45" s="41">
        <f t="shared" si="2"/>
        <v>67.6875</v>
      </c>
      <c r="O45" s="34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>
      <c r="A46" s="21">
        <f>'INPUT DAFTAR PESERTA'!A45</f>
        <v>42</v>
      </c>
      <c r="B46" s="21">
        <f>'INPUT DAFTAR PESERTA'!B45</f>
        <v>2509046026</v>
      </c>
      <c r="C46" s="40" t="str">
        <f>'INPUT DAFTAR PESERTA'!C45</f>
        <v>Nabil Rafif Makarim</v>
      </c>
      <c r="D46" s="26">
        <v>45.0</v>
      </c>
      <c r="E46" s="26">
        <v>0.0</v>
      </c>
      <c r="F46" s="26">
        <v>39.0</v>
      </c>
      <c r="G46" s="26">
        <v>0.0</v>
      </c>
      <c r="H46" s="26">
        <v>0.0</v>
      </c>
      <c r="I46" s="26">
        <v>16.0</v>
      </c>
      <c r="J46" s="26">
        <v>63.0</v>
      </c>
      <c r="K46" s="26">
        <v>44.0</v>
      </c>
      <c r="L46" s="41">
        <f t="shared" si="1"/>
        <v>25.875</v>
      </c>
      <c r="M46" s="41">
        <f>'LAPORAN RESMI'!L45</f>
        <v>73.875</v>
      </c>
      <c r="N46" s="41">
        <f t="shared" si="2"/>
        <v>49.875</v>
      </c>
      <c r="O46" s="35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>
      <c r="A47" s="26">
        <v>0.0</v>
      </c>
      <c r="B47" s="21">
        <f>'INPUT DAFTAR PESERTA'!B46</f>
        <v>2509046027</v>
      </c>
      <c r="C47" s="40" t="str">
        <f>'INPUT DAFTAR PESERTA'!C46</f>
        <v>Natasya Camelia Az-Zahra</v>
      </c>
      <c r="D47" s="26">
        <v>93.0</v>
      </c>
      <c r="E47" s="26">
        <v>68.0</v>
      </c>
      <c r="F47" s="42">
        <v>60.0</v>
      </c>
      <c r="G47" s="26">
        <v>0.0</v>
      </c>
      <c r="H47" s="26">
        <v>0.0</v>
      </c>
      <c r="I47" s="26">
        <v>30.0</v>
      </c>
      <c r="J47" s="26">
        <v>87.0</v>
      </c>
      <c r="K47" s="26">
        <v>89.0</v>
      </c>
      <c r="L47" s="41">
        <f t="shared" si="1"/>
        <v>53.375</v>
      </c>
      <c r="M47" s="41">
        <f>'LAPORAN RESMI'!L46</f>
        <v>89</v>
      </c>
      <c r="N47" s="41">
        <f t="shared" si="2"/>
        <v>71.1875</v>
      </c>
      <c r="O47" s="35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>
      <c r="A48" s="21">
        <f>'INPUT DAFTAR PESERTA'!A47</f>
        <v>44</v>
      </c>
      <c r="B48" s="21">
        <f>'INPUT DAFTAR PESERTA'!B47</f>
        <v>2509046028</v>
      </c>
      <c r="C48" s="40" t="str">
        <f>'INPUT DAFTAR PESERTA'!C47</f>
        <v>Afirah Al Abidah</v>
      </c>
      <c r="D48" s="26">
        <v>22.0</v>
      </c>
      <c r="E48" s="26">
        <v>0.0</v>
      </c>
      <c r="F48" s="26">
        <v>16.0</v>
      </c>
      <c r="G48" s="26">
        <v>42.0</v>
      </c>
      <c r="H48" s="26">
        <v>0.0</v>
      </c>
      <c r="I48" s="26">
        <v>20.0</v>
      </c>
      <c r="J48" s="26">
        <v>10.0</v>
      </c>
      <c r="K48" s="26">
        <v>26.0</v>
      </c>
      <c r="L48" s="41">
        <f t="shared" si="1"/>
        <v>17</v>
      </c>
      <c r="M48" s="41">
        <f>'LAPORAN RESMI'!L47</f>
        <v>39.375</v>
      </c>
      <c r="N48" s="41">
        <f t="shared" si="2"/>
        <v>28.1875</v>
      </c>
      <c r="O48" s="35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>
      <c r="A49" s="21">
        <f>'INPUT DAFTAR PESERTA'!A48</f>
        <v>45</v>
      </c>
      <c r="B49" s="21">
        <f>'INPUT DAFTAR PESERTA'!B48</f>
        <v>2509046029</v>
      </c>
      <c r="C49" s="40" t="str">
        <f>'INPUT DAFTAR PESERTA'!C48</f>
        <v>Anisa Syalwa</v>
      </c>
      <c r="D49" s="26">
        <v>85.0</v>
      </c>
      <c r="E49" s="26">
        <v>43.0</v>
      </c>
      <c r="F49" s="26">
        <v>38.0</v>
      </c>
      <c r="G49" s="26">
        <v>0.0</v>
      </c>
      <c r="H49" s="26">
        <v>0.0</v>
      </c>
      <c r="I49" s="26">
        <v>48.0</v>
      </c>
      <c r="J49" s="26">
        <v>46.0</v>
      </c>
      <c r="K49" s="26">
        <v>47.0</v>
      </c>
      <c r="L49" s="41">
        <f t="shared" si="1"/>
        <v>38.375</v>
      </c>
      <c r="M49" s="41">
        <f>'LAPORAN RESMI'!L48</f>
        <v>65.375</v>
      </c>
      <c r="N49" s="41">
        <f t="shared" si="2"/>
        <v>51.875</v>
      </c>
      <c r="O49" s="35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>
      <c r="A50" s="21">
        <f>'INPUT DAFTAR PESERTA'!A49</f>
        <v>46</v>
      </c>
      <c r="B50" s="21">
        <f>'INPUT DAFTAR PESERTA'!B49</f>
        <v>2509046030</v>
      </c>
      <c r="C50" s="40" t="str">
        <f>'INPUT DAFTAR PESERTA'!C49</f>
        <v>Fikri Firoos Kinarya</v>
      </c>
      <c r="D50" s="26">
        <v>87.0</v>
      </c>
      <c r="E50" s="26">
        <v>0.0</v>
      </c>
      <c r="F50" s="26">
        <v>45.0</v>
      </c>
      <c r="G50" s="26">
        <v>0.0</v>
      </c>
      <c r="H50" s="26">
        <v>0.0</v>
      </c>
      <c r="I50" s="26">
        <v>45.0</v>
      </c>
      <c r="J50" s="26">
        <v>0.0</v>
      </c>
      <c r="K50" s="26">
        <v>41.0</v>
      </c>
      <c r="L50" s="41">
        <f t="shared" si="1"/>
        <v>27.25</v>
      </c>
      <c r="M50" s="41">
        <f>'LAPORAN RESMI'!L49</f>
        <v>70.625</v>
      </c>
      <c r="N50" s="41">
        <f t="shared" si="2"/>
        <v>48.9375</v>
      </c>
      <c r="O50" s="35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>
      <c r="A51" s="21">
        <f>'INPUT DAFTAR PESERTA'!A50</f>
        <v>47</v>
      </c>
      <c r="B51" s="21">
        <f>'INPUT DAFTAR PESERTA'!B50</f>
        <v>2509046031</v>
      </c>
      <c r="C51" s="40" t="str">
        <f>'INPUT DAFTAR PESERTA'!C50</f>
        <v>Armitha Luthfiana Andini</v>
      </c>
      <c r="D51" s="26">
        <v>67.0</v>
      </c>
      <c r="E51" s="26">
        <v>0.0</v>
      </c>
      <c r="F51" s="26">
        <v>35.0</v>
      </c>
      <c r="G51" s="26">
        <v>0.0</v>
      </c>
      <c r="H51" s="26">
        <v>0.0</v>
      </c>
      <c r="I51" s="26">
        <v>19.0</v>
      </c>
      <c r="J51" s="26">
        <v>0.0</v>
      </c>
      <c r="K51" s="26">
        <v>27.0</v>
      </c>
      <c r="L51" s="41">
        <f t="shared" si="1"/>
        <v>18.5</v>
      </c>
      <c r="M51" s="41">
        <f>'LAPORAN RESMI'!L50</f>
        <v>70.75</v>
      </c>
      <c r="N51" s="41">
        <f t="shared" si="2"/>
        <v>44.625</v>
      </c>
      <c r="O51" s="35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>
      <c r="A52" s="21">
        <f>'INPUT DAFTAR PESERTA'!A51</f>
        <v>48</v>
      </c>
      <c r="B52" s="21">
        <f>'INPUT DAFTAR PESERTA'!B51</f>
        <v>2509046032</v>
      </c>
      <c r="C52" s="40" t="str">
        <f>'INPUT DAFTAR PESERTA'!C51</f>
        <v>Fabio Aditya Purnomo</v>
      </c>
      <c r="D52" s="26">
        <v>48.0</v>
      </c>
      <c r="E52" s="26">
        <v>43.0</v>
      </c>
      <c r="F52" s="26">
        <v>48.0</v>
      </c>
      <c r="G52" s="26">
        <v>80.0</v>
      </c>
      <c r="H52" s="26">
        <v>95.0</v>
      </c>
      <c r="I52" s="26">
        <v>73.0</v>
      </c>
      <c r="J52" s="26">
        <v>62.0</v>
      </c>
      <c r="K52" s="26">
        <v>40.0</v>
      </c>
      <c r="L52" s="41">
        <f t="shared" si="1"/>
        <v>61.125</v>
      </c>
      <c r="M52" s="41">
        <f>'LAPORAN RESMI'!L51</f>
        <v>81.625</v>
      </c>
      <c r="N52" s="41">
        <f t="shared" si="2"/>
        <v>71.375</v>
      </c>
      <c r="O52" s="35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>
      <c r="A53" s="21">
        <f>'INPUT DAFTAR PESERTA'!A52</f>
        <v>49</v>
      </c>
      <c r="B53" s="21">
        <f>'INPUT DAFTAR PESERTA'!B52</f>
        <v>2509046033</v>
      </c>
      <c r="C53" s="40" t="str">
        <f>'INPUT DAFTAR PESERTA'!C52</f>
        <v>Rifa Davina Zalfa</v>
      </c>
      <c r="D53" s="26">
        <v>50.0</v>
      </c>
      <c r="E53" s="26">
        <v>65.0</v>
      </c>
      <c r="F53" s="26">
        <v>63.0</v>
      </c>
      <c r="G53" s="26">
        <v>90.0</v>
      </c>
      <c r="H53" s="26">
        <v>0.0</v>
      </c>
      <c r="I53" s="26">
        <v>0.0</v>
      </c>
      <c r="J53" s="26">
        <v>65.0</v>
      </c>
      <c r="K53" s="26">
        <v>0.0</v>
      </c>
      <c r="L53" s="41">
        <f t="shared" si="1"/>
        <v>41.625</v>
      </c>
      <c r="M53" s="41">
        <f>'LAPORAN RESMI'!L52</f>
        <v>85.375</v>
      </c>
      <c r="N53" s="41">
        <f t="shared" si="2"/>
        <v>63.5</v>
      </c>
      <c r="O53" s="35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>
      <c r="A54" s="21">
        <f>'INPUT DAFTAR PESERTA'!A53</f>
        <v>50</v>
      </c>
      <c r="B54" s="21">
        <f>'INPUT DAFTAR PESERTA'!B53</f>
        <v>2509046034</v>
      </c>
      <c r="C54" s="40" t="str">
        <f>'INPUT DAFTAR PESERTA'!C53</f>
        <v>Nilna Fergita Nouriansa</v>
      </c>
      <c r="D54" s="26">
        <v>75.0</v>
      </c>
      <c r="E54" s="26">
        <v>42.0</v>
      </c>
      <c r="F54" s="26">
        <v>53.0</v>
      </c>
      <c r="G54" s="26">
        <v>57.0</v>
      </c>
      <c r="H54" s="26">
        <v>0.0</v>
      </c>
      <c r="I54" s="26">
        <v>0.0</v>
      </c>
      <c r="J54" s="26">
        <v>47.0</v>
      </c>
      <c r="K54" s="26">
        <v>24.0</v>
      </c>
      <c r="L54" s="41">
        <f t="shared" si="1"/>
        <v>37.25</v>
      </c>
      <c r="M54" s="41">
        <f>'LAPORAN RESMI'!L53</f>
        <v>85</v>
      </c>
      <c r="N54" s="41">
        <f t="shared" si="2"/>
        <v>61.125</v>
      </c>
      <c r="O54" s="35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>
      <c r="A55" s="21">
        <f>'INPUT DAFTAR PESERTA'!A54</f>
        <v>51</v>
      </c>
      <c r="B55" s="21">
        <f>'INPUT DAFTAR PESERTA'!B54</f>
        <v>2509046035</v>
      </c>
      <c r="C55" s="40" t="str">
        <f>'INPUT DAFTAR PESERTA'!C54</f>
        <v>Sandi Prakoso</v>
      </c>
      <c r="D55" s="26">
        <v>0.0</v>
      </c>
      <c r="E55" s="26">
        <v>0.0</v>
      </c>
      <c r="F55" s="26">
        <v>0.0</v>
      </c>
      <c r="G55" s="26">
        <v>0.0</v>
      </c>
      <c r="H55" s="26">
        <v>0.0</v>
      </c>
      <c r="I55" s="26">
        <v>0.0</v>
      </c>
      <c r="J55" s="26">
        <v>17.0</v>
      </c>
      <c r="K55" s="26">
        <v>35.0</v>
      </c>
      <c r="L55" s="41">
        <f t="shared" si="1"/>
        <v>6.5</v>
      </c>
      <c r="M55" s="41">
        <f>'LAPORAN RESMI'!L54</f>
        <v>0</v>
      </c>
      <c r="N55" s="41">
        <f t="shared" si="2"/>
        <v>3.25</v>
      </c>
      <c r="O55" s="35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>
      <c r="A56" s="21">
        <f>'INPUT DAFTAR PESERTA'!A55</f>
        <v>52</v>
      </c>
      <c r="B56" s="21">
        <f>'INPUT DAFTAR PESERTA'!B55</f>
        <v>2509046036</v>
      </c>
      <c r="C56" s="40" t="str">
        <f>'INPUT DAFTAR PESERTA'!C55</f>
        <v>Yarasy Ebed Petra Richard Nanuru</v>
      </c>
      <c r="D56" s="26">
        <v>0.0</v>
      </c>
      <c r="E56" s="26">
        <v>0.0</v>
      </c>
      <c r="F56" s="26">
        <v>0.0</v>
      </c>
      <c r="G56" s="26">
        <v>0.0</v>
      </c>
      <c r="H56" s="26">
        <v>0.0</v>
      </c>
      <c r="I56" s="26">
        <v>0.0</v>
      </c>
      <c r="J56" s="26">
        <v>0.0</v>
      </c>
      <c r="K56" s="26">
        <v>0.0</v>
      </c>
      <c r="L56" s="41">
        <f t="shared" si="1"/>
        <v>0</v>
      </c>
      <c r="M56" s="41">
        <f>'LAPORAN RESMI'!L55</f>
        <v>0</v>
      </c>
      <c r="N56" s="41">
        <f t="shared" si="2"/>
        <v>0</v>
      </c>
      <c r="O56" s="35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>
      <c r="A57" s="21">
        <f>'INPUT DAFTAR PESERTA'!A56</f>
        <v>53</v>
      </c>
      <c r="B57" s="21">
        <f>'INPUT DAFTAR PESERTA'!B56</f>
        <v>2509046037</v>
      </c>
      <c r="C57" s="40" t="str">
        <f>'INPUT DAFTAR PESERTA'!C56</f>
        <v>Rasya Hanindya Putri</v>
      </c>
      <c r="D57" s="26">
        <v>0.0</v>
      </c>
      <c r="E57" s="26">
        <v>0.0</v>
      </c>
      <c r="F57" s="26">
        <v>0.0</v>
      </c>
      <c r="G57" s="26">
        <v>0.0</v>
      </c>
      <c r="H57" s="26">
        <v>0.0</v>
      </c>
      <c r="I57" s="26">
        <v>17.0</v>
      </c>
      <c r="J57" s="26">
        <v>0.0</v>
      </c>
      <c r="K57" s="26">
        <v>0.0</v>
      </c>
      <c r="L57" s="41">
        <f t="shared" si="1"/>
        <v>2.125</v>
      </c>
      <c r="M57" s="41">
        <f>'LAPORAN RESMI'!L56</f>
        <v>0</v>
      </c>
      <c r="N57" s="41">
        <f t="shared" si="2"/>
        <v>1.0625</v>
      </c>
      <c r="O57" s="35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>
      <c r="A58" s="21">
        <f>'INPUT DAFTAR PESERTA'!A57</f>
        <v>54</v>
      </c>
      <c r="B58" s="21">
        <f>'INPUT DAFTAR PESERTA'!B57</f>
        <v>2509046038</v>
      </c>
      <c r="C58" s="40" t="str">
        <f>'INPUT DAFTAR PESERTA'!C57</f>
        <v>Stefania Diah Pramestirehi</v>
      </c>
      <c r="D58" s="26">
        <v>52.0</v>
      </c>
      <c r="E58" s="26">
        <v>75.0</v>
      </c>
      <c r="F58" s="26">
        <v>22.0</v>
      </c>
      <c r="G58" s="26">
        <v>93.0</v>
      </c>
      <c r="H58" s="26">
        <v>40.0</v>
      </c>
      <c r="I58" s="26">
        <v>45.0</v>
      </c>
      <c r="J58" s="26">
        <v>0.0</v>
      </c>
      <c r="K58" s="26">
        <v>0.0</v>
      </c>
      <c r="L58" s="41">
        <f t="shared" si="1"/>
        <v>40.875</v>
      </c>
      <c r="M58" s="41">
        <f>'LAPORAN RESMI'!L57</f>
        <v>88.375</v>
      </c>
      <c r="N58" s="41">
        <f t="shared" si="2"/>
        <v>64.625</v>
      </c>
      <c r="O58" s="35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>
      <c r="A59" s="21">
        <f>'INPUT DAFTAR PESERTA'!A58</f>
        <v>55</v>
      </c>
      <c r="B59" s="21">
        <f>'INPUT DAFTAR PESERTA'!B58</f>
        <v>2509046039</v>
      </c>
      <c r="C59" s="40" t="str">
        <f>'INPUT DAFTAR PESERTA'!C58</f>
        <v>Azarina Azzahra</v>
      </c>
      <c r="D59" s="26">
        <v>95.0</v>
      </c>
      <c r="E59" s="26">
        <v>93.0</v>
      </c>
      <c r="F59" s="26">
        <v>95.0</v>
      </c>
      <c r="G59" s="26">
        <v>96.0</v>
      </c>
      <c r="H59" s="26">
        <v>95.0</v>
      </c>
      <c r="I59" s="26">
        <v>20.0</v>
      </c>
      <c r="J59" s="26">
        <v>61.0</v>
      </c>
      <c r="K59" s="26">
        <v>78.0</v>
      </c>
      <c r="L59" s="41">
        <f t="shared" si="1"/>
        <v>79.125</v>
      </c>
      <c r="M59" s="41">
        <f>'LAPORAN RESMI'!L58</f>
        <v>96.25</v>
      </c>
      <c r="N59" s="41">
        <f t="shared" si="2"/>
        <v>87.6875</v>
      </c>
      <c r="O59" s="35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>
      <c r="A60" s="21">
        <f>'INPUT DAFTAR PESERTA'!A59</f>
        <v>56</v>
      </c>
      <c r="B60" s="21">
        <f>'INPUT DAFTAR PESERTA'!B59</f>
        <v>2509046040</v>
      </c>
      <c r="C60" s="40" t="str">
        <f>'INPUT DAFTAR PESERTA'!C59</f>
        <v>Muhammad Bintang Anugrah</v>
      </c>
      <c r="D60" s="26">
        <v>85.0</v>
      </c>
      <c r="E60" s="26">
        <v>76.0</v>
      </c>
      <c r="F60" s="26">
        <v>44.0</v>
      </c>
      <c r="G60" s="26">
        <v>91.0</v>
      </c>
      <c r="H60" s="26">
        <v>90.0</v>
      </c>
      <c r="I60" s="26">
        <v>72.0</v>
      </c>
      <c r="J60" s="26">
        <v>87.0</v>
      </c>
      <c r="K60" s="26">
        <v>0.0</v>
      </c>
      <c r="L60" s="41">
        <f t="shared" si="1"/>
        <v>68.125</v>
      </c>
      <c r="M60" s="41">
        <f>'LAPORAN RESMI'!L59</f>
        <v>87.5</v>
      </c>
      <c r="N60" s="41">
        <f t="shared" si="2"/>
        <v>77.8125</v>
      </c>
      <c r="O60" s="35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>
      <c r="A61" s="21">
        <f>'INPUT DAFTAR PESERTA'!A60</f>
        <v>57</v>
      </c>
      <c r="B61" s="21">
        <f>'INPUT DAFTAR PESERTA'!B60</f>
        <v>2509046041</v>
      </c>
      <c r="C61" s="40" t="str">
        <f>'INPUT DAFTAR PESERTA'!C60</f>
        <v>Marcel Rizky Indrawan</v>
      </c>
      <c r="D61" s="26">
        <v>0.0</v>
      </c>
      <c r="E61" s="26">
        <v>0.0</v>
      </c>
      <c r="F61" s="26">
        <v>29.0</v>
      </c>
      <c r="G61" s="26">
        <v>90.0</v>
      </c>
      <c r="H61" s="26">
        <v>45.0</v>
      </c>
      <c r="I61" s="26">
        <v>44.0</v>
      </c>
      <c r="J61" s="26">
        <v>0.0</v>
      </c>
      <c r="K61" s="26">
        <v>0.0</v>
      </c>
      <c r="L61" s="41">
        <f t="shared" si="1"/>
        <v>26</v>
      </c>
      <c r="M61" s="41">
        <f>'LAPORAN RESMI'!L60</f>
        <v>76.25</v>
      </c>
      <c r="N61" s="41">
        <f t="shared" si="2"/>
        <v>51.125</v>
      </c>
      <c r="O61" s="35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>
      <c r="A62" s="21">
        <f>'INPUT DAFTAR PESERTA'!A61</f>
        <v>58</v>
      </c>
      <c r="B62" s="21">
        <f>'INPUT DAFTAR PESERTA'!B61</f>
        <v>2509046042</v>
      </c>
      <c r="C62" s="40" t="str">
        <f>'INPUT DAFTAR PESERTA'!C61</f>
        <v>Mega Dwi Eriyanti</v>
      </c>
      <c r="D62" s="26">
        <v>100.0</v>
      </c>
      <c r="E62" s="26">
        <v>87.0</v>
      </c>
      <c r="F62" s="26">
        <v>80.0</v>
      </c>
      <c r="G62" s="26">
        <v>92.0</v>
      </c>
      <c r="H62" s="26">
        <v>95.0</v>
      </c>
      <c r="I62" s="26">
        <v>67.0</v>
      </c>
      <c r="J62" s="26">
        <v>66.0</v>
      </c>
      <c r="K62" s="26">
        <v>0.0</v>
      </c>
      <c r="L62" s="41">
        <f t="shared" si="1"/>
        <v>73.375</v>
      </c>
      <c r="M62" s="41">
        <f>'LAPORAN RESMI'!L61</f>
        <v>91.375</v>
      </c>
      <c r="N62" s="41">
        <f t="shared" si="2"/>
        <v>82.375</v>
      </c>
      <c r="O62" s="35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>
      <c r="A63" s="21">
        <f>'INPUT DAFTAR PESERTA'!A62</f>
        <v>59</v>
      </c>
      <c r="B63" s="21">
        <f>'INPUT DAFTAR PESERTA'!B62</f>
        <v>2509046043</v>
      </c>
      <c r="C63" s="40" t="str">
        <f>'INPUT DAFTAR PESERTA'!C62</f>
        <v>Jessen Jeremi Sinaga</v>
      </c>
      <c r="D63" s="26">
        <v>0.0</v>
      </c>
      <c r="E63" s="26">
        <v>0.0</v>
      </c>
      <c r="F63" s="26">
        <v>0.0</v>
      </c>
      <c r="G63" s="26">
        <v>0.0</v>
      </c>
      <c r="H63" s="26">
        <v>0.0</v>
      </c>
      <c r="I63" s="26">
        <v>0.0</v>
      </c>
      <c r="J63" s="26">
        <v>0.0</v>
      </c>
      <c r="K63" s="26">
        <v>0.0</v>
      </c>
      <c r="L63" s="41">
        <f t="shared" si="1"/>
        <v>0</v>
      </c>
      <c r="M63" s="41">
        <f>'LAPORAN RESMI'!L62</f>
        <v>0</v>
      </c>
      <c r="N63" s="41">
        <f t="shared" si="2"/>
        <v>0</v>
      </c>
      <c r="O63" s="35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>
      <c r="A64" s="21">
        <f>'INPUT DAFTAR PESERTA'!A63</f>
        <v>60</v>
      </c>
      <c r="B64" s="21">
        <f>'INPUT DAFTAR PESERTA'!B63</f>
        <v>2509046044</v>
      </c>
      <c r="C64" s="40" t="str">
        <f>'INPUT DAFTAR PESERTA'!C63</f>
        <v>Mohammad Bagus Leo Widiantara</v>
      </c>
      <c r="D64" s="26">
        <v>0.0</v>
      </c>
      <c r="E64" s="26">
        <v>0.0</v>
      </c>
      <c r="F64" s="26">
        <v>0.0</v>
      </c>
      <c r="G64" s="26">
        <v>0.0</v>
      </c>
      <c r="H64" s="26">
        <v>0.0</v>
      </c>
      <c r="I64" s="26">
        <v>0.0</v>
      </c>
      <c r="J64" s="26">
        <v>0.0</v>
      </c>
      <c r="K64" s="26">
        <v>0.0</v>
      </c>
      <c r="L64" s="41">
        <f t="shared" si="1"/>
        <v>0</v>
      </c>
      <c r="M64" s="41">
        <f>'LAPORAN RESMI'!L63</f>
        <v>0</v>
      </c>
      <c r="N64" s="41">
        <f t="shared" si="2"/>
        <v>0</v>
      </c>
      <c r="O64" s="35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>
      <c r="A65" s="21">
        <f>'INPUT DAFTAR PESERTA'!A64</f>
        <v>61</v>
      </c>
      <c r="B65" s="21">
        <f>'INPUT DAFTAR PESERTA'!B64</f>
        <v>2509046045</v>
      </c>
      <c r="C65" s="40" t="str">
        <f>'INPUT DAFTAR PESERTA'!C64</f>
        <v>Najwa Aliffah Falah</v>
      </c>
      <c r="D65" s="26">
        <v>0.0</v>
      </c>
      <c r="E65" s="26">
        <v>0.0</v>
      </c>
      <c r="F65" s="26">
        <v>0.0</v>
      </c>
      <c r="G65" s="26">
        <v>0.0</v>
      </c>
      <c r="H65" s="26">
        <v>0.0</v>
      </c>
      <c r="I65" s="26">
        <v>0.0</v>
      </c>
      <c r="J65" s="26">
        <v>0.0</v>
      </c>
      <c r="K65" s="26">
        <v>0.0</v>
      </c>
      <c r="L65" s="41">
        <f t="shared" si="1"/>
        <v>0</v>
      </c>
      <c r="M65" s="41">
        <f>'LAPORAN RESMI'!L64</f>
        <v>0</v>
      </c>
      <c r="N65" s="41">
        <f t="shared" si="2"/>
        <v>0</v>
      </c>
      <c r="O65" s="35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>
      <c r="A66" s="21">
        <f>'INPUT DAFTAR PESERTA'!A65</f>
        <v>62</v>
      </c>
      <c r="B66" s="21">
        <f>'INPUT DAFTAR PESERTA'!B65</f>
        <v>2509046046</v>
      </c>
      <c r="C66" s="40" t="str">
        <f>'INPUT DAFTAR PESERTA'!C65</f>
        <v>Jezlhine Suretno</v>
      </c>
      <c r="D66" s="26">
        <v>0.0</v>
      </c>
      <c r="E66" s="26">
        <v>0.0</v>
      </c>
      <c r="F66" s="26">
        <v>0.0</v>
      </c>
      <c r="G66" s="26">
        <v>24.0</v>
      </c>
      <c r="H66" s="26">
        <v>0.0</v>
      </c>
      <c r="I66" s="26">
        <v>19.0</v>
      </c>
      <c r="J66" s="26">
        <v>3.0</v>
      </c>
      <c r="K66" s="26">
        <v>70.0</v>
      </c>
      <c r="L66" s="41">
        <f t="shared" si="1"/>
        <v>14.5</v>
      </c>
      <c r="M66" s="41">
        <f>'LAPORAN RESMI'!L65</f>
        <v>60.5</v>
      </c>
      <c r="N66" s="41">
        <f t="shared" si="2"/>
        <v>37.5</v>
      </c>
      <c r="O66" s="35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>
      <c r="A67" s="21">
        <f>'INPUT DAFTAR PESERTA'!A66</f>
        <v>63</v>
      </c>
      <c r="B67" s="21">
        <f>'INPUT DAFTAR PESERTA'!B66</f>
        <v>2509046047</v>
      </c>
      <c r="C67" s="40" t="str">
        <f>'INPUT DAFTAR PESERTA'!C66</f>
        <v>Gideon Giorgy Aipassa</v>
      </c>
      <c r="D67" s="26">
        <v>0.0</v>
      </c>
      <c r="E67" s="26">
        <v>0.0</v>
      </c>
      <c r="F67" s="26">
        <v>0.0</v>
      </c>
      <c r="G67" s="26">
        <v>41.0</v>
      </c>
      <c r="H67" s="26">
        <v>18.0</v>
      </c>
      <c r="I67" s="26">
        <v>25.0</v>
      </c>
      <c r="J67" s="26">
        <v>33.0</v>
      </c>
      <c r="K67" s="26">
        <v>0.0</v>
      </c>
      <c r="L67" s="41">
        <f t="shared" si="1"/>
        <v>14.625</v>
      </c>
      <c r="M67" s="41">
        <f>'LAPORAN RESMI'!L66</f>
        <v>58.875</v>
      </c>
      <c r="N67" s="41">
        <f t="shared" si="2"/>
        <v>36.75</v>
      </c>
      <c r="O67" s="35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>
      <c r="A68" s="21">
        <f>'INPUT DAFTAR PESERTA'!A67</f>
        <v>64</v>
      </c>
      <c r="B68" s="21">
        <f>'INPUT DAFTAR PESERTA'!B67</f>
        <v>2509046048</v>
      </c>
      <c r="C68" s="40" t="str">
        <f>'INPUT DAFTAR PESERTA'!C67</f>
        <v>Talitha Kayana Nugroho</v>
      </c>
      <c r="D68" s="26">
        <v>0.0</v>
      </c>
      <c r="E68" s="26">
        <v>0.0</v>
      </c>
      <c r="F68" s="26">
        <v>67.0</v>
      </c>
      <c r="G68" s="26">
        <v>64.0</v>
      </c>
      <c r="H68" s="26">
        <v>77.0</v>
      </c>
      <c r="I68" s="26">
        <v>23.0</v>
      </c>
      <c r="J68" s="26">
        <v>0.0</v>
      </c>
      <c r="K68" s="26">
        <v>35.5</v>
      </c>
      <c r="L68" s="41">
        <f t="shared" si="1"/>
        <v>33.3125</v>
      </c>
      <c r="M68" s="41">
        <f>'LAPORAN RESMI'!L67</f>
        <v>58.375</v>
      </c>
      <c r="N68" s="41">
        <f t="shared" si="2"/>
        <v>45.84375</v>
      </c>
      <c r="O68" s="35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>
      <c r="A69" s="21">
        <f>'INPUT DAFTAR PESERTA'!A68</f>
        <v>65</v>
      </c>
      <c r="B69" s="21">
        <f>'INPUT DAFTAR PESERTA'!B68</f>
        <v>2509046049</v>
      </c>
      <c r="C69" s="40" t="str">
        <f>'INPUT DAFTAR PESERTA'!C68</f>
        <v>Josef Alexandro Wijaya Kusuma</v>
      </c>
      <c r="D69" s="26">
        <v>0.0</v>
      </c>
      <c r="E69" s="26">
        <v>0.0</v>
      </c>
      <c r="F69" s="26">
        <v>0.0</v>
      </c>
      <c r="G69" s="26">
        <v>0.0</v>
      </c>
      <c r="H69" s="26">
        <v>0.0</v>
      </c>
      <c r="I69" s="26">
        <v>0.0</v>
      </c>
      <c r="J69" s="26">
        <v>0.0</v>
      </c>
      <c r="K69" s="26">
        <v>0.0</v>
      </c>
      <c r="L69" s="41">
        <f t="shared" si="1"/>
        <v>0</v>
      </c>
      <c r="M69" s="41">
        <f>'LAPORAN RESMI'!L68</f>
        <v>0</v>
      </c>
      <c r="N69" s="41">
        <f t="shared" si="2"/>
        <v>0</v>
      </c>
      <c r="O69" s="35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>
      <c r="A70" s="21">
        <f>'INPUT DAFTAR PESERTA'!A69</f>
        <v>66</v>
      </c>
      <c r="B70" s="21">
        <f>'INPUT DAFTAR PESERTA'!B69</f>
        <v>2509046050</v>
      </c>
      <c r="C70" s="40" t="str">
        <f>'INPUT DAFTAR PESERTA'!C69</f>
        <v>Surya Buana Putra Kamil</v>
      </c>
      <c r="D70" s="26">
        <v>0.0</v>
      </c>
      <c r="E70" s="26">
        <v>0.0</v>
      </c>
      <c r="F70" s="26">
        <v>0.0</v>
      </c>
      <c r="G70" s="26">
        <v>0.0</v>
      </c>
      <c r="H70" s="26">
        <v>0.0</v>
      </c>
      <c r="I70" s="26">
        <v>0.0</v>
      </c>
      <c r="J70" s="26">
        <v>0.0</v>
      </c>
      <c r="K70" s="26">
        <v>42.5</v>
      </c>
      <c r="L70" s="41">
        <f t="shared" si="1"/>
        <v>5.3125</v>
      </c>
      <c r="M70" s="41">
        <f>'LAPORAN RESMI'!L69</f>
        <v>23.75</v>
      </c>
      <c r="N70" s="41">
        <f t="shared" si="2"/>
        <v>14.53125</v>
      </c>
      <c r="O70" s="35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>
      <c r="A71" s="21">
        <f>'INPUT DAFTAR PESERTA'!A70</f>
        <v>67</v>
      </c>
      <c r="B71" s="21">
        <f>'INPUT DAFTAR PESERTA'!B70</f>
        <v>2509046051</v>
      </c>
      <c r="C71" s="40" t="str">
        <f>'INPUT DAFTAR PESERTA'!C70</f>
        <v>Arifatus Saidah</v>
      </c>
      <c r="D71" s="26">
        <v>37.0</v>
      </c>
      <c r="E71" s="26">
        <v>0.0</v>
      </c>
      <c r="F71" s="26">
        <v>44.0</v>
      </c>
      <c r="G71" s="26">
        <v>91.0</v>
      </c>
      <c r="H71" s="26">
        <v>47.0</v>
      </c>
      <c r="I71" s="26">
        <v>27.0</v>
      </c>
      <c r="J71" s="26">
        <v>67.0</v>
      </c>
      <c r="K71" s="26">
        <v>0.0</v>
      </c>
      <c r="L71" s="41">
        <f t="shared" si="1"/>
        <v>39.125</v>
      </c>
      <c r="M71" s="41">
        <f>'LAPORAN RESMI'!L70</f>
        <v>31.75</v>
      </c>
      <c r="N71" s="41">
        <f t="shared" si="2"/>
        <v>35.4375</v>
      </c>
      <c r="O71" s="35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>
      <c r="A72" s="21">
        <f>'INPUT DAFTAR PESERTA'!A71</f>
        <v>68</v>
      </c>
      <c r="B72" s="21">
        <f>'INPUT DAFTAR PESERTA'!B71</f>
        <v>2509046052</v>
      </c>
      <c r="C72" s="40" t="str">
        <f>'INPUT DAFTAR PESERTA'!C71</f>
        <v>Syarifah Sarah Ashilah</v>
      </c>
      <c r="D72" s="26">
        <v>87.0</v>
      </c>
      <c r="E72" s="26">
        <v>81.5</v>
      </c>
      <c r="F72" s="26">
        <v>44.0</v>
      </c>
      <c r="G72" s="26">
        <v>0.0</v>
      </c>
      <c r="H72" s="26">
        <v>80.0</v>
      </c>
      <c r="I72" s="26">
        <v>44.0</v>
      </c>
      <c r="J72" s="26">
        <v>41.0</v>
      </c>
      <c r="K72" s="26">
        <v>0.0</v>
      </c>
      <c r="L72" s="41">
        <f t="shared" si="1"/>
        <v>47.1875</v>
      </c>
      <c r="M72" s="41">
        <f>'LAPORAN RESMI'!L71</f>
        <v>85.625</v>
      </c>
      <c r="N72" s="41">
        <f t="shared" si="2"/>
        <v>66.40625</v>
      </c>
      <c r="O72" s="35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>
      <c r="A73" s="21">
        <f>'INPUT DAFTAR PESERTA'!A72</f>
        <v>69</v>
      </c>
      <c r="B73" s="21">
        <f>'INPUT DAFTAR PESERTA'!B72</f>
        <v>2509046053</v>
      </c>
      <c r="C73" s="40" t="str">
        <f>'INPUT DAFTAR PESERTA'!C72</f>
        <v>Muhammad Aufa Syarif Prabowo</v>
      </c>
      <c r="D73" s="26">
        <v>42.0</v>
      </c>
      <c r="E73" s="26">
        <v>0.0</v>
      </c>
      <c r="F73" s="26">
        <v>0.0</v>
      </c>
      <c r="G73" s="26">
        <v>0.0</v>
      </c>
      <c r="H73" s="26">
        <v>0.0</v>
      </c>
      <c r="I73" s="26">
        <v>26.0</v>
      </c>
      <c r="J73" s="26">
        <v>21.0</v>
      </c>
      <c r="K73" s="26">
        <v>11.0</v>
      </c>
      <c r="L73" s="41">
        <f t="shared" si="1"/>
        <v>12.5</v>
      </c>
      <c r="M73" s="41">
        <f>'LAPORAN RESMI'!L72</f>
        <v>0</v>
      </c>
      <c r="N73" s="41">
        <f t="shared" si="2"/>
        <v>6.25</v>
      </c>
      <c r="O73" s="35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>
      <c r="A74" s="21">
        <f>'INPUT DAFTAR PESERTA'!A73</f>
        <v>70</v>
      </c>
      <c r="B74" s="21">
        <f>'INPUT DAFTAR PESERTA'!B73</f>
        <v>2509046054</v>
      </c>
      <c r="C74" s="40" t="str">
        <f>'INPUT DAFTAR PESERTA'!C73</f>
        <v>Kezia Aulia Putri</v>
      </c>
      <c r="D74" s="26">
        <v>37.0</v>
      </c>
      <c r="E74" s="26">
        <v>0.0</v>
      </c>
      <c r="F74" s="26">
        <v>0.0</v>
      </c>
      <c r="G74" s="26">
        <v>0.0</v>
      </c>
      <c r="H74" s="26">
        <v>0.0</v>
      </c>
      <c r="I74" s="26">
        <v>41.0</v>
      </c>
      <c r="J74" s="26">
        <v>40.0</v>
      </c>
      <c r="K74" s="26">
        <v>0.0</v>
      </c>
      <c r="L74" s="41">
        <f t="shared" si="1"/>
        <v>14.75</v>
      </c>
      <c r="M74" s="41">
        <f>'LAPORAN RESMI'!L73</f>
        <v>0</v>
      </c>
      <c r="N74" s="41">
        <f t="shared" si="2"/>
        <v>7.375</v>
      </c>
      <c r="O74" s="35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>
      <c r="A75" s="21">
        <f>'INPUT DAFTAR PESERTA'!A74</f>
        <v>71</v>
      </c>
      <c r="B75" s="21">
        <f>'INPUT DAFTAR PESERTA'!B74</f>
        <v>2509046055</v>
      </c>
      <c r="C75" s="40" t="str">
        <f>'INPUT DAFTAR PESERTA'!C74</f>
        <v>Nailah Aisya Ainurrahman</v>
      </c>
      <c r="D75" s="26">
        <v>37.0</v>
      </c>
      <c r="E75" s="26">
        <v>44.0</v>
      </c>
      <c r="F75" s="26">
        <v>40.0</v>
      </c>
      <c r="G75" s="26">
        <v>0.0</v>
      </c>
      <c r="H75" s="26">
        <v>0.0</v>
      </c>
      <c r="I75" s="26">
        <v>17.0</v>
      </c>
      <c r="J75" s="26">
        <v>42.0</v>
      </c>
      <c r="K75" s="26">
        <v>27.0</v>
      </c>
      <c r="L75" s="41">
        <f t="shared" si="1"/>
        <v>25.875</v>
      </c>
      <c r="M75" s="41">
        <f>'LAPORAN RESMI'!L74</f>
        <v>75.375</v>
      </c>
      <c r="N75" s="41">
        <f t="shared" si="2"/>
        <v>50.625</v>
      </c>
      <c r="O75" s="35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>
      <c r="A76" s="21">
        <f>'INPUT DAFTAR PESERTA'!A75</f>
        <v>72</v>
      </c>
      <c r="B76" s="21">
        <f>'INPUT DAFTAR PESERTA'!B75</f>
        <v>2509046056</v>
      </c>
      <c r="C76" s="40" t="str">
        <f>'INPUT DAFTAR PESERTA'!C75</f>
        <v>Nadine Olivia</v>
      </c>
      <c r="D76" s="26">
        <v>17.0</v>
      </c>
      <c r="E76" s="26">
        <v>43.0</v>
      </c>
      <c r="F76" s="26">
        <v>40.0</v>
      </c>
      <c r="G76" s="26">
        <v>0.0</v>
      </c>
      <c r="H76" s="26">
        <v>0.0</v>
      </c>
      <c r="I76" s="26">
        <v>9.0</v>
      </c>
      <c r="J76" s="26">
        <v>2.0</v>
      </c>
      <c r="K76" s="26">
        <v>20.0</v>
      </c>
      <c r="L76" s="41">
        <f t="shared" si="1"/>
        <v>16.375</v>
      </c>
      <c r="M76" s="41">
        <f>'LAPORAN RESMI'!L75</f>
        <v>79.5</v>
      </c>
      <c r="N76" s="41">
        <f t="shared" si="2"/>
        <v>47.9375</v>
      </c>
      <c r="O76" s="35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>
      <c r="A77" s="21">
        <f>'INPUT DAFTAR PESERTA'!A76</f>
        <v>73</v>
      </c>
      <c r="B77" s="21">
        <f>'INPUT DAFTAR PESERTA'!B76</f>
        <v>2509046057</v>
      </c>
      <c r="C77" s="40" t="str">
        <f>'INPUT DAFTAR PESERTA'!C76</f>
        <v>Fadhaail Ali Syaban</v>
      </c>
      <c r="D77" s="26">
        <v>0.0</v>
      </c>
      <c r="E77" s="26">
        <v>0.0</v>
      </c>
      <c r="F77" s="26">
        <v>0.0</v>
      </c>
      <c r="G77" s="26">
        <v>0.0</v>
      </c>
      <c r="H77" s="26">
        <v>0.0</v>
      </c>
      <c r="I77" s="26">
        <v>0.0</v>
      </c>
      <c r="J77" s="26">
        <v>0.0</v>
      </c>
      <c r="K77" s="26">
        <v>0.0</v>
      </c>
      <c r="L77" s="41">
        <f t="shared" si="1"/>
        <v>0</v>
      </c>
      <c r="M77" s="41">
        <f>'LAPORAN RESMI'!L76</f>
        <v>0</v>
      </c>
      <c r="N77" s="41">
        <f t="shared" si="2"/>
        <v>0</v>
      </c>
      <c r="O77" s="35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>
      <c r="A78" s="21">
        <f>'INPUT DAFTAR PESERTA'!A77</f>
        <v>74</v>
      </c>
      <c r="B78" s="21">
        <f>'INPUT DAFTAR PESERTA'!B77</f>
        <v>2509046058</v>
      </c>
      <c r="C78" s="40" t="str">
        <f>'INPUT DAFTAR PESERTA'!C77</f>
        <v>Tri Partogi Utama Manalu</v>
      </c>
      <c r="D78" s="26">
        <v>37.0</v>
      </c>
      <c r="E78" s="26">
        <v>41.0</v>
      </c>
      <c r="F78" s="26">
        <v>35.0</v>
      </c>
      <c r="G78" s="26">
        <v>0.0</v>
      </c>
      <c r="H78" s="26">
        <v>0.0</v>
      </c>
      <c r="I78" s="26">
        <v>21.0</v>
      </c>
      <c r="J78" s="26">
        <v>0.0</v>
      </c>
      <c r="K78" s="26">
        <v>13.5</v>
      </c>
      <c r="L78" s="41">
        <f t="shared" si="1"/>
        <v>18.4375</v>
      </c>
      <c r="M78" s="41">
        <f>'LAPORAN RESMI'!L77</f>
        <v>53.125</v>
      </c>
      <c r="N78" s="41">
        <f t="shared" si="2"/>
        <v>35.78125</v>
      </c>
      <c r="O78" s="35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>
      <c r="A79" s="21">
        <f>'INPUT DAFTAR PESERTA'!A78</f>
        <v>75</v>
      </c>
      <c r="B79" s="21">
        <f>'INPUT DAFTAR PESERTA'!B78</f>
        <v>2509046059</v>
      </c>
      <c r="C79" s="40" t="str">
        <f>'INPUT DAFTAR PESERTA'!C78</f>
        <v>Fa'iz Pasha Novian</v>
      </c>
      <c r="D79" s="26">
        <v>0.0</v>
      </c>
      <c r="E79" s="26">
        <v>0.0</v>
      </c>
      <c r="F79" s="26">
        <v>0.0</v>
      </c>
      <c r="G79" s="26">
        <v>0.0</v>
      </c>
      <c r="H79" s="26">
        <v>0.0</v>
      </c>
      <c r="I79" s="26">
        <v>0.0</v>
      </c>
      <c r="J79" s="26">
        <v>0.0</v>
      </c>
      <c r="K79" s="26">
        <v>0.0</v>
      </c>
      <c r="L79" s="41">
        <f t="shared" si="1"/>
        <v>0</v>
      </c>
      <c r="M79" s="41">
        <f>'LAPORAN RESMI'!L78</f>
        <v>0</v>
      </c>
      <c r="N79" s="41">
        <f t="shared" si="2"/>
        <v>0</v>
      </c>
      <c r="O79" s="35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>
      <c r="A80" s="21">
        <f>'INPUT DAFTAR PESERTA'!A79</f>
        <v>76</v>
      </c>
      <c r="B80" s="21">
        <f>'INPUT DAFTAR PESERTA'!B79</f>
        <v>2509046060</v>
      </c>
      <c r="C80" s="40" t="str">
        <f>'INPUT DAFTAR PESERTA'!C79</f>
        <v>Shasya Tri Fauziah</v>
      </c>
      <c r="D80" s="26">
        <v>53.0</v>
      </c>
      <c r="E80" s="26">
        <v>91.0</v>
      </c>
      <c r="F80" s="26">
        <v>78.0</v>
      </c>
      <c r="G80" s="26">
        <v>0.0</v>
      </c>
      <c r="H80" s="26">
        <v>45.0</v>
      </c>
      <c r="I80" s="26">
        <v>40.0</v>
      </c>
      <c r="J80" s="26">
        <v>0.0</v>
      </c>
      <c r="K80" s="26">
        <v>68.6</v>
      </c>
      <c r="L80" s="41">
        <f t="shared" si="1"/>
        <v>46.95</v>
      </c>
      <c r="M80" s="41">
        <f>'LAPORAN RESMI'!L79</f>
        <v>86.25</v>
      </c>
      <c r="N80" s="41">
        <f t="shared" si="2"/>
        <v>66.6</v>
      </c>
      <c r="O80" s="35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>
      <c r="A81" s="21">
        <f>'INPUT DAFTAR PESERTA'!A80</f>
        <v>77</v>
      </c>
      <c r="B81" s="21">
        <f>'INPUT DAFTAR PESERTA'!B80</f>
        <v>2509046061</v>
      </c>
      <c r="C81" s="40" t="str">
        <f>'INPUT DAFTAR PESERTA'!C80</f>
        <v>Alyah Nur Jannah</v>
      </c>
      <c r="D81" s="26">
        <v>0.0</v>
      </c>
      <c r="E81" s="26">
        <v>0.0</v>
      </c>
      <c r="F81" s="26">
        <v>0.0</v>
      </c>
      <c r="G81" s="26">
        <v>0.0</v>
      </c>
      <c r="H81" s="26">
        <v>42.0</v>
      </c>
      <c r="I81" s="26">
        <v>0.0</v>
      </c>
      <c r="J81" s="26">
        <v>0.0</v>
      </c>
      <c r="K81" s="26">
        <v>0.0</v>
      </c>
      <c r="L81" s="41">
        <f t="shared" si="1"/>
        <v>5.25</v>
      </c>
      <c r="M81" s="41">
        <f>'LAPORAN RESMI'!L80</f>
        <v>37.5</v>
      </c>
      <c r="N81" s="41">
        <f t="shared" si="2"/>
        <v>21.375</v>
      </c>
      <c r="O81" s="35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>
      <c r="A82" s="21">
        <f>'INPUT DAFTAR PESERTA'!A81</f>
        <v>78</v>
      </c>
      <c r="B82" s="21">
        <f>'INPUT DAFTAR PESERTA'!B81</f>
        <v>2509046062</v>
      </c>
      <c r="C82" s="40" t="str">
        <f>'INPUT DAFTAR PESERTA'!C81</f>
        <v>Rendi Sidebang</v>
      </c>
      <c r="D82" s="26">
        <v>0.0</v>
      </c>
      <c r="E82" s="26">
        <v>30.5</v>
      </c>
      <c r="F82" s="26">
        <v>40.0</v>
      </c>
      <c r="G82" s="26">
        <v>46.0</v>
      </c>
      <c r="H82" s="26">
        <v>35.0</v>
      </c>
      <c r="I82" s="26">
        <v>33.0</v>
      </c>
      <c r="J82" s="26">
        <v>0.0</v>
      </c>
      <c r="K82" s="26">
        <v>0.0</v>
      </c>
      <c r="L82" s="41">
        <f t="shared" si="1"/>
        <v>23.0625</v>
      </c>
      <c r="M82" s="41">
        <f>'LAPORAN RESMI'!L81</f>
        <v>71</v>
      </c>
      <c r="N82" s="41">
        <f t="shared" si="2"/>
        <v>47.03125</v>
      </c>
      <c r="O82" s="35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>
      <c r="A83" s="21">
        <f>'INPUT DAFTAR PESERTA'!A82</f>
        <v>79</v>
      </c>
      <c r="B83" s="21">
        <f>'INPUT DAFTAR PESERTA'!B82</f>
        <v>2509046063</v>
      </c>
      <c r="C83" s="40" t="str">
        <f>'INPUT DAFTAR PESERTA'!C82</f>
        <v>Panca Vito Anandio</v>
      </c>
      <c r="D83" s="26">
        <v>28.0</v>
      </c>
      <c r="E83" s="26">
        <v>33.0</v>
      </c>
      <c r="F83" s="26">
        <v>0.0</v>
      </c>
      <c r="G83" s="26">
        <v>0.0</v>
      </c>
      <c r="H83" s="26">
        <v>0.0</v>
      </c>
      <c r="I83" s="26">
        <v>20.0</v>
      </c>
      <c r="J83" s="26">
        <v>0.0</v>
      </c>
      <c r="K83" s="26">
        <v>0.0</v>
      </c>
      <c r="L83" s="41">
        <f t="shared" si="1"/>
        <v>10.125</v>
      </c>
      <c r="M83" s="41">
        <f>'LAPORAN RESMI'!L82</f>
        <v>0</v>
      </c>
      <c r="N83" s="41">
        <f t="shared" si="2"/>
        <v>5.0625</v>
      </c>
      <c r="O83" s="35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>
      <c r="A84" s="21">
        <f>'INPUT DAFTAR PESERTA'!A83</f>
        <v>80</v>
      </c>
      <c r="B84" s="21">
        <f>'INPUT DAFTAR PESERTA'!B83</f>
        <v>2509046064</v>
      </c>
      <c r="C84" s="40" t="str">
        <f>'INPUT DAFTAR PESERTA'!C83</f>
        <v>Nabila Lestari</v>
      </c>
      <c r="D84" s="26">
        <v>0.0</v>
      </c>
      <c r="E84" s="26">
        <v>19.5</v>
      </c>
      <c r="F84" s="26">
        <v>0.0</v>
      </c>
      <c r="G84" s="26">
        <v>34.0</v>
      </c>
      <c r="H84" s="26">
        <v>0.0</v>
      </c>
      <c r="I84" s="26">
        <v>20.0</v>
      </c>
      <c r="J84" s="26">
        <v>0.0</v>
      </c>
      <c r="K84" s="26">
        <v>0.0</v>
      </c>
      <c r="L84" s="41">
        <f t="shared" si="1"/>
        <v>9.1875</v>
      </c>
      <c r="M84" s="41">
        <f>'LAPORAN RESMI'!L83</f>
        <v>58.375</v>
      </c>
      <c r="N84" s="41">
        <f t="shared" si="2"/>
        <v>33.78125</v>
      </c>
      <c r="O84" s="35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>
      <c r="A85" s="21">
        <f>'INPUT DAFTAR PESERTA'!A84</f>
        <v>81</v>
      </c>
      <c r="B85" s="21">
        <f>'INPUT DAFTAR PESERTA'!B84</f>
        <v>2509046065</v>
      </c>
      <c r="C85" s="40" t="str">
        <f>'INPUT DAFTAR PESERTA'!C84</f>
        <v>Muhammad Mudrikah Salim</v>
      </c>
      <c r="D85" s="26">
        <v>0.0</v>
      </c>
      <c r="E85" s="26">
        <v>0.0</v>
      </c>
      <c r="F85" s="26">
        <v>0.0</v>
      </c>
      <c r="G85" s="26">
        <v>0.0</v>
      </c>
      <c r="H85" s="26">
        <v>0.0</v>
      </c>
      <c r="I85" s="26">
        <v>0.0</v>
      </c>
      <c r="J85" s="26">
        <v>0.0</v>
      </c>
      <c r="K85" s="26">
        <v>0.0</v>
      </c>
      <c r="L85" s="41">
        <f t="shared" si="1"/>
        <v>0</v>
      </c>
      <c r="M85" s="41">
        <f>'LAPORAN RESMI'!L84</f>
        <v>0</v>
      </c>
      <c r="N85" s="41">
        <f t="shared" si="2"/>
        <v>0</v>
      </c>
      <c r="O85" s="35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>
      <c r="A86" s="21">
        <f>'INPUT DAFTAR PESERTA'!A85</f>
        <v>82</v>
      </c>
      <c r="B86" s="21">
        <f>'INPUT DAFTAR PESERTA'!B85</f>
        <v>2509046066</v>
      </c>
      <c r="C86" s="40" t="str">
        <f>'INPUT DAFTAR PESERTA'!C85</f>
        <v>Nisriina Nahdah Hizbullah</v>
      </c>
      <c r="D86" s="26">
        <v>15.0</v>
      </c>
      <c r="E86" s="26">
        <v>34.0</v>
      </c>
      <c r="F86" s="26">
        <v>20.0</v>
      </c>
      <c r="G86" s="26">
        <v>18.0</v>
      </c>
      <c r="H86" s="26">
        <v>0.0</v>
      </c>
      <c r="I86" s="26">
        <v>20.0</v>
      </c>
      <c r="J86" s="26">
        <v>0.0</v>
      </c>
      <c r="K86" s="26">
        <v>0.0</v>
      </c>
      <c r="L86" s="41">
        <f t="shared" si="1"/>
        <v>13.375</v>
      </c>
      <c r="M86" s="41">
        <f>'LAPORAN RESMI'!L85</f>
        <v>68.5</v>
      </c>
      <c r="N86" s="41">
        <f t="shared" si="2"/>
        <v>40.9375</v>
      </c>
      <c r="O86" s="35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>
      <c r="A87" s="21">
        <f>'INPUT DAFTAR PESERTA'!A86</f>
        <v>83</v>
      </c>
      <c r="B87" s="21">
        <f>'INPUT DAFTAR PESERTA'!B86</f>
        <v>2509046067</v>
      </c>
      <c r="C87" s="40" t="str">
        <f>'INPUT DAFTAR PESERTA'!C86</f>
        <v>Rhooid Azzaky</v>
      </c>
      <c r="D87" s="26">
        <v>0.0</v>
      </c>
      <c r="E87" s="26">
        <v>0.0</v>
      </c>
      <c r="F87" s="26">
        <v>0.0</v>
      </c>
      <c r="G87" s="26">
        <v>0.0</v>
      </c>
      <c r="H87" s="26">
        <v>0.0</v>
      </c>
      <c r="I87" s="26">
        <v>76.0</v>
      </c>
      <c r="J87" s="26">
        <v>0.0</v>
      </c>
      <c r="K87" s="26">
        <v>0.0</v>
      </c>
      <c r="L87" s="41">
        <f t="shared" si="1"/>
        <v>9.5</v>
      </c>
      <c r="M87" s="41">
        <f>'LAPORAN RESMI'!L86</f>
        <v>0</v>
      </c>
      <c r="N87" s="41">
        <f t="shared" si="2"/>
        <v>4.75</v>
      </c>
      <c r="O87" s="35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>
      <c r="A88" s="21">
        <f>'INPUT DAFTAR PESERTA'!A87</f>
        <v>84</v>
      </c>
      <c r="B88" s="21">
        <f>'INPUT DAFTAR PESERTA'!B87</f>
        <v>2509046068</v>
      </c>
      <c r="C88" s="40" t="str">
        <f>'INPUT DAFTAR PESERTA'!C87</f>
        <v>Olga Agnes Violeta Simatupang</v>
      </c>
      <c r="D88" s="26">
        <v>0.0</v>
      </c>
      <c r="E88" s="26">
        <v>37.0</v>
      </c>
      <c r="F88" s="26">
        <v>0.0</v>
      </c>
      <c r="G88" s="26">
        <v>0.0</v>
      </c>
      <c r="H88" s="26">
        <v>0.0</v>
      </c>
      <c r="I88" s="26">
        <v>35.0</v>
      </c>
      <c r="J88" s="26">
        <v>76.0</v>
      </c>
      <c r="K88" s="26">
        <v>0.0</v>
      </c>
      <c r="L88" s="41">
        <f t="shared" si="1"/>
        <v>18.5</v>
      </c>
      <c r="M88" s="41">
        <f>'LAPORAN RESMI'!L87</f>
        <v>32.25</v>
      </c>
      <c r="N88" s="41">
        <f t="shared" si="2"/>
        <v>25.375</v>
      </c>
      <c r="O88" s="35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>
      <c r="A89" s="21">
        <f>'INPUT DAFTAR PESERTA'!A88</f>
        <v>85</v>
      </c>
      <c r="B89" s="21">
        <f>'INPUT DAFTAR PESERTA'!B88</f>
        <v>2509046070</v>
      </c>
      <c r="C89" s="40" t="str">
        <f>'INPUT DAFTAR PESERTA'!C88</f>
        <v>Muhammad Ibrahim Habibullah</v>
      </c>
      <c r="D89" s="26">
        <v>0.0</v>
      </c>
      <c r="E89" s="26">
        <v>39.0</v>
      </c>
      <c r="F89" s="26">
        <v>0.0</v>
      </c>
      <c r="G89" s="26">
        <v>0.0</v>
      </c>
      <c r="H89" s="26">
        <v>0.0</v>
      </c>
      <c r="I89" s="26">
        <v>0.0</v>
      </c>
      <c r="J89" s="26">
        <v>0.0</v>
      </c>
      <c r="K89" s="26">
        <v>0.0</v>
      </c>
      <c r="L89" s="41">
        <f t="shared" si="1"/>
        <v>4.875</v>
      </c>
      <c r="M89" s="41">
        <f>'LAPORAN RESMI'!L88</f>
        <v>0</v>
      </c>
      <c r="N89" s="41">
        <f t="shared" si="2"/>
        <v>2.4375</v>
      </c>
      <c r="O89" s="35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>
      <c r="A90" s="21">
        <f>'INPUT DAFTAR PESERTA'!A89</f>
        <v>86</v>
      </c>
      <c r="B90" s="21">
        <f>'INPUT DAFTAR PESERTA'!B89</f>
        <v>2509046071</v>
      </c>
      <c r="C90" s="40" t="str">
        <f>'INPUT DAFTAR PESERTA'!C89</f>
        <v>M. Ali Dinar</v>
      </c>
      <c r="D90" s="26">
        <v>0.0</v>
      </c>
      <c r="E90" s="26">
        <v>0.0</v>
      </c>
      <c r="F90" s="26">
        <v>0.0</v>
      </c>
      <c r="G90" s="26">
        <v>0.0</v>
      </c>
      <c r="H90" s="26">
        <v>0.0</v>
      </c>
      <c r="I90" s="26">
        <v>0.0</v>
      </c>
      <c r="J90" s="26">
        <v>0.0</v>
      </c>
      <c r="K90" s="26">
        <v>0.0</v>
      </c>
      <c r="L90" s="41">
        <f t="shared" si="1"/>
        <v>0</v>
      </c>
      <c r="M90" s="41">
        <f>'LAPORAN RESMI'!L89</f>
        <v>0</v>
      </c>
      <c r="N90" s="41">
        <f t="shared" si="2"/>
        <v>0</v>
      </c>
      <c r="O90" s="35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>
      <c r="A91" s="21">
        <f>'INPUT DAFTAR PESERTA'!A90</f>
        <v>87</v>
      </c>
      <c r="B91" s="21">
        <f>'INPUT DAFTAR PESERTA'!B90</f>
        <v>2509046072</v>
      </c>
      <c r="C91" s="40" t="str">
        <f>'INPUT DAFTAR PESERTA'!C90</f>
        <v>Julianitha Tabitha Angi</v>
      </c>
      <c r="D91" s="26">
        <v>0.0</v>
      </c>
      <c r="E91" s="26">
        <v>0.0</v>
      </c>
      <c r="F91" s="26">
        <v>0.0</v>
      </c>
      <c r="G91" s="26">
        <v>73.0</v>
      </c>
      <c r="H91" s="26">
        <v>50.0</v>
      </c>
      <c r="I91" s="26">
        <v>51.0</v>
      </c>
      <c r="J91" s="26">
        <v>0.0</v>
      </c>
      <c r="K91" s="26">
        <v>0.0</v>
      </c>
      <c r="L91" s="41">
        <f t="shared" si="1"/>
        <v>21.75</v>
      </c>
      <c r="M91" s="41">
        <f>'LAPORAN RESMI'!L90</f>
        <v>46.5</v>
      </c>
      <c r="N91" s="41">
        <f t="shared" si="2"/>
        <v>34.125</v>
      </c>
      <c r="O91" s="35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>
      <c r="A92" s="21">
        <f>'INPUT DAFTAR PESERTA'!A91</f>
        <v>88</v>
      </c>
      <c r="B92" s="21">
        <f>'INPUT DAFTAR PESERTA'!B91</f>
        <v>2509046073</v>
      </c>
      <c r="C92" s="40" t="str">
        <f>'INPUT DAFTAR PESERTA'!C91</f>
        <v>Sayyid Ahmad Raihan</v>
      </c>
      <c r="D92" s="26">
        <v>0.0</v>
      </c>
      <c r="E92" s="26">
        <v>0.0</v>
      </c>
      <c r="F92" s="26">
        <v>0.0</v>
      </c>
      <c r="G92" s="26">
        <v>0.0</v>
      </c>
      <c r="H92" s="26">
        <v>0.0</v>
      </c>
      <c r="I92" s="26">
        <v>0.0</v>
      </c>
      <c r="J92" s="26">
        <v>0.0</v>
      </c>
      <c r="K92" s="26">
        <v>0.0</v>
      </c>
      <c r="L92" s="41">
        <f t="shared" si="1"/>
        <v>0</v>
      </c>
      <c r="M92" s="41">
        <f>'LAPORAN RESMI'!L91</f>
        <v>0</v>
      </c>
      <c r="N92" s="41">
        <f t="shared" si="2"/>
        <v>0</v>
      </c>
      <c r="O92" s="35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>
      <c r="A93" s="21">
        <f>'INPUT DAFTAR PESERTA'!A92</f>
        <v>89</v>
      </c>
      <c r="B93" s="21">
        <f>'INPUT DAFTAR PESERTA'!B92</f>
        <v>2509046074</v>
      </c>
      <c r="C93" s="40" t="str">
        <f>'INPUT DAFTAR PESERTA'!C92</f>
        <v>Junior Agustian Culie</v>
      </c>
      <c r="D93" s="26">
        <v>0.0</v>
      </c>
      <c r="E93" s="26">
        <v>0.0</v>
      </c>
      <c r="F93" s="26">
        <v>0.0</v>
      </c>
      <c r="G93" s="26">
        <v>0.0</v>
      </c>
      <c r="H93" s="26">
        <v>0.0</v>
      </c>
      <c r="I93" s="26">
        <v>0.0</v>
      </c>
      <c r="J93" s="26">
        <v>0.0</v>
      </c>
      <c r="K93" s="26">
        <v>0.0</v>
      </c>
      <c r="L93" s="41">
        <f t="shared" si="1"/>
        <v>0</v>
      </c>
      <c r="M93" s="41">
        <f>'LAPORAN RESMI'!L92</f>
        <v>0</v>
      </c>
      <c r="N93" s="41">
        <f t="shared" si="2"/>
        <v>0</v>
      </c>
      <c r="O93" s="35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>
      <c r="A94" s="21">
        <f>'INPUT DAFTAR PESERTA'!A93</f>
        <v>90</v>
      </c>
      <c r="B94" s="21">
        <f>'INPUT DAFTAR PESERTA'!B93</f>
        <v>2509046075</v>
      </c>
      <c r="C94" s="40" t="str">
        <f>'INPUT DAFTAR PESERTA'!C93</f>
        <v>Andi Ahmad Dzaky Palewai Agri</v>
      </c>
      <c r="D94" s="26">
        <v>0.0</v>
      </c>
      <c r="E94" s="26">
        <v>0.0</v>
      </c>
      <c r="F94" s="26">
        <v>0.0</v>
      </c>
      <c r="G94" s="26">
        <v>0.0</v>
      </c>
      <c r="H94" s="26">
        <v>0.0</v>
      </c>
      <c r="I94" s="26">
        <v>10.0</v>
      </c>
      <c r="J94" s="26">
        <v>0.0</v>
      </c>
      <c r="K94" s="26">
        <v>0.0</v>
      </c>
      <c r="L94" s="41">
        <f t="shared" si="1"/>
        <v>1.25</v>
      </c>
      <c r="M94" s="41">
        <f>'LAPORAN RESMI'!L93</f>
        <v>0</v>
      </c>
      <c r="N94" s="41">
        <f t="shared" si="2"/>
        <v>0.625</v>
      </c>
      <c r="O94" s="35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>
      <c r="A95" s="21">
        <f>'INPUT DAFTAR PESERTA'!A94</f>
        <v>91</v>
      </c>
      <c r="B95" s="21">
        <f>'INPUT DAFTAR PESERTA'!B94</f>
        <v>2509046076</v>
      </c>
      <c r="C95" s="40" t="str">
        <f>'INPUT DAFTAR PESERTA'!C94</f>
        <v>Afif Ahmad Winarno</v>
      </c>
      <c r="D95" s="26">
        <v>17.0</v>
      </c>
      <c r="E95" s="26">
        <v>39.0</v>
      </c>
      <c r="F95" s="26">
        <v>26.0</v>
      </c>
      <c r="G95" s="26">
        <v>44.0</v>
      </c>
      <c r="H95" s="26">
        <v>31.0</v>
      </c>
      <c r="I95" s="26">
        <v>34.0</v>
      </c>
      <c r="J95" s="26">
        <v>43.0</v>
      </c>
      <c r="K95" s="26">
        <v>0.0</v>
      </c>
      <c r="L95" s="41">
        <f t="shared" si="1"/>
        <v>29.25</v>
      </c>
      <c r="M95" s="41">
        <f>'LAPORAN RESMI'!L94</f>
        <v>45.5</v>
      </c>
      <c r="N95" s="41">
        <f t="shared" si="2"/>
        <v>37.375</v>
      </c>
      <c r="O95" s="35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>
      <c r="A96" s="21">
        <f>'INPUT DAFTAR PESERTA'!A95</f>
        <v>92</v>
      </c>
      <c r="B96" s="21">
        <f>'INPUT DAFTAR PESERTA'!B95</f>
        <v>2509046077</v>
      </c>
      <c r="C96" s="40" t="str">
        <f>'INPUT DAFTAR PESERTA'!C95</f>
        <v>Muhammad Iqbal</v>
      </c>
      <c r="D96" s="26">
        <v>0.0</v>
      </c>
      <c r="E96" s="26">
        <v>0.0</v>
      </c>
      <c r="F96" s="26">
        <v>0.0</v>
      </c>
      <c r="G96" s="26">
        <v>0.0</v>
      </c>
      <c r="H96" s="26">
        <v>0.0</v>
      </c>
      <c r="I96" s="26">
        <v>35.0</v>
      </c>
      <c r="J96" s="26">
        <v>38.0</v>
      </c>
      <c r="K96" s="26">
        <v>0.0</v>
      </c>
      <c r="L96" s="41">
        <f t="shared" si="1"/>
        <v>9.125</v>
      </c>
      <c r="M96" s="41">
        <f>'LAPORAN RESMI'!L95</f>
        <v>0</v>
      </c>
      <c r="N96" s="41">
        <f t="shared" si="2"/>
        <v>4.5625</v>
      </c>
      <c r="O96" s="35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>
      <c r="A97" s="21">
        <f>'INPUT DAFTAR PESERTA'!A96</f>
        <v>93</v>
      </c>
      <c r="B97" s="21">
        <f>'INPUT DAFTAR PESERTA'!B96</f>
        <v>2509046078</v>
      </c>
      <c r="C97" s="40" t="str">
        <f>'INPUT DAFTAR PESERTA'!C96</f>
        <v>Shodiq Rizyuka Annaufla</v>
      </c>
      <c r="D97" s="26">
        <v>0.0</v>
      </c>
      <c r="E97" s="26">
        <v>0.0</v>
      </c>
      <c r="F97" s="26">
        <v>0.0</v>
      </c>
      <c r="G97" s="26">
        <v>0.0</v>
      </c>
      <c r="H97" s="26">
        <v>0.0</v>
      </c>
      <c r="I97" s="26">
        <v>0.0</v>
      </c>
      <c r="J97" s="26">
        <v>0.0</v>
      </c>
      <c r="K97" s="26">
        <v>0.0</v>
      </c>
      <c r="L97" s="41">
        <f t="shared" si="1"/>
        <v>0</v>
      </c>
      <c r="M97" s="41">
        <f>'LAPORAN RESMI'!L96</f>
        <v>0</v>
      </c>
      <c r="N97" s="41">
        <f t="shared" si="2"/>
        <v>0</v>
      </c>
      <c r="O97" s="35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>
      <c r="A98" s="21">
        <f>'INPUT DAFTAR PESERTA'!A97</f>
        <v>94</v>
      </c>
      <c r="B98" s="21">
        <f>'INPUT DAFTAR PESERTA'!B97</f>
        <v>2509046079</v>
      </c>
      <c r="C98" s="40" t="str">
        <f>'INPUT DAFTAR PESERTA'!C97</f>
        <v>Muhamad Jailani</v>
      </c>
      <c r="D98" s="26">
        <v>0.0</v>
      </c>
      <c r="E98" s="26">
        <v>0.0</v>
      </c>
      <c r="F98" s="26">
        <v>0.0</v>
      </c>
      <c r="G98" s="26">
        <v>0.0</v>
      </c>
      <c r="H98" s="26">
        <v>37.0</v>
      </c>
      <c r="I98" s="26">
        <v>0.0</v>
      </c>
      <c r="J98" s="26">
        <v>0.0</v>
      </c>
      <c r="K98" s="26">
        <v>0.0</v>
      </c>
      <c r="L98" s="41">
        <f t="shared" si="1"/>
        <v>4.625</v>
      </c>
      <c r="M98" s="41">
        <f>'LAPORAN RESMI'!L97</f>
        <v>0</v>
      </c>
      <c r="N98" s="41">
        <f t="shared" si="2"/>
        <v>2.3125</v>
      </c>
      <c r="O98" s="35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>
      <c r="A99" s="35"/>
      <c r="B99" s="35" t="str">
        <f>'INPUT DAFTAR PESERTA'!B98</f>
        <v/>
      </c>
      <c r="C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>
      <c r="A100" s="35"/>
      <c r="B100" s="35" t="str">
        <f>'INPUT DAFTAR PESERTA'!B99</f>
        <v/>
      </c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>
      <c r="A101" s="35"/>
      <c r="B101" s="35" t="str">
        <f>'INPUT DAFTAR PESERTA'!B100</f>
        <v/>
      </c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>
      <c r="A102" s="35"/>
      <c r="B102" s="35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>
      <c r="A103" s="35"/>
      <c r="B103" s="35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>
      <c r="A104" s="35"/>
      <c r="B104" s="35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>
      <c r="A105" s="35"/>
      <c r="B105" s="35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>
      <c r="A106" s="35"/>
      <c r="B106" s="35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>
      <c r="A107" s="35"/>
      <c r="B107" s="35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>
      <c r="A108" s="35"/>
      <c r="B108" s="35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>
      <c r="A109" s="35"/>
      <c r="B109" s="35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>
      <c r="A110" s="35"/>
      <c r="B110" s="35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>
      <c r="A111" s="35"/>
      <c r="B111" s="35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>
      <c r="A112" s="35"/>
      <c r="B112" s="35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>
      <c r="A113" s="35"/>
      <c r="B113" s="35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>
      <c r="A114" s="35"/>
      <c r="B114" s="35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>
      <c r="A115" s="35"/>
      <c r="B115" s="35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>
      <c r="A116" s="35"/>
      <c r="B116" s="35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>
      <c r="A117" s="35"/>
      <c r="B117" s="35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>
      <c r="A118" s="35"/>
      <c r="B118" s="35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>
      <c r="A119" s="35"/>
      <c r="B119" s="35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>
      <c r="A120" s="35"/>
      <c r="B120" s="35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>
      <c r="A121" s="35"/>
      <c r="B121" s="35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>
      <c r="A122" s="35"/>
      <c r="B122" s="35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>
      <c r="A123" s="35"/>
      <c r="B123" s="35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>
      <c r="A124" s="35"/>
      <c r="B124" s="35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>
      <c r="A125" s="35"/>
      <c r="B125" s="35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>
      <c r="A126" s="35"/>
      <c r="B126" s="35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>
      <c r="A127" s="35"/>
      <c r="B127" s="35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>
      <c r="A128" s="35"/>
      <c r="B128" s="35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>
      <c r="A129" s="35"/>
      <c r="B129" s="35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>
      <c r="A130" s="35"/>
      <c r="B130" s="35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>
      <c r="A131" s="35"/>
      <c r="B131" s="35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>
      <c r="A132" s="35"/>
      <c r="B132" s="35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>
      <c r="A133" s="35"/>
      <c r="B133" s="35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>
      <c r="A134" s="35"/>
      <c r="B134" s="35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>
      <c r="A135" s="35"/>
      <c r="B135" s="35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>
      <c r="A136" s="35"/>
      <c r="B136" s="35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>
      <c r="A137" s="35"/>
      <c r="B137" s="35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>
      <c r="A138" s="35"/>
      <c r="B138" s="35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>
      <c r="A139" s="35"/>
      <c r="B139" s="35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>
      <c r="A140" s="35"/>
      <c r="B140" s="35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>
      <c r="A141" s="35"/>
      <c r="B141" s="35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>
      <c r="A142" s="35"/>
      <c r="B142" s="35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>
      <c r="A143" s="35"/>
      <c r="B143" s="35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>
      <c r="A144" s="35"/>
      <c r="B144" s="35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>
      <c r="A145" s="35"/>
      <c r="B145" s="35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>
      <c r="A146" s="35"/>
      <c r="B146" s="35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>
      <c r="A147" s="35"/>
      <c r="B147" s="35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>
      <c r="A148" s="35"/>
      <c r="B148" s="35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>
      <c r="A149" s="35"/>
      <c r="B149" s="35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>
      <c r="A150" s="35"/>
      <c r="B150" s="35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>
      <c r="A151" s="35"/>
      <c r="B151" s="35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>
      <c r="A152" s="35"/>
      <c r="B152" s="35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>
      <c r="A153" s="35"/>
      <c r="B153" s="35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>
      <c r="A154" s="35"/>
      <c r="B154" s="35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>
      <c r="A155" s="35"/>
      <c r="B155" s="35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>
      <c r="A156" s="35"/>
      <c r="B156" s="35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>
      <c r="A157" s="35"/>
      <c r="B157" s="35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>
      <c r="A158" s="35"/>
      <c r="B158" s="35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>
      <c r="A159" s="35"/>
      <c r="B159" s="35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>
      <c r="A160" s="35"/>
      <c r="B160" s="35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>
      <c r="A161" s="35"/>
      <c r="B161" s="35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>
      <c r="A162" s="35"/>
      <c r="B162" s="35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>
      <c r="A163" s="35"/>
      <c r="B163" s="35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>
      <c r="A164" s="35"/>
      <c r="B164" s="35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>
      <c r="A165" s="35"/>
      <c r="B165" s="35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>
      <c r="A166" s="35"/>
      <c r="B166" s="35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>
      <c r="A167" s="35"/>
      <c r="B167" s="35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>
      <c r="A168" s="35"/>
      <c r="B168" s="35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>
      <c r="A169" s="35"/>
      <c r="B169" s="35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>
      <c r="A170" s="35"/>
      <c r="B170" s="35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>
      <c r="A171" s="35"/>
      <c r="B171" s="35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>
      <c r="A172" s="35"/>
      <c r="B172" s="35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>
      <c r="A173" s="35"/>
      <c r="B173" s="35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>
      <c r="A174" s="35"/>
      <c r="B174" s="35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>
      <c r="A175" s="35"/>
      <c r="B175" s="35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>
      <c r="A176" s="35"/>
      <c r="B176" s="35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>
      <c r="A177" s="35"/>
      <c r="B177" s="35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>
      <c r="A178" s="35"/>
      <c r="B178" s="35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>
      <c r="A179" s="35"/>
      <c r="B179" s="35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>
      <c r="A180" s="35"/>
      <c r="B180" s="35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>
      <c r="A181" s="35"/>
      <c r="B181" s="35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>
      <c r="A182" s="35"/>
      <c r="B182" s="35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>
      <c r="A183" s="35"/>
      <c r="B183" s="35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>
      <c r="A184" s="35"/>
      <c r="B184" s="35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>
      <c r="A185" s="35"/>
      <c r="B185" s="35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>
      <c r="A186" s="35"/>
      <c r="B186" s="35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>
      <c r="A187" s="35"/>
      <c r="B187" s="35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>
      <c r="A188" s="35"/>
      <c r="B188" s="35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>
      <c r="A189" s="35"/>
      <c r="B189" s="35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>
      <c r="A190" s="35"/>
      <c r="B190" s="35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>
      <c r="A191" s="35"/>
      <c r="B191" s="35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>
      <c r="A192" s="35"/>
      <c r="B192" s="35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>
      <c r="A193" s="35"/>
      <c r="B193" s="35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>
      <c r="A194" s="35"/>
      <c r="B194" s="35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>
      <c r="A195" s="35"/>
      <c r="B195" s="35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>
      <c r="A196" s="35"/>
      <c r="B196" s="35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>
      <c r="A197" s="35"/>
      <c r="B197" s="35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>
      <c r="A198" s="35"/>
      <c r="B198" s="35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>
      <c r="A199" s="35"/>
      <c r="B199" s="35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>
      <c r="A200" s="35"/>
      <c r="B200" s="35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>
      <c r="A201" s="35"/>
      <c r="B201" s="35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>
      <c r="A202" s="35"/>
      <c r="B202" s="35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>
      <c r="A203" s="35"/>
      <c r="B203" s="35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>
      <c r="A204" s="35"/>
      <c r="B204" s="35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>
      <c r="A205" s="35"/>
      <c r="B205" s="35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>
      <c r="A206" s="35"/>
      <c r="B206" s="35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>
      <c r="A207" s="35"/>
      <c r="B207" s="35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>
      <c r="A208" s="35"/>
      <c r="B208" s="35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>
      <c r="A209" s="35"/>
      <c r="B209" s="35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>
      <c r="A210" s="35"/>
      <c r="B210" s="35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>
      <c r="A211" s="35"/>
      <c r="B211" s="35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>
      <c r="A212" s="35"/>
      <c r="B212" s="35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>
      <c r="A213" s="35"/>
      <c r="B213" s="35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>
      <c r="A214" s="35"/>
      <c r="B214" s="35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>
      <c r="A215" s="35"/>
      <c r="B215" s="35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>
      <c r="A216" s="35"/>
      <c r="B216" s="35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>
      <c r="A217" s="35"/>
      <c r="B217" s="35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>
      <c r="A218" s="35"/>
      <c r="B218" s="35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>
      <c r="A219" s="35"/>
      <c r="B219" s="35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>
      <c r="A220" s="35"/>
      <c r="B220" s="35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>
      <c r="A221" s="35"/>
      <c r="B221" s="35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>
      <c r="A222" s="35"/>
      <c r="B222" s="35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>
      <c r="A223" s="35"/>
      <c r="B223" s="35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>
      <c r="A224" s="35"/>
      <c r="B224" s="35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>
      <c r="A225" s="35"/>
      <c r="B225" s="35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>
      <c r="A226" s="35"/>
      <c r="B226" s="35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>
      <c r="A227" s="35"/>
      <c r="B227" s="35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>
      <c r="A228" s="35"/>
      <c r="B228" s="35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>
      <c r="A229" s="35"/>
      <c r="B229" s="35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>
      <c r="A230" s="35"/>
      <c r="B230" s="35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>
      <c r="A231" s="35"/>
      <c r="B231" s="35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>
      <c r="A232" s="35"/>
      <c r="B232" s="35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>
      <c r="A233" s="35"/>
      <c r="B233" s="35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>
      <c r="A234" s="35"/>
      <c r="B234" s="35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>
      <c r="A235" s="35"/>
      <c r="B235" s="35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>
      <c r="A236" s="35"/>
      <c r="B236" s="35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>
      <c r="A237" s="35"/>
      <c r="B237" s="35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>
      <c r="A238" s="35"/>
      <c r="B238" s="35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>
      <c r="A239" s="35"/>
      <c r="B239" s="35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>
      <c r="A240" s="35"/>
      <c r="B240" s="35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>
      <c r="A241" s="35"/>
      <c r="B241" s="35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>
      <c r="A242" s="35"/>
      <c r="B242" s="35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>
      <c r="A243" s="35"/>
      <c r="B243" s="35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>
      <c r="A244" s="35"/>
      <c r="B244" s="35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>
      <c r="A245" s="35"/>
      <c r="B245" s="35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>
      <c r="A246" s="35"/>
      <c r="B246" s="35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>
      <c r="A247" s="35"/>
      <c r="B247" s="35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>
      <c r="A248" s="35"/>
      <c r="B248" s="35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>
      <c r="A249" s="35"/>
      <c r="B249" s="35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>
      <c r="A250" s="35"/>
      <c r="B250" s="35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>
      <c r="A251" s="35"/>
      <c r="B251" s="35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>
      <c r="A252" s="35"/>
      <c r="B252" s="35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>
      <c r="A253" s="35"/>
      <c r="B253" s="35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>
      <c r="A254" s="35"/>
      <c r="B254" s="35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>
      <c r="A255" s="35"/>
      <c r="B255" s="35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>
      <c r="A256" s="35"/>
      <c r="B256" s="35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>
      <c r="A257" s="35"/>
      <c r="B257" s="35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>
      <c r="A258" s="35"/>
      <c r="B258" s="35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>
      <c r="A259" s="35"/>
      <c r="B259" s="35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>
      <c r="A260" s="35"/>
      <c r="B260" s="35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>
      <c r="A261" s="35"/>
      <c r="B261" s="35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>
      <c r="A262" s="35"/>
      <c r="B262" s="35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>
      <c r="A263" s="35"/>
      <c r="B263" s="35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>
      <c r="A264" s="35"/>
      <c r="B264" s="35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>
      <c r="A265" s="35"/>
      <c r="B265" s="35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>
      <c r="A266" s="35"/>
      <c r="B266" s="35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>
      <c r="A267" s="35"/>
      <c r="B267" s="35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>
      <c r="A268" s="35"/>
      <c r="B268" s="35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>
      <c r="A269" s="35"/>
      <c r="B269" s="35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>
      <c r="A270" s="35"/>
      <c r="B270" s="35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>
      <c r="A271" s="35"/>
      <c r="B271" s="35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>
      <c r="A272" s="35"/>
      <c r="B272" s="35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>
      <c r="A273" s="35"/>
      <c r="B273" s="35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>
      <c r="A274" s="35"/>
      <c r="B274" s="35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>
      <c r="A275" s="35"/>
      <c r="B275" s="35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>
      <c r="A276" s="35"/>
      <c r="B276" s="35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>
      <c r="A277" s="35"/>
      <c r="B277" s="35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>
      <c r="A278" s="35"/>
      <c r="B278" s="35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>
      <c r="A279" s="35"/>
      <c r="B279" s="35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>
      <c r="A280" s="35"/>
      <c r="B280" s="35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>
      <c r="A281" s="35"/>
      <c r="B281" s="35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>
      <c r="A282" s="35"/>
      <c r="B282" s="35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>
      <c r="A283" s="35"/>
      <c r="B283" s="35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>
      <c r="A284" s="35"/>
      <c r="B284" s="35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>
      <c r="A285" s="35"/>
      <c r="B285" s="35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>
      <c r="A286" s="35"/>
      <c r="B286" s="35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>
      <c r="A287" s="35"/>
      <c r="B287" s="35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>
      <c r="A288" s="35"/>
      <c r="B288" s="35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>
      <c r="A289" s="35"/>
      <c r="B289" s="35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>
      <c r="A290" s="35"/>
      <c r="B290" s="35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>
      <c r="A291" s="35"/>
      <c r="B291" s="35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>
      <c r="A292" s="35"/>
      <c r="B292" s="35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>
      <c r="A293" s="35"/>
      <c r="B293" s="35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>
      <c r="A294" s="35"/>
      <c r="B294" s="35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>
      <c r="A295" s="35"/>
      <c r="B295" s="35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>
      <c r="A296" s="35"/>
      <c r="B296" s="35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>
      <c r="A297" s="35"/>
      <c r="B297" s="35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>
      <c r="A298" s="35"/>
      <c r="B298" s="35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>
      <c r="A299" s="35"/>
      <c r="B299" s="35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>
      <c r="A300" s="35"/>
      <c r="B300" s="35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>
      <c r="A301" s="35"/>
      <c r="B301" s="35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>
      <c r="A302" s="35"/>
      <c r="B302" s="35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>
      <c r="A303" s="35"/>
      <c r="B303" s="35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>
      <c r="A304" s="35"/>
      <c r="B304" s="35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>
      <c r="A305" s="35"/>
      <c r="B305" s="35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>
      <c r="A306" s="35"/>
      <c r="B306" s="35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>
      <c r="A307" s="35"/>
      <c r="B307" s="35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>
      <c r="A308" s="35"/>
      <c r="B308" s="35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>
      <c r="A309" s="35"/>
      <c r="B309" s="35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>
      <c r="A310" s="35"/>
      <c r="B310" s="35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>
      <c r="A311" s="35"/>
      <c r="B311" s="35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>
      <c r="A312" s="35"/>
      <c r="B312" s="35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>
      <c r="A313" s="35"/>
      <c r="B313" s="35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>
      <c r="A314" s="35"/>
      <c r="B314" s="35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>
      <c r="A315" s="35"/>
      <c r="B315" s="35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>
      <c r="A316" s="35"/>
      <c r="B316" s="35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>
      <c r="A317" s="35"/>
      <c r="B317" s="35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>
      <c r="A318" s="35"/>
      <c r="B318" s="35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>
      <c r="A319" s="35"/>
      <c r="B319" s="35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>
      <c r="A320" s="35"/>
      <c r="B320" s="35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>
      <c r="A321" s="35"/>
      <c r="B321" s="35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>
      <c r="A322" s="35"/>
      <c r="B322" s="35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>
      <c r="A323" s="35"/>
      <c r="B323" s="35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>
      <c r="A324" s="35"/>
      <c r="B324" s="35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>
      <c r="A325" s="35"/>
      <c r="B325" s="35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>
      <c r="A326" s="35"/>
      <c r="B326" s="35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>
      <c r="A327" s="35"/>
      <c r="B327" s="35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>
      <c r="A328" s="35"/>
      <c r="B328" s="35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>
      <c r="A329" s="35"/>
      <c r="B329" s="35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>
      <c r="A330" s="35"/>
      <c r="B330" s="35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>
      <c r="A331" s="35"/>
      <c r="B331" s="35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>
      <c r="A332" s="35"/>
      <c r="B332" s="35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>
      <c r="A333" s="35"/>
      <c r="B333" s="35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>
      <c r="A334" s="35"/>
      <c r="B334" s="35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>
      <c r="A335" s="35"/>
      <c r="B335" s="35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>
      <c r="A336" s="35"/>
      <c r="B336" s="35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>
      <c r="A337" s="35"/>
      <c r="B337" s="35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>
      <c r="A338" s="35"/>
      <c r="B338" s="35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>
      <c r="A339" s="35"/>
      <c r="B339" s="35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>
      <c r="A340" s="35"/>
      <c r="B340" s="35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>
      <c r="A341" s="35"/>
      <c r="B341" s="35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>
      <c r="A342" s="35"/>
      <c r="B342" s="35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>
      <c r="A343" s="35"/>
      <c r="B343" s="35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>
      <c r="A344" s="35"/>
      <c r="B344" s="35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>
      <c r="A345" s="35"/>
      <c r="B345" s="35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>
      <c r="A346" s="35"/>
      <c r="B346" s="35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>
      <c r="A347" s="35"/>
      <c r="B347" s="35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>
      <c r="A348" s="35"/>
      <c r="B348" s="35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>
      <c r="A349" s="35"/>
      <c r="B349" s="35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>
      <c r="A350" s="35"/>
      <c r="B350" s="35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>
      <c r="A351" s="35"/>
      <c r="B351" s="35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>
      <c r="A352" s="35"/>
      <c r="B352" s="35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>
      <c r="A353" s="35"/>
      <c r="B353" s="35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>
      <c r="A354" s="35"/>
      <c r="B354" s="35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>
      <c r="A355" s="35"/>
      <c r="B355" s="35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>
      <c r="A356" s="35"/>
      <c r="B356" s="35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>
      <c r="A357" s="35"/>
      <c r="B357" s="35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>
      <c r="A358" s="35"/>
      <c r="B358" s="35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>
      <c r="A359" s="35"/>
      <c r="B359" s="35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>
      <c r="A360" s="35"/>
      <c r="B360" s="35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>
      <c r="A361" s="35"/>
      <c r="B361" s="35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>
      <c r="A362" s="35"/>
      <c r="B362" s="35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>
      <c r="A363" s="35"/>
      <c r="B363" s="35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>
      <c r="A364" s="35"/>
      <c r="B364" s="35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>
      <c r="A365" s="35"/>
      <c r="B365" s="35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>
      <c r="A366" s="35"/>
      <c r="B366" s="35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>
      <c r="A367" s="35"/>
      <c r="B367" s="35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>
      <c r="A368" s="35"/>
      <c r="B368" s="35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>
      <c r="A369" s="35"/>
      <c r="B369" s="35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>
      <c r="A370" s="35"/>
      <c r="B370" s="35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>
      <c r="A371" s="35"/>
      <c r="B371" s="35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>
      <c r="A372" s="35"/>
      <c r="B372" s="35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>
      <c r="A373" s="35"/>
      <c r="B373" s="35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>
      <c r="A374" s="35"/>
      <c r="B374" s="35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>
      <c r="A375" s="35"/>
      <c r="B375" s="35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>
      <c r="A376" s="35"/>
      <c r="B376" s="35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>
      <c r="A377" s="35"/>
      <c r="B377" s="35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>
      <c r="A378" s="35"/>
      <c r="B378" s="35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>
      <c r="A379" s="35"/>
      <c r="B379" s="35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>
      <c r="A380" s="35"/>
      <c r="B380" s="35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>
      <c r="A381" s="35"/>
      <c r="B381" s="35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>
      <c r="A382" s="35"/>
      <c r="B382" s="35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>
      <c r="A383" s="35"/>
      <c r="B383" s="35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>
      <c r="A384" s="35"/>
      <c r="B384" s="35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>
      <c r="A385" s="35"/>
      <c r="B385" s="35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>
      <c r="A386" s="35"/>
      <c r="B386" s="35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>
      <c r="A387" s="35"/>
      <c r="B387" s="35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>
      <c r="A388" s="35"/>
      <c r="B388" s="35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>
      <c r="A389" s="35"/>
      <c r="B389" s="35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>
      <c r="A390" s="35"/>
      <c r="B390" s="35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>
      <c r="A391" s="35"/>
      <c r="B391" s="35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>
      <c r="A392" s="35"/>
      <c r="B392" s="35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>
      <c r="A393" s="35"/>
      <c r="B393" s="35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>
      <c r="A394" s="35"/>
      <c r="B394" s="35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>
      <c r="A395" s="35"/>
      <c r="B395" s="35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>
      <c r="A396" s="35"/>
      <c r="B396" s="35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>
      <c r="A397" s="35"/>
      <c r="B397" s="35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>
      <c r="A398" s="35"/>
      <c r="B398" s="35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>
      <c r="A399" s="35"/>
      <c r="B399" s="35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>
      <c r="A400" s="35"/>
      <c r="B400" s="35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>
      <c r="A401" s="35"/>
      <c r="B401" s="35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>
      <c r="A402" s="35"/>
      <c r="B402" s="35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>
      <c r="A403" s="35"/>
      <c r="B403" s="35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>
      <c r="A404" s="35"/>
      <c r="B404" s="35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>
      <c r="A405" s="35"/>
      <c r="B405" s="35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>
      <c r="A406" s="35"/>
      <c r="B406" s="35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>
      <c r="A407" s="35"/>
      <c r="B407" s="35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>
      <c r="A408" s="35"/>
      <c r="B408" s="35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>
      <c r="A409" s="35"/>
      <c r="B409" s="35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>
      <c r="A410" s="35"/>
      <c r="B410" s="35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>
      <c r="A411" s="35"/>
      <c r="B411" s="35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>
      <c r="A412" s="35"/>
      <c r="B412" s="35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>
      <c r="A413" s="35"/>
      <c r="B413" s="35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>
      <c r="A414" s="35"/>
      <c r="B414" s="35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>
      <c r="A415" s="35"/>
      <c r="B415" s="35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>
      <c r="A416" s="35"/>
      <c r="B416" s="35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>
      <c r="A417" s="35"/>
      <c r="B417" s="35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>
      <c r="A418" s="35"/>
      <c r="B418" s="35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>
      <c r="A419" s="35"/>
      <c r="B419" s="35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>
      <c r="A420" s="35"/>
      <c r="B420" s="35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>
      <c r="A421" s="35"/>
      <c r="B421" s="35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>
      <c r="A422" s="35"/>
      <c r="B422" s="35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>
      <c r="A423" s="35"/>
      <c r="B423" s="35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>
      <c r="A424" s="35"/>
      <c r="B424" s="35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>
      <c r="A425" s="35"/>
      <c r="B425" s="35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>
      <c r="A426" s="35"/>
      <c r="B426" s="35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>
      <c r="A427" s="35"/>
      <c r="B427" s="35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>
      <c r="A428" s="35"/>
      <c r="B428" s="35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>
      <c r="A429" s="35"/>
      <c r="B429" s="35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>
      <c r="A430" s="35"/>
      <c r="B430" s="35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>
      <c r="A431" s="35"/>
      <c r="B431" s="35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>
      <c r="A432" s="35"/>
      <c r="B432" s="35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>
      <c r="A433" s="35"/>
      <c r="B433" s="35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>
      <c r="A434" s="35"/>
      <c r="B434" s="35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>
      <c r="A435" s="35"/>
      <c r="B435" s="35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>
      <c r="A436" s="35"/>
      <c r="B436" s="35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>
      <c r="A437" s="35"/>
      <c r="B437" s="35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>
      <c r="A438" s="35"/>
      <c r="B438" s="35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>
      <c r="A439" s="35"/>
      <c r="B439" s="35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>
      <c r="A440" s="35"/>
      <c r="B440" s="35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>
      <c r="A441" s="35"/>
      <c r="B441" s="35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>
      <c r="A442" s="35"/>
      <c r="B442" s="35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>
      <c r="A443" s="35"/>
      <c r="B443" s="35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>
      <c r="A444" s="35"/>
      <c r="B444" s="35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>
      <c r="A445" s="35"/>
      <c r="B445" s="35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>
      <c r="A446" s="35"/>
      <c r="B446" s="35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>
      <c r="A447" s="35"/>
      <c r="B447" s="35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>
      <c r="A448" s="35"/>
      <c r="B448" s="35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>
      <c r="A449" s="35"/>
      <c r="B449" s="35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>
      <c r="A450" s="35"/>
      <c r="B450" s="35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>
      <c r="A451" s="35"/>
      <c r="B451" s="35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>
      <c r="A452" s="35"/>
      <c r="B452" s="35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>
      <c r="A453" s="35"/>
      <c r="B453" s="35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>
      <c r="A454" s="35"/>
      <c r="B454" s="35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>
      <c r="A455" s="35"/>
      <c r="B455" s="35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>
      <c r="A456" s="35"/>
      <c r="B456" s="35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>
      <c r="A457" s="35"/>
      <c r="B457" s="35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>
      <c r="A458" s="35"/>
      <c r="B458" s="35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>
      <c r="A459" s="35"/>
      <c r="B459" s="35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>
      <c r="A460" s="35"/>
      <c r="B460" s="35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>
      <c r="A461" s="35"/>
      <c r="B461" s="35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>
      <c r="A462" s="35"/>
      <c r="B462" s="35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>
      <c r="A463" s="35"/>
      <c r="B463" s="35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>
      <c r="A464" s="35"/>
      <c r="B464" s="35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>
      <c r="A465" s="35"/>
      <c r="B465" s="35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>
      <c r="A466" s="35"/>
      <c r="B466" s="35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>
      <c r="A467" s="35"/>
      <c r="B467" s="35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>
      <c r="A468" s="35"/>
      <c r="B468" s="35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>
      <c r="A469" s="35"/>
      <c r="B469" s="35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>
      <c r="A470" s="35"/>
      <c r="B470" s="35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>
      <c r="A471" s="35"/>
      <c r="B471" s="35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>
      <c r="A472" s="35"/>
      <c r="B472" s="35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>
      <c r="A473" s="35"/>
      <c r="B473" s="35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>
      <c r="A474" s="35"/>
      <c r="B474" s="35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>
      <c r="A475" s="35"/>
      <c r="B475" s="35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>
      <c r="A476" s="35"/>
      <c r="B476" s="35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>
      <c r="A477" s="35"/>
      <c r="B477" s="35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>
      <c r="A478" s="35"/>
      <c r="B478" s="35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>
      <c r="A479" s="35"/>
      <c r="B479" s="35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>
      <c r="A480" s="35"/>
      <c r="B480" s="35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>
      <c r="A481" s="35"/>
      <c r="B481" s="35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>
      <c r="A482" s="35"/>
      <c r="B482" s="35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>
      <c r="A483" s="35"/>
      <c r="B483" s="35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>
      <c r="A484" s="35"/>
      <c r="B484" s="35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>
      <c r="A485" s="35"/>
      <c r="B485" s="35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>
      <c r="A486" s="35"/>
      <c r="B486" s="35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>
      <c r="A487" s="35"/>
      <c r="B487" s="35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>
      <c r="A488" s="35"/>
      <c r="B488" s="35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>
      <c r="A489" s="35"/>
      <c r="B489" s="35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>
      <c r="A490" s="35"/>
      <c r="B490" s="35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>
      <c r="A491" s="35"/>
      <c r="B491" s="35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>
      <c r="A492" s="35"/>
      <c r="B492" s="35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>
      <c r="A493" s="35"/>
      <c r="B493" s="35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>
      <c r="A494" s="35"/>
      <c r="B494" s="35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>
      <c r="A495" s="35"/>
      <c r="B495" s="35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>
      <c r="A496" s="35"/>
      <c r="B496" s="35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>
      <c r="A497" s="35"/>
      <c r="B497" s="35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>
      <c r="A498" s="35"/>
      <c r="B498" s="35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>
      <c r="A499" s="35"/>
      <c r="B499" s="35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>
      <c r="A500" s="35"/>
      <c r="B500" s="35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>
      <c r="A501" s="35"/>
      <c r="B501" s="35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>
      <c r="A502" s="35"/>
      <c r="B502" s="35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>
      <c r="A503" s="35"/>
      <c r="B503" s="35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>
      <c r="A504" s="35"/>
      <c r="B504" s="35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>
      <c r="A505" s="35"/>
      <c r="B505" s="35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>
      <c r="A506" s="35"/>
      <c r="B506" s="35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>
      <c r="A507" s="35"/>
      <c r="B507" s="35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>
      <c r="A508" s="35"/>
      <c r="B508" s="35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>
      <c r="A509" s="35"/>
      <c r="B509" s="35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>
      <c r="A510" s="35"/>
      <c r="B510" s="35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>
      <c r="A511" s="35"/>
      <c r="B511" s="35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>
      <c r="A512" s="35"/>
      <c r="B512" s="35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>
      <c r="A513" s="35"/>
      <c r="B513" s="35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>
      <c r="A514" s="35"/>
      <c r="B514" s="35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>
      <c r="A515" s="35"/>
      <c r="B515" s="35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>
      <c r="A516" s="35"/>
      <c r="B516" s="35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>
      <c r="A517" s="35"/>
      <c r="B517" s="35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>
      <c r="A518" s="35"/>
      <c r="B518" s="35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>
      <c r="A519" s="35"/>
      <c r="B519" s="35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>
      <c r="A520" s="35"/>
      <c r="B520" s="35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>
      <c r="A521" s="35"/>
      <c r="B521" s="35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>
      <c r="A522" s="35"/>
      <c r="B522" s="35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>
      <c r="A523" s="35"/>
      <c r="B523" s="35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>
      <c r="A524" s="35"/>
      <c r="B524" s="35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>
      <c r="A525" s="35"/>
      <c r="B525" s="35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>
      <c r="A526" s="35"/>
      <c r="B526" s="35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>
      <c r="A527" s="35"/>
      <c r="B527" s="35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>
      <c r="A528" s="35"/>
      <c r="B528" s="35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>
      <c r="A529" s="35"/>
      <c r="B529" s="35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>
      <c r="A530" s="35"/>
      <c r="B530" s="35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>
      <c r="A531" s="35"/>
      <c r="B531" s="35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>
      <c r="A532" s="35"/>
      <c r="B532" s="35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>
      <c r="A533" s="35"/>
      <c r="B533" s="35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>
      <c r="A534" s="35"/>
      <c r="B534" s="35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>
      <c r="A535" s="35"/>
      <c r="B535" s="35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>
      <c r="A536" s="35"/>
      <c r="B536" s="35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>
      <c r="A537" s="35"/>
      <c r="B537" s="35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>
      <c r="A538" s="35"/>
      <c r="B538" s="35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>
      <c r="A539" s="35"/>
      <c r="B539" s="35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>
      <c r="A540" s="35"/>
      <c r="B540" s="35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>
      <c r="A541" s="35"/>
      <c r="B541" s="35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>
      <c r="A542" s="35"/>
      <c r="B542" s="35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>
      <c r="A543" s="35"/>
      <c r="B543" s="35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>
      <c r="A544" s="35"/>
      <c r="B544" s="35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>
      <c r="A545" s="35"/>
      <c r="B545" s="35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>
      <c r="A546" s="35"/>
      <c r="B546" s="35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>
      <c r="A547" s="35"/>
      <c r="B547" s="35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>
      <c r="A548" s="35"/>
      <c r="B548" s="35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>
      <c r="A549" s="35"/>
      <c r="B549" s="35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>
      <c r="A550" s="35"/>
      <c r="B550" s="35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>
      <c r="A551" s="35"/>
      <c r="B551" s="35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>
      <c r="A552" s="35"/>
      <c r="B552" s="35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>
      <c r="A553" s="35"/>
      <c r="B553" s="35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>
      <c r="A554" s="35"/>
      <c r="B554" s="35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>
      <c r="A555" s="35"/>
      <c r="B555" s="35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>
      <c r="A556" s="35"/>
      <c r="B556" s="35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>
      <c r="A557" s="35"/>
      <c r="B557" s="35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>
      <c r="A558" s="35"/>
      <c r="B558" s="35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>
      <c r="A559" s="35"/>
      <c r="B559" s="35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>
      <c r="A560" s="35"/>
      <c r="B560" s="35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>
      <c r="A561" s="35"/>
      <c r="B561" s="35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>
      <c r="A562" s="35"/>
      <c r="B562" s="35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>
      <c r="A563" s="35"/>
      <c r="B563" s="35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>
      <c r="A564" s="35"/>
      <c r="B564" s="35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>
      <c r="A565" s="35"/>
      <c r="B565" s="35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>
      <c r="A566" s="35"/>
      <c r="B566" s="35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>
      <c r="A567" s="35"/>
      <c r="B567" s="35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>
      <c r="A568" s="35"/>
      <c r="B568" s="35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>
      <c r="A569" s="35"/>
      <c r="B569" s="35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>
      <c r="A570" s="35"/>
      <c r="B570" s="35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>
      <c r="A571" s="35"/>
      <c r="B571" s="35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>
      <c r="A572" s="35"/>
      <c r="B572" s="35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>
      <c r="A573" s="35"/>
      <c r="B573" s="35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>
      <c r="A574" s="35"/>
      <c r="B574" s="35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>
      <c r="A575" s="35"/>
      <c r="B575" s="35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>
      <c r="A576" s="35"/>
      <c r="B576" s="35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>
      <c r="A577" s="35"/>
      <c r="B577" s="35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>
      <c r="A578" s="35"/>
      <c r="B578" s="35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>
      <c r="A579" s="35"/>
      <c r="B579" s="35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>
      <c r="A580" s="35"/>
      <c r="B580" s="35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>
      <c r="A581" s="35"/>
      <c r="B581" s="35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>
      <c r="A582" s="35"/>
      <c r="B582" s="35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>
      <c r="A583" s="35"/>
      <c r="B583" s="35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>
      <c r="A584" s="35"/>
      <c r="B584" s="35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>
      <c r="A585" s="35"/>
      <c r="B585" s="35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>
      <c r="A586" s="35"/>
      <c r="B586" s="35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>
      <c r="A587" s="35"/>
      <c r="B587" s="35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>
      <c r="A588" s="35"/>
      <c r="B588" s="35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>
      <c r="A589" s="35"/>
      <c r="B589" s="35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>
      <c r="A590" s="35"/>
      <c r="B590" s="35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>
      <c r="A591" s="35"/>
      <c r="B591" s="35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>
      <c r="A592" s="35"/>
      <c r="B592" s="35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>
      <c r="A593" s="35"/>
      <c r="B593" s="35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>
      <c r="A594" s="35"/>
      <c r="B594" s="35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>
      <c r="A595" s="35"/>
      <c r="B595" s="35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>
      <c r="A596" s="35"/>
      <c r="B596" s="35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>
      <c r="A597" s="35"/>
      <c r="B597" s="35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>
      <c r="A598" s="35"/>
      <c r="B598" s="35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>
      <c r="A599" s="35"/>
      <c r="B599" s="35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>
      <c r="A600" s="35"/>
      <c r="B600" s="35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>
      <c r="A601" s="35"/>
      <c r="B601" s="35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>
      <c r="A602" s="35"/>
      <c r="B602" s="35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>
      <c r="A603" s="35"/>
      <c r="B603" s="35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>
      <c r="A604" s="35"/>
      <c r="B604" s="35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>
      <c r="A605" s="35"/>
      <c r="B605" s="35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>
      <c r="A606" s="35"/>
      <c r="B606" s="35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>
      <c r="A607" s="35"/>
      <c r="B607" s="35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>
      <c r="A608" s="35"/>
      <c r="B608" s="35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>
      <c r="A609" s="35"/>
      <c r="B609" s="35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>
      <c r="A610" s="35"/>
      <c r="B610" s="35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>
      <c r="A611" s="35"/>
      <c r="B611" s="35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>
      <c r="A612" s="35"/>
      <c r="B612" s="35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>
      <c r="A613" s="35"/>
      <c r="B613" s="35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>
      <c r="A614" s="35"/>
      <c r="B614" s="35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>
      <c r="A615" s="35"/>
      <c r="B615" s="35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>
      <c r="A616" s="35"/>
      <c r="B616" s="35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>
      <c r="A617" s="35"/>
      <c r="B617" s="35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>
      <c r="A618" s="35"/>
      <c r="B618" s="35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>
      <c r="A619" s="35"/>
      <c r="B619" s="35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>
      <c r="A620" s="35"/>
      <c r="B620" s="35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>
      <c r="A621" s="35"/>
      <c r="B621" s="35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>
      <c r="A622" s="35"/>
      <c r="B622" s="35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>
      <c r="A623" s="35"/>
      <c r="B623" s="35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>
      <c r="A624" s="35"/>
      <c r="B624" s="35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>
      <c r="A625" s="35"/>
      <c r="B625" s="35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>
      <c r="A626" s="35"/>
      <c r="B626" s="35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>
      <c r="A627" s="35"/>
      <c r="B627" s="35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>
      <c r="A628" s="35"/>
      <c r="B628" s="35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>
      <c r="A629" s="35"/>
      <c r="B629" s="35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>
      <c r="A630" s="35"/>
      <c r="B630" s="35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>
      <c r="A631" s="35"/>
      <c r="B631" s="35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>
      <c r="A632" s="35"/>
      <c r="B632" s="35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>
      <c r="A633" s="35"/>
      <c r="B633" s="35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>
      <c r="A634" s="35"/>
      <c r="B634" s="35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>
      <c r="A635" s="35"/>
      <c r="B635" s="35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>
      <c r="A636" s="35"/>
      <c r="B636" s="35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>
      <c r="A637" s="35"/>
      <c r="B637" s="35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>
      <c r="A638" s="35"/>
      <c r="B638" s="35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>
      <c r="A639" s="35"/>
      <c r="B639" s="35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>
      <c r="A640" s="35"/>
      <c r="B640" s="35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>
      <c r="A641" s="35"/>
      <c r="B641" s="35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>
      <c r="A642" s="35"/>
      <c r="B642" s="35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>
      <c r="A643" s="35"/>
      <c r="B643" s="35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>
      <c r="A644" s="35"/>
      <c r="B644" s="35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>
      <c r="A645" s="35"/>
      <c r="B645" s="35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>
      <c r="A646" s="35"/>
      <c r="B646" s="35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>
      <c r="A647" s="35"/>
      <c r="B647" s="35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>
      <c r="A648" s="35"/>
      <c r="B648" s="35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>
      <c r="A649" s="35"/>
      <c r="B649" s="35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>
      <c r="A650" s="35"/>
      <c r="B650" s="35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>
      <c r="A651" s="35"/>
      <c r="B651" s="35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>
      <c r="A652" s="35"/>
      <c r="B652" s="35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>
      <c r="A653" s="35"/>
      <c r="B653" s="35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>
      <c r="A654" s="35"/>
      <c r="B654" s="35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>
      <c r="A655" s="35"/>
      <c r="B655" s="35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>
      <c r="A656" s="35"/>
      <c r="B656" s="35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>
      <c r="A657" s="35"/>
      <c r="B657" s="35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>
      <c r="A658" s="35"/>
      <c r="B658" s="35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>
      <c r="A659" s="35"/>
      <c r="B659" s="35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>
      <c r="A660" s="35"/>
      <c r="B660" s="35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>
      <c r="A661" s="35"/>
      <c r="B661" s="35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>
      <c r="A662" s="35"/>
      <c r="B662" s="35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>
      <c r="A663" s="35"/>
      <c r="B663" s="35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>
      <c r="A664" s="35"/>
      <c r="B664" s="35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>
      <c r="A665" s="35"/>
      <c r="B665" s="35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>
      <c r="A666" s="35"/>
      <c r="B666" s="35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>
      <c r="A667" s="35"/>
      <c r="B667" s="35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>
      <c r="A668" s="35"/>
      <c r="B668" s="35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>
      <c r="A669" s="35"/>
      <c r="B669" s="35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>
      <c r="A670" s="35"/>
      <c r="B670" s="35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>
      <c r="A671" s="35"/>
      <c r="B671" s="35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>
      <c r="A672" s="35"/>
      <c r="B672" s="35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>
      <c r="A673" s="35"/>
      <c r="B673" s="35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>
      <c r="A674" s="35"/>
      <c r="B674" s="35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>
      <c r="A675" s="35"/>
      <c r="B675" s="35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>
      <c r="A676" s="35"/>
      <c r="B676" s="35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>
      <c r="A677" s="35"/>
      <c r="B677" s="35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>
      <c r="A678" s="35"/>
      <c r="B678" s="35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>
      <c r="A679" s="35"/>
      <c r="B679" s="35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>
      <c r="A680" s="35"/>
      <c r="B680" s="35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>
      <c r="A681" s="35"/>
      <c r="B681" s="35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>
      <c r="A682" s="35"/>
      <c r="B682" s="35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>
      <c r="A683" s="35"/>
      <c r="B683" s="35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>
      <c r="A684" s="35"/>
      <c r="B684" s="35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>
      <c r="A685" s="35"/>
      <c r="B685" s="35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>
      <c r="A686" s="35"/>
      <c r="B686" s="35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>
      <c r="A687" s="35"/>
      <c r="B687" s="35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>
      <c r="A688" s="35"/>
      <c r="B688" s="35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>
      <c r="A689" s="35"/>
      <c r="B689" s="35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>
      <c r="A690" s="35"/>
      <c r="B690" s="35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>
      <c r="A691" s="35"/>
      <c r="B691" s="35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>
      <c r="A692" s="35"/>
      <c r="B692" s="35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>
      <c r="A693" s="35"/>
      <c r="B693" s="35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>
      <c r="A694" s="35"/>
      <c r="B694" s="35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>
      <c r="A695" s="35"/>
      <c r="B695" s="35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>
      <c r="A696" s="35"/>
      <c r="B696" s="35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>
      <c r="A697" s="35"/>
      <c r="B697" s="35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>
      <c r="A698" s="35"/>
      <c r="B698" s="35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>
      <c r="A699" s="35"/>
      <c r="B699" s="35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>
      <c r="A700" s="35"/>
      <c r="B700" s="35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>
      <c r="A701" s="35"/>
      <c r="B701" s="35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>
      <c r="A702" s="35"/>
      <c r="B702" s="35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>
      <c r="A703" s="35"/>
      <c r="B703" s="35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>
      <c r="A704" s="35"/>
      <c r="B704" s="35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>
      <c r="A705" s="35"/>
      <c r="B705" s="35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>
      <c r="A706" s="35"/>
      <c r="B706" s="35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>
      <c r="A707" s="35"/>
      <c r="B707" s="35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>
      <c r="A708" s="35"/>
      <c r="B708" s="35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>
      <c r="A709" s="35"/>
      <c r="B709" s="35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>
      <c r="A710" s="35"/>
      <c r="B710" s="35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>
      <c r="A711" s="35"/>
      <c r="B711" s="35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>
      <c r="A712" s="35"/>
      <c r="B712" s="35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>
      <c r="A713" s="35"/>
      <c r="B713" s="35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>
      <c r="A714" s="35"/>
      <c r="B714" s="35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>
      <c r="A715" s="35"/>
      <c r="B715" s="35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>
      <c r="A716" s="35"/>
      <c r="B716" s="35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>
      <c r="A717" s="35"/>
      <c r="B717" s="35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>
      <c r="A718" s="35"/>
      <c r="B718" s="35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>
      <c r="A719" s="35"/>
      <c r="B719" s="35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>
      <c r="A720" s="35"/>
      <c r="B720" s="35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>
      <c r="A721" s="35"/>
      <c r="B721" s="35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>
      <c r="A722" s="35"/>
      <c r="B722" s="35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>
      <c r="A723" s="35"/>
      <c r="B723" s="35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>
      <c r="A724" s="35"/>
      <c r="B724" s="35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>
      <c r="A725" s="35"/>
      <c r="B725" s="35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>
      <c r="A726" s="35"/>
      <c r="B726" s="35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>
      <c r="A727" s="35"/>
      <c r="B727" s="35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>
      <c r="A728" s="35"/>
      <c r="B728" s="35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>
      <c r="A729" s="35"/>
      <c r="B729" s="35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>
      <c r="A730" s="35"/>
      <c r="B730" s="35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>
      <c r="A731" s="35"/>
      <c r="B731" s="35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>
      <c r="A732" s="35"/>
      <c r="B732" s="35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>
      <c r="A733" s="35"/>
      <c r="B733" s="35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>
      <c r="A734" s="35"/>
      <c r="B734" s="35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>
      <c r="A735" s="35"/>
      <c r="B735" s="35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>
      <c r="A736" s="35"/>
      <c r="B736" s="35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>
      <c r="A737" s="35"/>
      <c r="B737" s="35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>
      <c r="A738" s="35"/>
      <c r="B738" s="35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>
      <c r="A739" s="35"/>
      <c r="B739" s="35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>
      <c r="A740" s="35"/>
      <c r="B740" s="35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>
      <c r="A741" s="35"/>
      <c r="B741" s="35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>
      <c r="A742" s="35"/>
      <c r="B742" s="35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>
      <c r="A743" s="35"/>
      <c r="B743" s="35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>
      <c r="A744" s="35"/>
      <c r="B744" s="35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>
      <c r="A745" s="35"/>
      <c r="B745" s="35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>
      <c r="A746" s="35"/>
      <c r="B746" s="35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>
      <c r="A747" s="35"/>
      <c r="B747" s="35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>
      <c r="A748" s="35"/>
      <c r="B748" s="35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>
      <c r="A749" s="35"/>
      <c r="B749" s="35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>
      <c r="A750" s="35"/>
      <c r="B750" s="35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>
      <c r="A751" s="35"/>
      <c r="B751" s="35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>
      <c r="A752" s="35"/>
      <c r="B752" s="35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>
      <c r="A753" s="35"/>
      <c r="B753" s="35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>
      <c r="A754" s="35"/>
      <c r="B754" s="35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>
      <c r="A755" s="35"/>
      <c r="B755" s="35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>
      <c r="A756" s="35"/>
      <c r="B756" s="35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>
      <c r="A757" s="35"/>
      <c r="B757" s="35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>
      <c r="A758" s="35"/>
      <c r="B758" s="35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>
      <c r="A759" s="35"/>
      <c r="B759" s="35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>
      <c r="A760" s="35"/>
      <c r="B760" s="35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>
      <c r="A761" s="35"/>
      <c r="B761" s="35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>
      <c r="A762" s="35"/>
      <c r="B762" s="35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>
      <c r="A763" s="35"/>
      <c r="B763" s="35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>
      <c r="A764" s="35"/>
      <c r="B764" s="35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>
      <c r="A765" s="35"/>
      <c r="B765" s="35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>
      <c r="A766" s="35"/>
      <c r="B766" s="35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>
      <c r="A767" s="35"/>
      <c r="B767" s="35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>
      <c r="A768" s="35"/>
      <c r="B768" s="35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>
      <c r="A769" s="35"/>
      <c r="B769" s="35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>
      <c r="A770" s="35"/>
      <c r="B770" s="35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>
      <c r="A771" s="35"/>
      <c r="B771" s="35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>
      <c r="A772" s="35"/>
      <c r="B772" s="35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>
      <c r="A773" s="35"/>
      <c r="B773" s="35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>
      <c r="A774" s="35"/>
      <c r="B774" s="35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>
      <c r="A775" s="35"/>
      <c r="B775" s="35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>
      <c r="A776" s="35"/>
      <c r="B776" s="35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>
      <c r="A777" s="35"/>
      <c r="B777" s="35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>
      <c r="A778" s="35"/>
      <c r="B778" s="35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>
      <c r="A779" s="35"/>
      <c r="B779" s="35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>
      <c r="A780" s="35"/>
      <c r="B780" s="35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>
      <c r="A781" s="35"/>
      <c r="B781" s="35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>
      <c r="A782" s="35"/>
      <c r="B782" s="35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>
      <c r="A783" s="35"/>
      <c r="B783" s="35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>
      <c r="A784" s="35"/>
      <c r="B784" s="35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>
      <c r="A785" s="35"/>
      <c r="B785" s="35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>
      <c r="A786" s="35"/>
      <c r="B786" s="35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>
      <c r="A787" s="35"/>
      <c r="B787" s="35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>
      <c r="A788" s="35"/>
      <c r="B788" s="35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>
      <c r="A789" s="35"/>
      <c r="B789" s="35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>
      <c r="A790" s="35"/>
      <c r="B790" s="35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>
      <c r="A791" s="35"/>
      <c r="B791" s="35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>
      <c r="A792" s="35"/>
      <c r="B792" s="35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>
      <c r="A793" s="35"/>
      <c r="B793" s="35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>
      <c r="A794" s="35"/>
      <c r="B794" s="35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>
      <c r="A795" s="35"/>
      <c r="B795" s="35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>
      <c r="A796" s="35"/>
      <c r="B796" s="35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>
      <c r="A797" s="35"/>
      <c r="B797" s="35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>
      <c r="A798" s="35"/>
      <c r="B798" s="35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>
      <c r="A799" s="35"/>
      <c r="B799" s="35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>
      <c r="A800" s="35"/>
      <c r="B800" s="35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>
      <c r="A801" s="35"/>
      <c r="B801" s="35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>
      <c r="A802" s="35"/>
      <c r="B802" s="35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>
      <c r="A803" s="35"/>
      <c r="B803" s="35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>
      <c r="A804" s="35"/>
      <c r="B804" s="35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>
      <c r="A805" s="35"/>
      <c r="B805" s="35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>
      <c r="A806" s="35"/>
      <c r="B806" s="35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>
      <c r="A807" s="35"/>
      <c r="B807" s="35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>
      <c r="A808" s="35"/>
      <c r="B808" s="35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>
      <c r="A809" s="35"/>
      <c r="B809" s="35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>
      <c r="A810" s="35"/>
      <c r="B810" s="35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>
      <c r="A811" s="35"/>
      <c r="B811" s="35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>
      <c r="A812" s="35"/>
      <c r="B812" s="35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>
      <c r="A813" s="35"/>
      <c r="B813" s="35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>
      <c r="A814" s="35"/>
      <c r="B814" s="35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>
      <c r="A815" s="35"/>
      <c r="B815" s="35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>
      <c r="A816" s="35"/>
      <c r="B816" s="35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>
      <c r="A817" s="35"/>
      <c r="B817" s="35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>
      <c r="A818" s="35"/>
      <c r="B818" s="35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>
      <c r="A819" s="35"/>
      <c r="B819" s="35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>
      <c r="A820" s="35"/>
      <c r="B820" s="35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>
      <c r="A821" s="35"/>
      <c r="B821" s="35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>
      <c r="A822" s="35"/>
      <c r="B822" s="35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>
      <c r="A823" s="35"/>
      <c r="B823" s="35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>
      <c r="A824" s="35"/>
      <c r="B824" s="35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>
      <c r="A825" s="35"/>
      <c r="B825" s="35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>
      <c r="A826" s="35"/>
      <c r="B826" s="35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>
      <c r="A827" s="35"/>
      <c r="B827" s="35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>
      <c r="A828" s="35"/>
      <c r="B828" s="35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>
      <c r="A829" s="35"/>
      <c r="B829" s="35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>
      <c r="A830" s="35"/>
      <c r="B830" s="35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>
      <c r="A831" s="35"/>
      <c r="B831" s="35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>
      <c r="A832" s="35"/>
      <c r="B832" s="35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>
      <c r="A833" s="35"/>
      <c r="B833" s="35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>
      <c r="A834" s="35"/>
      <c r="B834" s="35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>
      <c r="A835" s="35"/>
      <c r="B835" s="35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>
      <c r="A836" s="35"/>
      <c r="B836" s="35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>
      <c r="A837" s="35"/>
      <c r="B837" s="35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>
      <c r="A838" s="35"/>
      <c r="B838" s="35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>
      <c r="A839" s="35"/>
      <c r="B839" s="35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>
      <c r="A840" s="35"/>
      <c r="B840" s="35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>
      <c r="A841" s="35"/>
      <c r="B841" s="35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>
      <c r="A842" s="35"/>
      <c r="B842" s="35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>
      <c r="A843" s="35"/>
      <c r="B843" s="35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>
      <c r="A844" s="35"/>
      <c r="B844" s="35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>
      <c r="A845" s="35"/>
      <c r="B845" s="35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>
      <c r="A846" s="35"/>
      <c r="B846" s="35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>
      <c r="A847" s="35"/>
      <c r="B847" s="35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>
      <c r="A848" s="35"/>
      <c r="B848" s="35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>
      <c r="A849" s="35"/>
      <c r="B849" s="35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>
      <c r="A850" s="35"/>
      <c r="B850" s="35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>
      <c r="A851" s="35"/>
      <c r="B851" s="35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>
      <c r="A852" s="35"/>
      <c r="B852" s="35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>
      <c r="A853" s="35"/>
      <c r="B853" s="35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>
      <c r="A854" s="35"/>
      <c r="B854" s="35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>
      <c r="A855" s="35"/>
      <c r="B855" s="35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>
      <c r="A856" s="35"/>
      <c r="B856" s="35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>
      <c r="A857" s="35"/>
      <c r="B857" s="35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>
      <c r="A858" s="35"/>
      <c r="B858" s="35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>
      <c r="A859" s="35"/>
      <c r="B859" s="35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>
      <c r="A860" s="35"/>
      <c r="B860" s="35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>
      <c r="A861" s="35"/>
      <c r="B861" s="35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>
      <c r="A862" s="35"/>
      <c r="B862" s="35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>
      <c r="A863" s="35"/>
      <c r="B863" s="35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>
      <c r="A864" s="35"/>
      <c r="B864" s="35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>
      <c r="A865" s="35"/>
      <c r="B865" s="35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>
      <c r="A866" s="35"/>
      <c r="B866" s="35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>
      <c r="A867" s="35"/>
      <c r="B867" s="35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>
      <c r="A868" s="35"/>
      <c r="B868" s="35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>
      <c r="A869" s="35"/>
      <c r="B869" s="35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>
      <c r="A870" s="35"/>
      <c r="B870" s="35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>
      <c r="A871" s="35"/>
      <c r="B871" s="35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>
      <c r="A872" s="35"/>
      <c r="B872" s="35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>
      <c r="A873" s="35"/>
      <c r="B873" s="35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>
      <c r="A874" s="35"/>
      <c r="B874" s="35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>
      <c r="A875" s="35"/>
      <c r="B875" s="35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>
      <c r="A876" s="35"/>
      <c r="B876" s="35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>
      <c r="A877" s="35"/>
      <c r="B877" s="35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>
      <c r="A878" s="35"/>
      <c r="B878" s="35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>
      <c r="A879" s="35"/>
      <c r="B879" s="35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>
      <c r="A880" s="35"/>
      <c r="B880" s="35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>
      <c r="A881" s="35"/>
      <c r="B881" s="35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>
      <c r="A882" s="35"/>
      <c r="B882" s="35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>
      <c r="A883" s="35"/>
      <c r="B883" s="35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>
      <c r="A884" s="35"/>
      <c r="B884" s="35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>
      <c r="A885" s="35"/>
      <c r="B885" s="35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>
      <c r="A886" s="35"/>
      <c r="B886" s="35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>
      <c r="A887" s="35"/>
      <c r="B887" s="35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>
      <c r="A888" s="35"/>
      <c r="B888" s="35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>
      <c r="A889" s="35"/>
      <c r="B889" s="35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>
      <c r="A890" s="35"/>
      <c r="B890" s="35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>
      <c r="A891" s="35"/>
      <c r="B891" s="35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>
      <c r="A892" s="35"/>
      <c r="B892" s="35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>
      <c r="A893" s="35"/>
      <c r="B893" s="35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>
      <c r="A894" s="35"/>
      <c r="B894" s="35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>
      <c r="A895" s="35"/>
      <c r="B895" s="35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>
      <c r="A896" s="35"/>
      <c r="B896" s="35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>
      <c r="A897" s="35"/>
      <c r="B897" s="35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>
      <c r="A898" s="35"/>
      <c r="B898" s="35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>
      <c r="A899" s="35"/>
      <c r="B899" s="35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>
      <c r="A900" s="35"/>
      <c r="B900" s="35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>
      <c r="A901" s="35"/>
      <c r="B901" s="35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>
      <c r="A902" s="35"/>
      <c r="B902" s="35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>
      <c r="A903" s="35"/>
      <c r="B903" s="35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>
      <c r="A904" s="35"/>
      <c r="B904" s="35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>
      <c r="A905" s="35"/>
      <c r="B905" s="35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>
      <c r="A906" s="35"/>
      <c r="B906" s="35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>
      <c r="A907" s="35"/>
      <c r="B907" s="35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>
      <c r="A908" s="35"/>
      <c r="B908" s="35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>
      <c r="A909" s="35"/>
      <c r="B909" s="35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>
      <c r="A910" s="35"/>
      <c r="B910" s="35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>
      <c r="A911" s="35"/>
      <c r="B911" s="35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>
      <c r="A912" s="35"/>
      <c r="B912" s="35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>
      <c r="A913" s="35"/>
      <c r="B913" s="35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>
      <c r="A914" s="35"/>
      <c r="B914" s="35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>
      <c r="A915" s="35"/>
      <c r="B915" s="35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>
      <c r="A916" s="35"/>
      <c r="B916" s="35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>
      <c r="A917" s="35"/>
      <c r="B917" s="35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>
      <c r="A918" s="35"/>
      <c r="B918" s="35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>
      <c r="A919" s="35"/>
      <c r="B919" s="35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>
      <c r="A920" s="35"/>
      <c r="B920" s="35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>
      <c r="A921" s="35"/>
      <c r="B921" s="35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>
      <c r="A922" s="35"/>
      <c r="B922" s="35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>
      <c r="A923" s="35"/>
      <c r="B923" s="35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>
      <c r="A924" s="35"/>
      <c r="B924" s="35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>
      <c r="A925" s="35"/>
      <c r="B925" s="35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>
      <c r="A926" s="35"/>
      <c r="B926" s="35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>
      <c r="A927" s="35"/>
      <c r="B927" s="35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>
      <c r="A928" s="35"/>
      <c r="B928" s="35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>
      <c r="A929" s="35"/>
      <c r="B929" s="35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>
      <c r="A930" s="35"/>
      <c r="B930" s="35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>
      <c r="A931" s="35"/>
      <c r="B931" s="35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>
      <c r="A932" s="35"/>
      <c r="B932" s="35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>
      <c r="A933" s="35"/>
      <c r="B933" s="35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>
      <c r="A934" s="35"/>
      <c r="B934" s="35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>
      <c r="A935" s="35"/>
      <c r="B935" s="35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>
      <c r="A936" s="35"/>
      <c r="B936" s="35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>
      <c r="A937" s="35"/>
      <c r="B937" s="35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>
      <c r="A938" s="35"/>
      <c r="B938" s="35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>
      <c r="A939" s="35"/>
      <c r="B939" s="35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>
      <c r="A940" s="35"/>
      <c r="B940" s="35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>
      <c r="A941" s="35"/>
      <c r="B941" s="35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>
      <c r="A942" s="35"/>
      <c r="B942" s="35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>
      <c r="A943" s="35"/>
      <c r="B943" s="35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>
      <c r="A944" s="35"/>
      <c r="B944" s="35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>
      <c r="A945" s="35"/>
      <c r="B945" s="35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>
      <c r="A946" s="35"/>
      <c r="B946" s="35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>
      <c r="A947" s="35"/>
      <c r="B947" s="35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>
      <c r="A948" s="35"/>
      <c r="B948" s="35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>
      <c r="A949" s="35"/>
      <c r="B949" s="35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>
      <c r="A950" s="35"/>
      <c r="B950" s="35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>
      <c r="A951" s="35"/>
      <c r="B951" s="35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>
      <c r="A952" s="35"/>
      <c r="B952" s="35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>
      <c r="A953" s="35"/>
      <c r="B953" s="35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>
      <c r="A954" s="35"/>
      <c r="B954" s="35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>
      <c r="A955" s="35"/>
      <c r="B955" s="35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>
      <c r="A956" s="35"/>
      <c r="B956" s="35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>
      <c r="A957" s="35"/>
      <c r="B957" s="35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>
      <c r="A958" s="35"/>
      <c r="B958" s="35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>
      <c r="A959" s="35"/>
      <c r="B959" s="35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>
      <c r="A960" s="35"/>
      <c r="B960" s="35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>
      <c r="A961" s="35"/>
      <c r="B961" s="35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>
      <c r="A962" s="35"/>
      <c r="B962" s="35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>
      <c r="A963" s="35"/>
      <c r="B963" s="35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>
      <c r="A964" s="35"/>
      <c r="B964" s="35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>
      <c r="A965" s="35"/>
      <c r="B965" s="35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>
      <c r="A966" s="35"/>
      <c r="B966" s="35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>
      <c r="A967" s="35"/>
      <c r="B967" s="35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>
      <c r="A968" s="35"/>
      <c r="B968" s="35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>
      <c r="A969" s="35"/>
      <c r="B969" s="35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>
      <c r="A970" s="35"/>
      <c r="B970" s="35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>
      <c r="A971" s="35"/>
      <c r="B971" s="35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>
      <c r="A972" s="35"/>
      <c r="B972" s="35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>
      <c r="A973" s="35"/>
      <c r="B973" s="35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>
      <c r="A974" s="35"/>
      <c r="B974" s="35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>
      <c r="A975" s="35"/>
      <c r="B975" s="35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>
      <c r="A976" s="35"/>
      <c r="B976" s="35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>
      <c r="A977" s="35"/>
      <c r="B977" s="35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>
      <c r="A978" s="35"/>
      <c r="B978" s="35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>
      <c r="A979" s="35"/>
      <c r="B979" s="35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>
      <c r="A980" s="35"/>
      <c r="B980" s="35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>
      <c r="A981" s="35"/>
      <c r="B981" s="35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>
      <c r="A982" s="35"/>
      <c r="B982" s="35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>
      <c r="A983" s="35"/>
      <c r="B983" s="35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>
      <c r="A984" s="35"/>
      <c r="B984" s="35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>
      <c r="A985" s="35"/>
      <c r="B985" s="35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>
      <c r="A986" s="35"/>
      <c r="B986" s="35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>
      <c r="A987" s="35"/>
      <c r="B987" s="35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>
      <c r="A988" s="35"/>
      <c r="B988" s="35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>
      <c r="A989" s="35"/>
      <c r="B989" s="35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>
      <c r="A990" s="35"/>
      <c r="B990" s="35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>
      <c r="A991" s="35"/>
      <c r="B991" s="35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>
      <c r="A992" s="35"/>
      <c r="B992" s="35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>
      <c r="A993" s="35"/>
      <c r="B993" s="35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>
      <c r="A994" s="35"/>
      <c r="B994" s="35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>
      <c r="A995" s="35"/>
      <c r="B995" s="35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>
      <c r="A996" s="35"/>
      <c r="B996" s="35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>
      <c r="A997" s="35"/>
      <c r="B997" s="35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>
      <c r="A998" s="35"/>
      <c r="B998" s="35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>
      <c r="A999" s="35"/>
      <c r="B999" s="35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>
      <c r="A1000" s="35"/>
      <c r="B1000" s="35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mergeCells count="5">
    <mergeCell ref="A3:A4"/>
    <mergeCell ref="B3:B4"/>
    <mergeCell ref="C3:C4"/>
    <mergeCell ref="D3:K3"/>
    <mergeCell ref="N3:N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75"/>
  <cols>
    <col customWidth="1" min="1" max="1" width="4.63"/>
    <col customWidth="1" min="3" max="3" width="29.25"/>
    <col customWidth="1" min="4" max="12" width="5.88"/>
    <col customWidth="1" min="13" max="13" width="6.0"/>
    <col customWidth="1" min="14" max="17" width="5.88"/>
    <col customWidth="1" min="18" max="18" width="6.0"/>
    <col customWidth="1" min="19" max="22" width="5.88"/>
    <col customWidth="1" min="23" max="23" width="6.0"/>
    <col customWidth="1" min="24" max="27" width="5.88"/>
    <col customWidth="1" min="28" max="28" width="6.0"/>
    <col customWidth="1" min="29" max="32" width="5.88"/>
    <col customWidth="1" min="33" max="33" width="6.0"/>
    <col customWidth="1" min="34" max="37" width="5.88"/>
    <col customWidth="1" min="38" max="38" width="6.0"/>
    <col customWidth="1" min="39" max="42" width="5.88"/>
    <col customWidth="1" min="43" max="43" width="6.0"/>
  </cols>
  <sheetData>
    <row r="1">
      <c r="A1" s="34" t="s">
        <v>127</v>
      </c>
      <c r="B1" s="35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</row>
    <row r="2">
      <c r="A2" s="35"/>
      <c r="B2" s="35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</row>
    <row r="3">
      <c r="A3" s="15" t="s">
        <v>0</v>
      </c>
      <c r="B3" s="15" t="s">
        <v>1</v>
      </c>
      <c r="C3" s="15" t="s">
        <v>2</v>
      </c>
      <c r="D3" s="37" t="s">
        <v>118</v>
      </c>
      <c r="E3" s="17"/>
      <c r="F3" s="17"/>
      <c r="G3" s="17"/>
      <c r="H3" s="18"/>
      <c r="I3" s="37" t="s">
        <v>119</v>
      </c>
      <c r="J3" s="17"/>
      <c r="K3" s="17"/>
      <c r="L3" s="17"/>
      <c r="M3" s="18"/>
      <c r="N3" s="37" t="s">
        <v>120</v>
      </c>
      <c r="O3" s="17"/>
      <c r="P3" s="17"/>
      <c r="Q3" s="17"/>
      <c r="R3" s="18"/>
      <c r="S3" s="37" t="s">
        <v>121</v>
      </c>
      <c r="T3" s="17"/>
      <c r="U3" s="17"/>
      <c r="V3" s="17"/>
      <c r="W3" s="18"/>
      <c r="X3" s="43" t="s">
        <v>122</v>
      </c>
      <c r="Y3" s="17"/>
      <c r="Z3" s="17"/>
      <c r="AA3" s="17"/>
      <c r="AB3" s="18"/>
      <c r="AC3" s="16" t="s">
        <v>123</v>
      </c>
      <c r="AD3" s="17"/>
      <c r="AE3" s="17"/>
      <c r="AF3" s="17"/>
      <c r="AG3" s="18"/>
      <c r="AH3" s="16" t="s">
        <v>124</v>
      </c>
      <c r="AI3" s="17"/>
      <c r="AJ3" s="17"/>
      <c r="AK3" s="17"/>
      <c r="AL3" s="18"/>
      <c r="AM3" s="37" t="s">
        <v>125</v>
      </c>
      <c r="AN3" s="17"/>
      <c r="AO3" s="17"/>
      <c r="AP3" s="17"/>
      <c r="AQ3" s="18"/>
    </row>
    <row r="4">
      <c r="A4" s="44"/>
      <c r="B4" s="44"/>
      <c r="C4" s="44"/>
      <c r="D4" s="38" t="s">
        <v>131</v>
      </c>
      <c r="E4" s="38" t="s">
        <v>132</v>
      </c>
      <c r="F4" s="38" t="s">
        <v>133</v>
      </c>
      <c r="G4" s="38" t="s">
        <v>134</v>
      </c>
      <c r="H4" s="38" t="s">
        <v>135</v>
      </c>
      <c r="I4" s="38" t="s">
        <v>131</v>
      </c>
      <c r="J4" s="38" t="s">
        <v>132</v>
      </c>
      <c r="K4" s="38" t="s">
        <v>133</v>
      </c>
      <c r="L4" s="38" t="s">
        <v>134</v>
      </c>
      <c r="M4" s="38" t="s">
        <v>135</v>
      </c>
      <c r="N4" s="38" t="s">
        <v>131</v>
      </c>
      <c r="O4" s="38" t="s">
        <v>132</v>
      </c>
      <c r="P4" s="38" t="s">
        <v>133</v>
      </c>
      <c r="Q4" s="38" t="s">
        <v>134</v>
      </c>
      <c r="R4" s="38" t="s">
        <v>135</v>
      </c>
      <c r="S4" s="38" t="s">
        <v>131</v>
      </c>
      <c r="T4" s="38" t="s">
        <v>132</v>
      </c>
      <c r="U4" s="38" t="s">
        <v>133</v>
      </c>
      <c r="V4" s="38" t="s">
        <v>134</v>
      </c>
      <c r="W4" s="38" t="s">
        <v>135</v>
      </c>
      <c r="X4" s="45" t="s">
        <v>131</v>
      </c>
      <c r="Y4" s="45" t="s">
        <v>132</v>
      </c>
      <c r="Z4" s="45" t="s">
        <v>133</v>
      </c>
      <c r="AA4" s="45" t="s">
        <v>134</v>
      </c>
      <c r="AB4" s="45" t="s">
        <v>135</v>
      </c>
      <c r="AC4" s="45" t="s">
        <v>131</v>
      </c>
      <c r="AD4" s="45" t="s">
        <v>132</v>
      </c>
      <c r="AE4" s="45" t="s">
        <v>133</v>
      </c>
      <c r="AF4" s="45" t="s">
        <v>134</v>
      </c>
      <c r="AG4" s="45" t="s">
        <v>135</v>
      </c>
      <c r="AH4" s="45" t="s">
        <v>131</v>
      </c>
      <c r="AI4" s="45" t="s">
        <v>132</v>
      </c>
      <c r="AJ4" s="45" t="s">
        <v>133</v>
      </c>
      <c r="AK4" s="45" t="s">
        <v>134</v>
      </c>
      <c r="AL4" s="45" t="s">
        <v>135</v>
      </c>
      <c r="AM4" s="38" t="s">
        <v>131</v>
      </c>
      <c r="AN4" s="38" t="s">
        <v>132</v>
      </c>
      <c r="AO4" s="38" t="s">
        <v>133</v>
      </c>
      <c r="AP4" s="38" t="s">
        <v>134</v>
      </c>
      <c r="AQ4" s="38" t="s">
        <v>135</v>
      </c>
    </row>
    <row r="5">
      <c r="A5" s="19"/>
      <c r="B5" s="19"/>
      <c r="C5" s="19"/>
      <c r="D5" s="46">
        <v>0.1</v>
      </c>
      <c r="E5" s="46">
        <v>0.2</v>
      </c>
      <c r="F5" s="46">
        <v>0.2</v>
      </c>
      <c r="G5" s="46">
        <v>0.5</v>
      </c>
      <c r="H5" s="46">
        <v>1.0</v>
      </c>
      <c r="I5" s="46">
        <v>0.1</v>
      </c>
      <c r="J5" s="46">
        <v>0.2</v>
      </c>
      <c r="K5" s="46">
        <v>0.2</v>
      </c>
      <c r="L5" s="46">
        <v>0.5</v>
      </c>
      <c r="M5" s="46">
        <v>1.0</v>
      </c>
      <c r="N5" s="46">
        <v>0.1</v>
      </c>
      <c r="O5" s="46">
        <v>0.2</v>
      </c>
      <c r="P5" s="46">
        <v>0.2</v>
      </c>
      <c r="Q5" s="46">
        <v>0.5</v>
      </c>
      <c r="R5" s="46">
        <v>1.0</v>
      </c>
      <c r="S5" s="46">
        <v>0.1</v>
      </c>
      <c r="T5" s="46">
        <v>0.2</v>
      </c>
      <c r="U5" s="46">
        <v>0.2</v>
      </c>
      <c r="V5" s="46">
        <v>0.5</v>
      </c>
      <c r="W5" s="46">
        <v>1.0</v>
      </c>
      <c r="X5" s="47">
        <v>0.1</v>
      </c>
      <c r="Y5" s="47">
        <v>0.2</v>
      </c>
      <c r="Z5" s="47">
        <v>0.2</v>
      </c>
      <c r="AA5" s="47">
        <v>0.5</v>
      </c>
      <c r="AB5" s="47">
        <v>1.0</v>
      </c>
      <c r="AC5" s="47">
        <v>0.1</v>
      </c>
      <c r="AD5" s="47">
        <v>0.2</v>
      </c>
      <c r="AE5" s="47">
        <v>0.2</v>
      </c>
      <c r="AF5" s="47">
        <v>0.5</v>
      </c>
      <c r="AG5" s="47">
        <v>1.0</v>
      </c>
      <c r="AH5" s="47">
        <v>0.1</v>
      </c>
      <c r="AI5" s="47">
        <v>0.2</v>
      </c>
      <c r="AJ5" s="47">
        <v>0.2</v>
      </c>
      <c r="AK5" s="47">
        <v>0.5</v>
      </c>
      <c r="AL5" s="47">
        <v>1.0</v>
      </c>
      <c r="AM5" s="46">
        <v>0.1</v>
      </c>
      <c r="AN5" s="46">
        <v>0.2</v>
      </c>
      <c r="AO5" s="46">
        <v>0.2</v>
      </c>
      <c r="AP5" s="46">
        <v>0.5</v>
      </c>
      <c r="AQ5" s="46">
        <v>1.0</v>
      </c>
    </row>
    <row r="6">
      <c r="A6" s="21">
        <f>'INPUT DAFTAR PESERTA'!A4</f>
        <v>1</v>
      </c>
      <c r="B6" s="21">
        <f>'INPUT DAFTAR PESERTA'!B4</f>
        <v>2109046048</v>
      </c>
      <c r="C6" s="22" t="str">
        <f>'INPUT DAFTAR PESERTA'!C4</f>
        <v>Rafif Fitriansyah Nasution</v>
      </c>
      <c r="D6" s="23">
        <v>2.0</v>
      </c>
      <c r="E6" s="23">
        <v>3.0</v>
      </c>
      <c r="F6" s="23">
        <v>3.0</v>
      </c>
      <c r="G6" s="23">
        <v>1.0</v>
      </c>
      <c r="H6" s="48">
        <f t="shared" ref="H6:H99" si="1">((D6*$D$5/3)+(E6*$E$5/3)+(F6*$F$5/3)+(G6*$G$5/3))*90</f>
        <v>57</v>
      </c>
      <c r="I6" s="23">
        <v>3.0</v>
      </c>
      <c r="J6" s="23">
        <v>3.0</v>
      </c>
      <c r="K6" s="23">
        <v>3.0</v>
      </c>
      <c r="L6" s="23">
        <v>2.0</v>
      </c>
      <c r="M6" s="49">
        <f t="shared" ref="M6:M99" si="2">((I6*$D$5/3)+(J6*$E$5/3)+(K6*$F$5/3)+(L6*$G$5/3))*90</f>
        <v>75</v>
      </c>
      <c r="N6" s="23">
        <v>3.0</v>
      </c>
      <c r="O6" s="23">
        <v>3.0</v>
      </c>
      <c r="P6" s="23">
        <v>3.0</v>
      </c>
      <c r="Q6" s="23">
        <v>3.0</v>
      </c>
      <c r="R6" s="49">
        <f t="shared" ref="R6:R99" si="3">((N6*$D$5/3)+(O6*$E$5/3)+(P6*$F$5/3)+(Q6*$G$5/3))*90</f>
        <v>90</v>
      </c>
      <c r="S6" s="23">
        <v>3.0</v>
      </c>
      <c r="T6" s="23">
        <v>3.0</v>
      </c>
      <c r="U6" s="23">
        <v>3.0</v>
      </c>
      <c r="V6" s="23">
        <v>3.0</v>
      </c>
      <c r="W6" s="50">
        <f t="shared" ref="W6:W99" si="4">((S6*$D$5/3)+(T6*$E$5/3)+(U6*$F$5/3)+(V6*$G$5/3))*90</f>
        <v>90</v>
      </c>
      <c r="X6" s="23">
        <v>3.0</v>
      </c>
      <c r="Y6" s="23">
        <v>2.0</v>
      </c>
      <c r="Z6" s="23">
        <v>2.0</v>
      </c>
      <c r="AA6" s="23">
        <v>3.0</v>
      </c>
      <c r="AB6" s="49">
        <f t="shared" ref="AB6:AB99" si="5">((X6*$D$5/3)+(Y6*$E$5/3)+(Z6*$F$5/3)+(AA6*$G$5/3))*90</f>
        <v>78</v>
      </c>
      <c r="AC6" s="23">
        <v>3.0</v>
      </c>
      <c r="AD6" s="23">
        <v>2.0</v>
      </c>
      <c r="AE6" s="23">
        <v>2.0</v>
      </c>
      <c r="AF6" s="23">
        <v>2.0</v>
      </c>
      <c r="AG6" s="50">
        <f t="shared" ref="AG6:AG99" si="6">((AC6*$D$5/3)+(AD6*$E$5/3)+(AE6*$F$5/3)+(AF6*$G$5/3))*90</f>
        <v>63</v>
      </c>
      <c r="AH6" s="23">
        <v>2.0</v>
      </c>
      <c r="AI6" s="23">
        <v>3.0</v>
      </c>
      <c r="AJ6" s="23">
        <v>3.0</v>
      </c>
      <c r="AK6" s="23">
        <v>3.0</v>
      </c>
      <c r="AL6" s="49">
        <f t="shared" ref="AL6:AL99" si="7">((AH6*$D$5/3)+(AI6*$E$5/3)+(AJ6*$F$5/3)+(AK6*$G$5/3))*90</f>
        <v>87</v>
      </c>
      <c r="AM6" s="23">
        <v>2.0</v>
      </c>
      <c r="AN6" s="23">
        <v>3.0</v>
      </c>
      <c r="AO6" s="23">
        <v>3.0</v>
      </c>
      <c r="AP6" s="23">
        <v>1.0</v>
      </c>
      <c r="AQ6" s="49">
        <f t="shared" ref="AQ6:AQ99" si="8">((AM6*$D$5/3)+(AN6*$E$5/3)+(AO6*$F$5/3)+(AP6*$G$5/3))*90</f>
        <v>57</v>
      </c>
    </row>
    <row r="7">
      <c r="A7" s="21">
        <f>'INPUT DAFTAR PESERTA'!A5</f>
        <v>2</v>
      </c>
      <c r="B7" s="21">
        <f>'INPUT DAFTAR PESERTA'!B5</f>
        <v>2109046053</v>
      </c>
      <c r="C7" s="22" t="str">
        <f>'INPUT DAFTAR PESERTA'!C5</f>
        <v>Muhamaad Rizky Ramdani</v>
      </c>
      <c r="D7" s="23">
        <v>2.0</v>
      </c>
      <c r="E7" s="23">
        <v>2.0</v>
      </c>
      <c r="F7" s="23">
        <v>3.0</v>
      </c>
      <c r="G7" s="23">
        <v>3.0</v>
      </c>
      <c r="H7" s="48">
        <f t="shared" si="1"/>
        <v>81</v>
      </c>
      <c r="I7" s="23">
        <v>3.0</v>
      </c>
      <c r="J7" s="23">
        <v>3.0</v>
      </c>
      <c r="K7" s="23">
        <v>3.0</v>
      </c>
      <c r="L7" s="23">
        <v>1.0</v>
      </c>
      <c r="M7" s="49">
        <f t="shared" si="2"/>
        <v>60</v>
      </c>
      <c r="N7" s="23">
        <v>3.0</v>
      </c>
      <c r="O7" s="23">
        <v>3.0</v>
      </c>
      <c r="P7" s="23">
        <v>3.0</v>
      </c>
      <c r="Q7" s="23">
        <v>2.0</v>
      </c>
      <c r="R7" s="49">
        <f t="shared" si="3"/>
        <v>75</v>
      </c>
      <c r="S7" s="23">
        <v>3.0</v>
      </c>
      <c r="T7" s="23">
        <v>3.0</v>
      </c>
      <c r="U7" s="23">
        <v>3.0</v>
      </c>
      <c r="V7" s="23">
        <v>3.0</v>
      </c>
      <c r="W7" s="50">
        <f t="shared" si="4"/>
        <v>90</v>
      </c>
      <c r="X7" s="23">
        <v>3.0</v>
      </c>
      <c r="Y7" s="23">
        <v>2.0</v>
      </c>
      <c r="Z7" s="23">
        <v>2.0</v>
      </c>
      <c r="AA7" s="23">
        <v>3.0</v>
      </c>
      <c r="AB7" s="49">
        <f t="shared" si="5"/>
        <v>78</v>
      </c>
      <c r="AC7" s="23">
        <v>3.0</v>
      </c>
      <c r="AD7" s="23">
        <v>2.0</v>
      </c>
      <c r="AE7" s="23">
        <v>2.0</v>
      </c>
      <c r="AF7" s="23">
        <v>2.0</v>
      </c>
      <c r="AG7" s="50">
        <f t="shared" si="6"/>
        <v>63</v>
      </c>
      <c r="AH7" s="23">
        <v>2.0</v>
      </c>
      <c r="AI7" s="23">
        <v>3.0</v>
      </c>
      <c r="AJ7" s="23">
        <v>3.0</v>
      </c>
      <c r="AK7" s="23">
        <v>2.0</v>
      </c>
      <c r="AL7" s="49">
        <f t="shared" si="7"/>
        <v>72</v>
      </c>
      <c r="AM7" s="23">
        <v>2.0</v>
      </c>
      <c r="AN7" s="23">
        <v>3.0</v>
      </c>
      <c r="AO7" s="23">
        <v>3.0</v>
      </c>
      <c r="AP7" s="23">
        <v>1.0</v>
      </c>
      <c r="AQ7" s="49">
        <f t="shared" si="8"/>
        <v>57</v>
      </c>
    </row>
    <row r="8">
      <c r="A8" s="21">
        <f>'INPUT DAFTAR PESERTA'!A6</f>
        <v>3</v>
      </c>
      <c r="B8" s="21">
        <f>'INPUT DAFTAR PESERTA'!B6</f>
        <v>2409046015</v>
      </c>
      <c r="C8" s="22" t="str">
        <f>'INPUT DAFTAR PESERTA'!C6</f>
        <v>Nur Fadillah Septadi</v>
      </c>
      <c r="D8" s="23">
        <v>3.0</v>
      </c>
      <c r="E8" s="23">
        <v>2.0</v>
      </c>
      <c r="F8" s="23">
        <v>2.0</v>
      </c>
      <c r="G8" s="23">
        <v>2.0</v>
      </c>
      <c r="H8" s="48">
        <f t="shared" si="1"/>
        <v>63</v>
      </c>
      <c r="I8" s="23">
        <v>3.0</v>
      </c>
      <c r="J8" s="23">
        <v>3.0</v>
      </c>
      <c r="K8" s="23">
        <v>3.0</v>
      </c>
      <c r="L8" s="23">
        <v>2.0</v>
      </c>
      <c r="M8" s="49">
        <f t="shared" si="2"/>
        <v>75</v>
      </c>
      <c r="N8" s="23">
        <v>3.0</v>
      </c>
      <c r="O8" s="23">
        <v>3.0</v>
      </c>
      <c r="P8" s="23">
        <v>3.0</v>
      </c>
      <c r="Q8" s="23">
        <v>3.0</v>
      </c>
      <c r="R8" s="49">
        <f t="shared" si="3"/>
        <v>90</v>
      </c>
      <c r="S8" s="23">
        <v>3.0</v>
      </c>
      <c r="T8" s="23">
        <v>3.0</v>
      </c>
      <c r="U8" s="23">
        <v>3.0</v>
      </c>
      <c r="V8" s="23">
        <v>3.0</v>
      </c>
      <c r="W8" s="50">
        <f t="shared" si="4"/>
        <v>90</v>
      </c>
      <c r="X8" s="23">
        <v>2.0</v>
      </c>
      <c r="Y8" s="23">
        <v>3.0</v>
      </c>
      <c r="Z8" s="23">
        <v>3.0</v>
      </c>
      <c r="AA8" s="23">
        <v>3.0</v>
      </c>
      <c r="AB8" s="49">
        <f t="shared" si="5"/>
        <v>87</v>
      </c>
      <c r="AC8" s="23">
        <v>2.0</v>
      </c>
      <c r="AD8" s="23">
        <v>2.0</v>
      </c>
      <c r="AE8" s="23">
        <v>2.0</v>
      </c>
      <c r="AF8" s="23">
        <v>2.0</v>
      </c>
      <c r="AG8" s="50">
        <f t="shared" si="6"/>
        <v>60</v>
      </c>
      <c r="AH8" s="23">
        <v>2.0</v>
      </c>
      <c r="AI8" s="23">
        <v>3.0</v>
      </c>
      <c r="AJ8" s="23">
        <v>3.0</v>
      </c>
      <c r="AK8" s="23">
        <v>2.0</v>
      </c>
      <c r="AL8" s="49">
        <f t="shared" si="7"/>
        <v>72</v>
      </c>
      <c r="AM8" s="23">
        <v>2.0</v>
      </c>
      <c r="AN8" s="23">
        <v>3.0</v>
      </c>
      <c r="AO8" s="23">
        <v>3.0</v>
      </c>
      <c r="AP8" s="23">
        <v>1.0</v>
      </c>
      <c r="AQ8" s="49">
        <f t="shared" si="8"/>
        <v>57</v>
      </c>
    </row>
    <row r="9">
      <c r="A9" s="21">
        <f>'INPUT DAFTAR PESERTA'!A7</f>
        <v>4</v>
      </c>
      <c r="B9" s="21">
        <f>'INPUT DAFTAR PESERTA'!B7</f>
        <v>2409046026</v>
      </c>
      <c r="C9" s="22" t="str">
        <f>'INPUT DAFTAR PESERTA'!C7</f>
        <v>Aisha Aqmarina Fathiyya Hawwa</v>
      </c>
      <c r="D9" s="23">
        <v>3.0</v>
      </c>
      <c r="E9" s="23">
        <v>2.0</v>
      </c>
      <c r="F9" s="23">
        <v>2.0</v>
      </c>
      <c r="G9" s="23">
        <v>3.0</v>
      </c>
      <c r="H9" s="48">
        <f t="shared" si="1"/>
        <v>78</v>
      </c>
      <c r="I9" s="23">
        <v>3.0</v>
      </c>
      <c r="J9" s="23">
        <v>3.0</v>
      </c>
      <c r="K9" s="23">
        <v>3.0</v>
      </c>
      <c r="L9" s="23">
        <v>3.0</v>
      </c>
      <c r="M9" s="49">
        <f t="shared" si="2"/>
        <v>90</v>
      </c>
      <c r="N9" s="23">
        <v>3.0</v>
      </c>
      <c r="O9" s="23">
        <v>3.0</v>
      </c>
      <c r="P9" s="23">
        <v>3.0</v>
      </c>
      <c r="Q9" s="23">
        <v>2.0</v>
      </c>
      <c r="R9" s="49">
        <f t="shared" si="3"/>
        <v>75</v>
      </c>
      <c r="S9" s="23">
        <v>3.0</v>
      </c>
      <c r="T9" s="23">
        <v>3.0</v>
      </c>
      <c r="U9" s="23">
        <v>3.0</v>
      </c>
      <c r="V9" s="23">
        <v>2.0</v>
      </c>
      <c r="W9" s="50">
        <f t="shared" si="4"/>
        <v>75</v>
      </c>
      <c r="X9" s="23">
        <v>1.0</v>
      </c>
      <c r="Y9" s="23">
        <v>1.0</v>
      </c>
      <c r="Z9" s="23">
        <v>1.0</v>
      </c>
      <c r="AA9" s="23">
        <v>1.0</v>
      </c>
      <c r="AB9" s="49">
        <f t="shared" si="5"/>
        <v>30</v>
      </c>
      <c r="AC9" s="23">
        <v>3.0</v>
      </c>
      <c r="AD9" s="23">
        <v>2.0</v>
      </c>
      <c r="AE9" s="23">
        <v>2.0</v>
      </c>
      <c r="AF9" s="23">
        <v>2.0</v>
      </c>
      <c r="AG9" s="50">
        <f t="shared" si="6"/>
        <v>63</v>
      </c>
      <c r="AH9" s="23">
        <v>2.0</v>
      </c>
      <c r="AI9" s="23">
        <v>3.0</v>
      </c>
      <c r="AJ9" s="23">
        <v>3.0</v>
      </c>
      <c r="AK9" s="23">
        <v>1.0</v>
      </c>
      <c r="AL9" s="49">
        <f t="shared" si="7"/>
        <v>57</v>
      </c>
      <c r="AM9" s="23">
        <v>3.0</v>
      </c>
      <c r="AN9" s="23">
        <v>3.0</v>
      </c>
      <c r="AO9" s="23">
        <v>3.0</v>
      </c>
      <c r="AP9" s="23">
        <v>3.0</v>
      </c>
      <c r="AQ9" s="49">
        <f t="shared" si="8"/>
        <v>90</v>
      </c>
    </row>
    <row r="10">
      <c r="A10" s="21">
        <f>'INPUT DAFTAR PESERTA'!A8</f>
        <v>5</v>
      </c>
      <c r="B10" s="21">
        <f>'INPUT DAFTAR PESERTA'!B8</f>
        <v>2409046027</v>
      </c>
      <c r="C10" s="22" t="str">
        <f>'INPUT DAFTAR PESERTA'!C8</f>
        <v>Faykar Alfarisi Armadani</v>
      </c>
      <c r="D10" s="23">
        <v>3.0</v>
      </c>
      <c r="E10" s="23">
        <v>3.0</v>
      </c>
      <c r="F10" s="23">
        <v>3.0</v>
      </c>
      <c r="G10" s="23">
        <v>1.0</v>
      </c>
      <c r="H10" s="48">
        <f t="shared" si="1"/>
        <v>60</v>
      </c>
      <c r="I10" s="23">
        <v>3.0</v>
      </c>
      <c r="J10" s="23">
        <v>3.0</v>
      </c>
      <c r="K10" s="23">
        <v>3.0</v>
      </c>
      <c r="L10" s="23">
        <v>2.0</v>
      </c>
      <c r="M10" s="49">
        <f t="shared" si="2"/>
        <v>75</v>
      </c>
      <c r="N10" s="23">
        <v>3.0</v>
      </c>
      <c r="O10" s="23">
        <v>3.0</v>
      </c>
      <c r="P10" s="23">
        <v>3.0</v>
      </c>
      <c r="Q10" s="23">
        <v>2.0</v>
      </c>
      <c r="R10" s="49">
        <f t="shared" si="3"/>
        <v>75</v>
      </c>
      <c r="S10" s="23">
        <v>3.0</v>
      </c>
      <c r="T10" s="23">
        <v>3.0</v>
      </c>
      <c r="U10" s="23">
        <v>3.0</v>
      </c>
      <c r="V10" s="23">
        <v>2.0</v>
      </c>
      <c r="W10" s="50">
        <f t="shared" si="4"/>
        <v>75</v>
      </c>
      <c r="X10" s="23">
        <v>3.0</v>
      </c>
      <c r="Y10" s="23">
        <v>3.0</v>
      </c>
      <c r="Z10" s="23">
        <v>3.0</v>
      </c>
      <c r="AA10" s="23">
        <v>3.0</v>
      </c>
      <c r="AB10" s="49">
        <f t="shared" si="5"/>
        <v>90</v>
      </c>
      <c r="AC10" s="23">
        <v>3.0</v>
      </c>
      <c r="AD10" s="23">
        <v>2.0</v>
      </c>
      <c r="AE10" s="23">
        <v>2.0</v>
      </c>
      <c r="AF10" s="23">
        <v>2.0</v>
      </c>
      <c r="AG10" s="50">
        <f t="shared" si="6"/>
        <v>63</v>
      </c>
      <c r="AH10" s="23">
        <v>2.0</v>
      </c>
      <c r="AI10" s="23">
        <v>3.0</v>
      </c>
      <c r="AJ10" s="23">
        <v>3.0</v>
      </c>
      <c r="AK10" s="23">
        <v>3.0</v>
      </c>
      <c r="AL10" s="49">
        <f t="shared" si="7"/>
        <v>87</v>
      </c>
      <c r="AM10" s="23">
        <v>3.0</v>
      </c>
      <c r="AN10" s="23">
        <v>3.0</v>
      </c>
      <c r="AO10" s="23">
        <v>3.0</v>
      </c>
      <c r="AP10" s="23">
        <v>1.0</v>
      </c>
      <c r="AQ10" s="49">
        <f t="shared" si="8"/>
        <v>60</v>
      </c>
    </row>
    <row r="11">
      <c r="A11" s="21">
        <f>'INPUT DAFTAR PESERTA'!A9</f>
        <v>6</v>
      </c>
      <c r="B11" s="21">
        <f>'INPUT DAFTAR PESERTA'!B9</f>
        <v>2409046034</v>
      </c>
      <c r="C11" s="22" t="str">
        <f>'INPUT DAFTAR PESERTA'!C9</f>
        <v>Annisa Nurdin</v>
      </c>
      <c r="D11" s="23">
        <v>3.0</v>
      </c>
      <c r="E11" s="23">
        <v>3.0</v>
      </c>
      <c r="F11" s="23">
        <v>3.0</v>
      </c>
      <c r="G11" s="23">
        <v>1.0</v>
      </c>
      <c r="H11" s="48">
        <f t="shared" si="1"/>
        <v>60</v>
      </c>
      <c r="I11" s="23">
        <v>3.0</v>
      </c>
      <c r="J11" s="23">
        <v>3.0</v>
      </c>
      <c r="K11" s="23">
        <v>3.0</v>
      </c>
      <c r="L11" s="23">
        <v>3.0</v>
      </c>
      <c r="M11" s="49">
        <f t="shared" si="2"/>
        <v>90</v>
      </c>
      <c r="N11" s="23">
        <v>3.0</v>
      </c>
      <c r="O11" s="23">
        <v>3.0</v>
      </c>
      <c r="P11" s="23">
        <v>3.0</v>
      </c>
      <c r="Q11" s="23">
        <v>3.0</v>
      </c>
      <c r="R11" s="49">
        <f t="shared" si="3"/>
        <v>90</v>
      </c>
      <c r="S11" s="23">
        <v>3.0</v>
      </c>
      <c r="T11" s="23">
        <v>3.0</v>
      </c>
      <c r="U11" s="23">
        <v>3.0</v>
      </c>
      <c r="V11" s="23">
        <v>3.0</v>
      </c>
      <c r="W11" s="50">
        <f t="shared" si="4"/>
        <v>90</v>
      </c>
      <c r="X11" s="23">
        <v>3.0</v>
      </c>
      <c r="Y11" s="23">
        <v>3.0</v>
      </c>
      <c r="Z11" s="23">
        <v>3.0</v>
      </c>
      <c r="AA11" s="23">
        <v>3.0</v>
      </c>
      <c r="AB11" s="49">
        <f t="shared" si="5"/>
        <v>90</v>
      </c>
      <c r="AC11" s="23">
        <v>3.0</v>
      </c>
      <c r="AD11" s="23">
        <v>2.0</v>
      </c>
      <c r="AE11" s="23">
        <v>2.0</v>
      </c>
      <c r="AF11" s="23">
        <v>2.0</v>
      </c>
      <c r="AG11" s="50">
        <f t="shared" si="6"/>
        <v>63</v>
      </c>
      <c r="AH11" s="23">
        <v>2.0</v>
      </c>
      <c r="AI11" s="23">
        <v>3.0</v>
      </c>
      <c r="AJ11" s="23">
        <v>3.0</v>
      </c>
      <c r="AK11" s="23">
        <v>3.0</v>
      </c>
      <c r="AL11" s="49">
        <f t="shared" si="7"/>
        <v>87</v>
      </c>
      <c r="AM11" s="23">
        <v>2.0</v>
      </c>
      <c r="AN11" s="23">
        <v>3.0</v>
      </c>
      <c r="AO11" s="23">
        <v>3.0</v>
      </c>
      <c r="AP11" s="23">
        <v>1.0</v>
      </c>
      <c r="AQ11" s="49">
        <f t="shared" si="8"/>
        <v>57</v>
      </c>
    </row>
    <row r="12">
      <c r="A12" s="21">
        <f>'INPUT DAFTAR PESERTA'!A10</f>
        <v>7</v>
      </c>
      <c r="B12" s="21">
        <f>'INPUT DAFTAR PESERTA'!B10</f>
        <v>2409046042</v>
      </c>
      <c r="C12" s="22" t="str">
        <f>'INPUT DAFTAR PESERTA'!C10</f>
        <v>Aflahal Aula</v>
      </c>
      <c r="D12" s="23">
        <v>3.0</v>
      </c>
      <c r="E12" s="23">
        <v>3.0</v>
      </c>
      <c r="F12" s="23">
        <v>3.0</v>
      </c>
      <c r="G12" s="23">
        <v>1.0</v>
      </c>
      <c r="H12" s="48">
        <f t="shared" si="1"/>
        <v>60</v>
      </c>
      <c r="I12" s="23">
        <v>3.0</v>
      </c>
      <c r="J12" s="23">
        <v>3.0</v>
      </c>
      <c r="K12" s="23">
        <v>3.0</v>
      </c>
      <c r="L12" s="23">
        <v>1.0</v>
      </c>
      <c r="M12" s="49">
        <f t="shared" si="2"/>
        <v>60</v>
      </c>
      <c r="N12" s="23">
        <v>3.0</v>
      </c>
      <c r="O12" s="23">
        <v>3.0</v>
      </c>
      <c r="P12" s="23">
        <v>3.0</v>
      </c>
      <c r="Q12" s="23">
        <v>3.0</v>
      </c>
      <c r="R12" s="49">
        <f t="shared" si="3"/>
        <v>90</v>
      </c>
      <c r="S12" s="23">
        <v>3.0</v>
      </c>
      <c r="T12" s="23">
        <v>3.0</v>
      </c>
      <c r="U12" s="23">
        <v>3.0</v>
      </c>
      <c r="V12" s="23">
        <v>3.0</v>
      </c>
      <c r="W12" s="50">
        <f t="shared" si="4"/>
        <v>90</v>
      </c>
      <c r="X12" s="23">
        <v>3.0</v>
      </c>
      <c r="Y12" s="23">
        <v>3.0</v>
      </c>
      <c r="Z12" s="23">
        <v>3.0</v>
      </c>
      <c r="AA12" s="23">
        <v>3.0</v>
      </c>
      <c r="AB12" s="49">
        <f t="shared" si="5"/>
        <v>90</v>
      </c>
      <c r="AC12" s="23">
        <v>3.0</v>
      </c>
      <c r="AD12" s="23">
        <v>2.0</v>
      </c>
      <c r="AE12" s="23">
        <v>2.0</v>
      </c>
      <c r="AF12" s="23">
        <v>2.0</v>
      </c>
      <c r="AG12" s="50">
        <f t="shared" si="6"/>
        <v>63</v>
      </c>
      <c r="AH12" s="23">
        <v>2.0</v>
      </c>
      <c r="AI12" s="23">
        <v>3.0</v>
      </c>
      <c r="AJ12" s="23">
        <v>3.0</v>
      </c>
      <c r="AK12" s="23">
        <v>3.0</v>
      </c>
      <c r="AL12" s="49">
        <f t="shared" si="7"/>
        <v>87</v>
      </c>
      <c r="AM12" s="23">
        <v>3.0</v>
      </c>
      <c r="AN12" s="23">
        <v>3.0</v>
      </c>
      <c r="AO12" s="23">
        <v>3.0</v>
      </c>
      <c r="AP12" s="23">
        <v>1.0</v>
      </c>
      <c r="AQ12" s="49">
        <f t="shared" si="8"/>
        <v>60</v>
      </c>
    </row>
    <row r="13">
      <c r="A13" s="21">
        <f>'INPUT DAFTAR PESERTA'!A11</f>
        <v>8</v>
      </c>
      <c r="B13" s="21">
        <f>'INPUT DAFTAR PESERTA'!B11</f>
        <v>2409046045</v>
      </c>
      <c r="C13" s="22" t="str">
        <f>'INPUT DAFTAR PESERTA'!C11</f>
        <v>Jofan Ananda Sulle</v>
      </c>
      <c r="D13" s="23">
        <v>3.0</v>
      </c>
      <c r="E13" s="23">
        <v>3.0</v>
      </c>
      <c r="F13" s="23">
        <v>3.0</v>
      </c>
      <c r="G13" s="23">
        <v>1.0</v>
      </c>
      <c r="H13" s="48">
        <f t="shared" si="1"/>
        <v>60</v>
      </c>
      <c r="I13" s="23">
        <v>3.0</v>
      </c>
      <c r="J13" s="23">
        <v>3.0</v>
      </c>
      <c r="K13" s="23">
        <v>3.0</v>
      </c>
      <c r="L13" s="23">
        <v>2.0</v>
      </c>
      <c r="M13" s="49">
        <f t="shared" si="2"/>
        <v>75</v>
      </c>
      <c r="N13" s="23">
        <v>3.0</v>
      </c>
      <c r="O13" s="23">
        <v>3.0</v>
      </c>
      <c r="P13" s="23">
        <v>3.0</v>
      </c>
      <c r="Q13" s="23">
        <v>3.0</v>
      </c>
      <c r="R13" s="49">
        <f t="shared" si="3"/>
        <v>90</v>
      </c>
      <c r="S13" s="23">
        <v>3.0</v>
      </c>
      <c r="T13" s="23">
        <v>3.0</v>
      </c>
      <c r="U13" s="23">
        <v>3.0</v>
      </c>
      <c r="V13" s="23">
        <v>3.0</v>
      </c>
      <c r="W13" s="50">
        <f t="shared" si="4"/>
        <v>90</v>
      </c>
      <c r="X13" s="23">
        <v>3.0</v>
      </c>
      <c r="Y13" s="23">
        <v>3.0</v>
      </c>
      <c r="Z13" s="23">
        <v>3.0</v>
      </c>
      <c r="AA13" s="23">
        <v>3.0</v>
      </c>
      <c r="AB13" s="49">
        <f t="shared" si="5"/>
        <v>90</v>
      </c>
      <c r="AC13" s="23">
        <v>3.0</v>
      </c>
      <c r="AD13" s="23">
        <v>2.0</v>
      </c>
      <c r="AE13" s="23">
        <v>2.0</v>
      </c>
      <c r="AF13" s="23">
        <v>2.0</v>
      </c>
      <c r="AG13" s="50">
        <f t="shared" si="6"/>
        <v>63</v>
      </c>
      <c r="AH13" s="23">
        <v>2.0</v>
      </c>
      <c r="AI13" s="23">
        <v>3.0</v>
      </c>
      <c r="AJ13" s="23">
        <v>3.0</v>
      </c>
      <c r="AK13" s="23">
        <v>1.0</v>
      </c>
      <c r="AL13" s="49">
        <f t="shared" si="7"/>
        <v>57</v>
      </c>
      <c r="AM13" s="23">
        <v>3.0</v>
      </c>
      <c r="AN13" s="23">
        <v>3.0</v>
      </c>
      <c r="AO13" s="23">
        <v>3.0</v>
      </c>
      <c r="AP13" s="23">
        <v>1.0</v>
      </c>
      <c r="AQ13" s="49">
        <f t="shared" si="8"/>
        <v>60</v>
      </c>
    </row>
    <row r="14">
      <c r="A14" s="21">
        <f>'INPUT DAFTAR PESERTA'!A12</f>
        <v>9</v>
      </c>
      <c r="B14" s="21">
        <f>'INPUT DAFTAR PESERTA'!B12</f>
        <v>2409046046</v>
      </c>
      <c r="C14" s="22" t="str">
        <f>'INPUT DAFTAR PESERTA'!C12</f>
        <v>Muhammad Ananda Harisyah Putra</v>
      </c>
      <c r="D14" s="23">
        <v>3.0</v>
      </c>
      <c r="E14" s="23">
        <v>3.0</v>
      </c>
      <c r="F14" s="23">
        <v>3.0</v>
      </c>
      <c r="G14" s="23">
        <v>3.0</v>
      </c>
      <c r="H14" s="48">
        <f t="shared" si="1"/>
        <v>90</v>
      </c>
      <c r="I14" s="23">
        <v>3.0</v>
      </c>
      <c r="J14" s="23">
        <v>3.0</v>
      </c>
      <c r="K14" s="23">
        <v>3.0</v>
      </c>
      <c r="L14" s="23">
        <v>3.0</v>
      </c>
      <c r="M14" s="49">
        <f t="shared" si="2"/>
        <v>90</v>
      </c>
      <c r="N14" s="23">
        <v>3.0</v>
      </c>
      <c r="O14" s="23">
        <v>3.0</v>
      </c>
      <c r="P14" s="23">
        <v>3.0</v>
      </c>
      <c r="Q14" s="23">
        <v>3.0</v>
      </c>
      <c r="R14" s="49">
        <f t="shared" si="3"/>
        <v>90</v>
      </c>
      <c r="S14" s="23">
        <v>3.0</v>
      </c>
      <c r="T14" s="23">
        <v>3.0</v>
      </c>
      <c r="U14" s="23">
        <v>3.0</v>
      </c>
      <c r="V14" s="23">
        <v>3.0</v>
      </c>
      <c r="W14" s="50">
        <f t="shared" si="4"/>
        <v>90</v>
      </c>
      <c r="X14" s="23">
        <v>3.0</v>
      </c>
      <c r="Y14" s="23">
        <v>3.0</v>
      </c>
      <c r="Z14" s="23">
        <v>3.0</v>
      </c>
      <c r="AA14" s="23">
        <v>3.0</v>
      </c>
      <c r="AB14" s="49">
        <f t="shared" si="5"/>
        <v>90</v>
      </c>
      <c r="AC14" s="23">
        <v>2.0</v>
      </c>
      <c r="AD14" s="23">
        <v>2.0</v>
      </c>
      <c r="AE14" s="23">
        <v>2.0</v>
      </c>
      <c r="AF14" s="23">
        <v>2.0</v>
      </c>
      <c r="AG14" s="50">
        <f t="shared" si="6"/>
        <v>60</v>
      </c>
      <c r="AH14" s="23">
        <v>2.0</v>
      </c>
      <c r="AI14" s="23">
        <v>3.0</v>
      </c>
      <c r="AJ14" s="23">
        <v>3.0</v>
      </c>
      <c r="AK14" s="23">
        <v>3.0</v>
      </c>
      <c r="AL14" s="49">
        <f t="shared" si="7"/>
        <v>87</v>
      </c>
      <c r="AM14" s="23">
        <v>3.0</v>
      </c>
      <c r="AN14" s="23">
        <v>3.0</v>
      </c>
      <c r="AO14" s="23">
        <v>3.0</v>
      </c>
      <c r="AP14" s="23">
        <v>1.0</v>
      </c>
      <c r="AQ14" s="49">
        <f t="shared" si="8"/>
        <v>60</v>
      </c>
    </row>
    <row r="15">
      <c r="A15" s="21">
        <f>'INPUT DAFTAR PESERTA'!A13</f>
        <v>10</v>
      </c>
      <c r="B15" s="21">
        <f>'INPUT DAFTAR PESERTA'!B13</f>
        <v>2409046048</v>
      </c>
      <c r="C15" s="22" t="str">
        <f>'INPUT DAFTAR PESERTA'!C13</f>
        <v>Zaid Iman At-Tamam</v>
      </c>
      <c r="D15" s="23">
        <v>3.0</v>
      </c>
      <c r="E15" s="23">
        <v>3.0</v>
      </c>
      <c r="F15" s="23">
        <v>3.0</v>
      </c>
      <c r="G15" s="23">
        <v>2.0</v>
      </c>
      <c r="H15" s="48">
        <f t="shared" si="1"/>
        <v>75</v>
      </c>
      <c r="I15" s="23">
        <v>3.0</v>
      </c>
      <c r="J15" s="23">
        <v>3.0</v>
      </c>
      <c r="K15" s="23">
        <v>3.0</v>
      </c>
      <c r="L15" s="23">
        <v>2.0</v>
      </c>
      <c r="M15" s="49">
        <f t="shared" si="2"/>
        <v>75</v>
      </c>
      <c r="N15" s="23">
        <v>3.0</v>
      </c>
      <c r="O15" s="23">
        <v>3.0</v>
      </c>
      <c r="P15" s="23">
        <v>3.0</v>
      </c>
      <c r="Q15" s="23">
        <v>2.0</v>
      </c>
      <c r="R15" s="49">
        <f t="shared" si="3"/>
        <v>75</v>
      </c>
      <c r="S15" s="23">
        <v>3.0</v>
      </c>
      <c r="T15" s="23">
        <v>3.0</v>
      </c>
      <c r="U15" s="23">
        <v>3.0</v>
      </c>
      <c r="V15" s="23">
        <v>2.0</v>
      </c>
      <c r="W15" s="50">
        <f t="shared" si="4"/>
        <v>75</v>
      </c>
      <c r="X15" s="23">
        <v>3.0</v>
      </c>
      <c r="Y15" s="23">
        <v>3.0</v>
      </c>
      <c r="Z15" s="23">
        <v>3.0</v>
      </c>
      <c r="AA15" s="23">
        <v>3.0</v>
      </c>
      <c r="AB15" s="49">
        <f t="shared" si="5"/>
        <v>90</v>
      </c>
      <c r="AC15" s="23">
        <v>2.0</v>
      </c>
      <c r="AD15" s="23">
        <v>2.0</v>
      </c>
      <c r="AE15" s="23">
        <v>2.0</v>
      </c>
      <c r="AF15" s="23">
        <v>2.0</v>
      </c>
      <c r="AG15" s="50">
        <f t="shared" si="6"/>
        <v>60</v>
      </c>
      <c r="AH15" s="23">
        <v>2.0</v>
      </c>
      <c r="AI15" s="23">
        <v>3.0</v>
      </c>
      <c r="AJ15" s="23">
        <v>3.0</v>
      </c>
      <c r="AK15" s="23">
        <v>2.0</v>
      </c>
      <c r="AL15" s="49">
        <f t="shared" si="7"/>
        <v>72</v>
      </c>
      <c r="AM15" s="23">
        <v>3.0</v>
      </c>
      <c r="AN15" s="23">
        <v>3.0</v>
      </c>
      <c r="AO15" s="23">
        <v>3.0</v>
      </c>
      <c r="AP15" s="23">
        <v>1.0</v>
      </c>
      <c r="AQ15" s="49">
        <f t="shared" si="8"/>
        <v>60</v>
      </c>
    </row>
    <row r="16">
      <c r="A16" s="21">
        <f>'INPUT DAFTAR PESERTA'!A14</f>
        <v>11</v>
      </c>
      <c r="B16" s="21">
        <f>'INPUT DAFTAR PESERTA'!B14</f>
        <v>2409046050</v>
      </c>
      <c r="C16" s="22" t="str">
        <f>'INPUT DAFTAR PESERTA'!C14</f>
        <v>Fachri Zia Pasha</v>
      </c>
      <c r="D16" s="23">
        <v>3.0</v>
      </c>
      <c r="E16" s="23">
        <v>3.0</v>
      </c>
      <c r="F16" s="23">
        <v>3.0</v>
      </c>
      <c r="G16" s="23">
        <v>3.0</v>
      </c>
      <c r="H16" s="48">
        <f t="shared" si="1"/>
        <v>90</v>
      </c>
      <c r="I16" s="23">
        <v>3.0</v>
      </c>
      <c r="J16" s="23">
        <v>3.0</v>
      </c>
      <c r="K16" s="23">
        <v>3.0</v>
      </c>
      <c r="L16" s="23">
        <v>3.0</v>
      </c>
      <c r="M16" s="49">
        <f t="shared" si="2"/>
        <v>90</v>
      </c>
      <c r="N16" s="23">
        <v>3.0</v>
      </c>
      <c r="O16" s="23">
        <v>3.0</v>
      </c>
      <c r="P16" s="23">
        <v>3.0</v>
      </c>
      <c r="Q16" s="23">
        <v>3.0</v>
      </c>
      <c r="R16" s="49">
        <f t="shared" si="3"/>
        <v>90</v>
      </c>
      <c r="S16" s="23">
        <v>3.0</v>
      </c>
      <c r="T16" s="23">
        <v>3.0</v>
      </c>
      <c r="U16" s="23">
        <v>3.0</v>
      </c>
      <c r="V16" s="23">
        <v>3.0</v>
      </c>
      <c r="W16" s="50">
        <f t="shared" si="4"/>
        <v>90</v>
      </c>
      <c r="X16" s="23">
        <v>3.0</v>
      </c>
      <c r="Y16" s="23">
        <v>3.0</v>
      </c>
      <c r="Z16" s="23">
        <v>3.0</v>
      </c>
      <c r="AA16" s="23">
        <v>3.0</v>
      </c>
      <c r="AB16" s="49">
        <f t="shared" si="5"/>
        <v>90</v>
      </c>
      <c r="AC16" s="23">
        <v>2.0</v>
      </c>
      <c r="AD16" s="23">
        <v>2.0</v>
      </c>
      <c r="AE16" s="23">
        <v>2.0</v>
      </c>
      <c r="AF16" s="23">
        <v>2.0</v>
      </c>
      <c r="AG16" s="50">
        <f t="shared" si="6"/>
        <v>60</v>
      </c>
      <c r="AH16" s="23">
        <v>2.0</v>
      </c>
      <c r="AI16" s="23">
        <v>3.0</v>
      </c>
      <c r="AJ16" s="23">
        <v>3.0</v>
      </c>
      <c r="AK16" s="23">
        <v>3.0</v>
      </c>
      <c r="AL16" s="49">
        <f t="shared" si="7"/>
        <v>87</v>
      </c>
      <c r="AM16" s="23">
        <v>3.0</v>
      </c>
      <c r="AN16" s="23">
        <v>3.0</v>
      </c>
      <c r="AO16" s="23">
        <v>3.0</v>
      </c>
      <c r="AP16" s="23">
        <v>2.0</v>
      </c>
      <c r="AQ16" s="49">
        <f t="shared" si="8"/>
        <v>75</v>
      </c>
    </row>
    <row r="17">
      <c r="A17" s="21">
        <f>'INPUT DAFTAR PESERTA'!A15</f>
        <v>12</v>
      </c>
      <c r="B17" s="21">
        <f>'INPUT DAFTAR PESERTA'!B15</f>
        <v>2409046051</v>
      </c>
      <c r="C17" s="22" t="str">
        <f>'INPUT DAFTAR PESERTA'!C15</f>
        <v>Aziffa Reisazalea</v>
      </c>
      <c r="D17" s="23">
        <v>3.0</v>
      </c>
      <c r="E17" s="23">
        <v>3.0</v>
      </c>
      <c r="F17" s="23">
        <v>3.0</v>
      </c>
      <c r="G17" s="23">
        <v>3.0</v>
      </c>
      <c r="H17" s="48">
        <f t="shared" si="1"/>
        <v>90</v>
      </c>
      <c r="I17" s="23">
        <v>3.0</v>
      </c>
      <c r="J17" s="23">
        <v>3.0</v>
      </c>
      <c r="K17" s="23">
        <v>3.0</v>
      </c>
      <c r="L17" s="23">
        <v>3.0</v>
      </c>
      <c r="M17" s="49">
        <f t="shared" si="2"/>
        <v>90</v>
      </c>
      <c r="N17" s="23">
        <v>3.0</v>
      </c>
      <c r="O17" s="23">
        <v>3.0</v>
      </c>
      <c r="P17" s="23">
        <v>3.0</v>
      </c>
      <c r="Q17" s="23">
        <v>3.0</v>
      </c>
      <c r="R17" s="49">
        <f t="shared" si="3"/>
        <v>90</v>
      </c>
      <c r="S17" s="23">
        <v>3.0</v>
      </c>
      <c r="T17" s="23">
        <v>3.0</v>
      </c>
      <c r="U17" s="23">
        <v>3.0</v>
      </c>
      <c r="V17" s="23">
        <v>3.0</v>
      </c>
      <c r="W17" s="50">
        <f t="shared" si="4"/>
        <v>90</v>
      </c>
      <c r="X17" s="23">
        <v>3.0</v>
      </c>
      <c r="Y17" s="23">
        <v>3.0</v>
      </c>
      <c r="Z17" s="23">
        <v>3.0</v>
      </c>
      <c r="AA17" s="23">
        <v>3.0</v>
      </c>
      <c r="AB17" s="49">
        <f t="shared" si="5"/>
        <v>90</v>
      </c>
      <c r="AC17" s="23">
        <v>2.0</v>
      </c>
      <c r="AD17" s="23">
        <v>2.0</v>
      </c>
      <c r="AE17" s="23">
        <v>2.0</v>
      </c>
      <c r="AF17" s="23">
        <v>2.0</v>
      </c>
      <c r="AG17" s="50">
        <f t="shared" si="6"/>
        <v>60</v>
      </c>
      <c r="AH17" s="23">
        <v>2.0</v>
      </c>
      <c r="AI17" s="23">
        <v>3.0</v>
      </c>
      <c r="AJ17" s="23">
        <v>3.0</v>
      </c>
      <c r="AK17" s="23">
        <v>3.0</v>
      </c>
      <c r="AL17" s="49">
        <f t="shared" si="7"/>
        <v>87</v>
      </c>
      <c r="AM17" s="23">
        <v>3.0</v>
      </c>
      <c r="AN17" s="23">
        <v>3.0</v>
      </c>
      <c r="AO17" s="23">
        <v>3.0</v>
      </c>
      <c r="AP17" s="23">
        <v>2.0</v>
      </c>
      <c r="AQ17" s="49">
        <f t="shared" si="8"/>
        <v>75</v>
      </c>
    </row>
    <row r="18">
      <c r="A18" s="21">
        <f>'INPUT DAFTAR PESERTA'!A16</f>
        <v>13</v>
      </c>
      <c r="B18" s="21">
        <f>'INPUT DAFTAR PESERTA'!B16</f>
        <v>2409046054</v>
      </c>
      <c r="C18" s="22" t="str">
        <f>'INPUT DAFTAR PESERTA'!C16</f>
        <v>Suci Andra Pramitha</v>
      </c>
      <c r="D18" s="23">
        <v>2.0</v>
      </c>
      <c r="E18" s="23">
        <v>3.0</v>
      </c>
      <c r="F18" s="23">
        <v>3.0</v>
      </c>
      <c r="G18" s="23">
        <v>3.0</v>
      </c>
      <c r="H18" s="48">
        <f t="shared" si="1"/>
        <v>87</v>
      </c>
      <c r="I18" s="23">
        <v>3.0</v>
      </c>
      <c r="J18" s="23">
        <v>3.0</v>
      </c>
      <c r="K18" s="23">
        <v>3.0</v>
      </c>
      <c r="L18" s="23">
        <v>1.0</v>
      </c>
      <c r="M18" s="49">
        <f t="shared" si="2"/>
        <v>60</v>
      </c>
      <c r="N18" s="23">
        <v>3.0</v>
      </c>
      <c r="O18" s="23">
        <v>3.0</v>
      </c>
      <c r="P18" s="23">
        <v>3.0</v>
      </c>
      <c r="Q18" s="23">
        <v>1.0</v>
      </c>
      <c r="R18" s="49">
        <f t="shared" si="3"/>
        <v>60</v>
      </c>
      <c r="S18" s="23">
        <v>3.0</v>
      </c>
      <c r="T18" s="23">
        <v>3.0</v>
      </c>
      <c r="U18" s="23">
        <v>3.0</v>
      </c>
      <c r="V18" s="23">
        <v>3.0</v>
      </c>
      <c r="W18" s="50">
        <f t="shared" si="4"/>
        <v>90</v>
      </c>
      <c r="X18" s="23">
        <v>3.0</v>
      </c>
      <c r="Y18" s="23">
        <v>3.0</v>
      </c>
      <c r="Z18" s="23">
        <v>3.0</v>
      </c>
      <c r="AA18" s="23">
        <v>1.0</v>
      </c>
      <c r="AB18" s="49">
        <f t="shared" si="5"/>
        <v>60</v>
      </c>
      <c r="AC18" s="23">
        <v>3.0</v>
      </c>
      <c r="AD18" s="23">
        <v>3.0</v>
      </c>
      <c r="AE18" s="23">
        <v>3.0</v>
      </c>
      <c r="AF18" s="23">
        <v>2.0</v>
      </c>
      <c r="AG18" s="50">
        <f t="shared" si="6"/>
        <v>75</v>
      </c>
      <c r="AH18" s="23">
        <v>2.0</v>
      </c>
      <c r="AI18" s="23">
        <v>3.0</v>
      </c>
      <c r="AJ18" s="23">
        <v>3.0</v>
      </c>
      <c r="AK18" s="23">
        <v>3.0</v>
      </c>
      <c r="AL18" s="49">
        <f t="shared" si="7"/>
        <v>87</v>
      </c>
      <c r="AM18" s="23">
        <v>2.0</v>
      </c>
      <c r="AN18" s="23">
        <v>3.0</v>
      </c>
      <c r="AO18" s="23">
        <v>3.0</v>
      </c>
      <c r="AP18" s="23">
        <v>1.0</v>
      </c>
      <c r="AQ18" s="49">
        <f t="shared" si="8"/>
        <v>57</v>
      </c>
    </row>
    <row r="19">
      <c r="A19" s="21">
        <f>'INPUT DAFTAR PESERTA'!A17</f>
        <v>14</v>
      </c>
      <c r="B19" s="21">
        <f>'INPUT DAFTAR PESERTA'!B17</f>
        <v>2409046056</v>
      </c>
      <c r="C19" s="22" t="str">
        <f>'INPUT DAFTAR PESERTA'!C17</f>
        <v>Reira Praditha</v>
      </c>
      <c r="D19" s="23">
        <v>2.0</v>
      </c>
      <c r="E19" s="23">
        <v>2.0</v>
      </c>
      <c r="F19" s="23">
        <v>3.0</v>
      </c>
      <c r="G19" s="23">
        <v>3.0</v>
      </c>
      <c r="H19" s="48">
        <f t="shared" si="1"/>
        <v>81</v>
      </c>
      <c r="I19" s="23">
        <v>3.0</v>
      </c>
      <c r="J19" s="23">
        <v>3.0</v>
      </c>
      <c r="K19" s="23">
        <v>3.0</v>
      </c>
      <c r="L19" s="23">
        <v>3.0</v>
      </c>
      <c r="M19" s="49">
        <f t="shared" si="2"/>
        <v>90</v>
      </c>
      <c r="N19" s="23">
        <v>3.0</v>
      </c>
      <c r="O19" s="23">
        <v>3.0</v>
      </c>
      <c r="P19" s="23">
        <v>3.0</v>
      </c>
      <c r="Q19" s="23">
        <v>2.0</v>
      </c>
      <c r="R19" s="49">
        <f t="shared" si="3"/>
        <v>75</v>
      </c>
      <c r="S19" s="23">
        <v>3.0</v>
      </c>
      <c r="T19" s="23">
        <v>3.0</v>
      </c>
      <c r="U19" s="23">
        <v>3.0</v>
      </c>
      <c r="V19" s="23">
        <v>3.0</v>
      </c>
      <c r="W19" s="50">
        <f t="shared" si="4"/>
        <v>90</v>
      </c>
      <c r="X19" s="23">
        <v>3.0</v>
      </c>
      <c r="Y19" s="23">
        <v>3.0</v>
      </c>
      <c r="Z19" s="23">
        <v>3.0</v>
      </c>
      <c r="AA19" s="23">
        <v>3.0</v>
      </c>
      <c r="AB19" s="49">
        <f t="shared" si="5"/>
        <v>90</v>
      </c>
      <c r="AC19" s="23">
        <v>3.0</v>
      </c>
      <c r="AD19" s="23">
        <v>3.0</v>
      </c>
      <c r="AE19" s="23">
        <v>3.0</v>
      </c>
      <c r="AF19" s="23">
        <v>2.0</v>
      </c>
      <c r="AG19" s="50">
        <f t="shared" si="6"/>
        <v>75</v>
      </c>
      <c r="AH19" s="23">
        <v>2.0</v>
      </c>
      <c r="AI19" s="23">
        <v>3.0</v>
      </c>
      <c r="AJ19" s="23">
        <v>3.0</v>
      </c>
      <c r="AK19" s="23">
        <v>1.0</v>
      </c>
      <c r="AL19" s="49">
        <f t="shared" si="7"/>
        <v>57</v>
      </c>
      <c r="AM19" s="23">
        <v>3.0</v>
      </c>
      <c r="AN19" s="23">
        <v>3.0</v>
      </c>
      <c r="AO19" s="23">
        <v>3.0</v>
      </c>
      <c r="AP19" s="23">
        <v>2.0</v>
      </c>
      <c r="AQ19" s="49">
        <f t="shared" si="8"/>
        <v>75</v>
      </c>
    </row>
    <row r="20">
      <c r="A20" s="21">
        <f>'INPUT DAFTAR PESERTA'!A18</f>
        <v>15</v>
      </c>
      <c r="B20" s="21">
        <f>'INPUT DAFTAR PESERTA'!B18</f>
        <v>2409046060</v>
      </c>
      <c r="C20" s="22" t="str">
        <f>'INPUT DAFTAR PESERTA'!C18</f>
        <v>Ainaya Salsabila</v>
      </c>
      <c r="D20" s="23">
        <v>2.0</v>
      </c>
      <c r="E20" s="23">
        <v>2.0</v>
      </c>
      <c r="F20" s="23">
        <v>3.0</v>
      </c>
      <c r="G20" s="23">
        <v>3.0</v>
      </c>
      <c r="H20" s="48">
        <f t="shared" si="1"/>
        <v>81</v>
      </c>
      <c r="I20" s="23">
        <v>3.0</v>
      </c>
      <c r="J20" s="23">
        <v>3.0</v>
      </c>
      <c r="K20" s="23">
        <v>3.0</v>
      </c>
      <c r="L20" s="23">
        <v>3.0</v>
      </c>
      <c r="M20" s="49">
        <f t="shared" si="2"/>
        <v>90</v>
      </c>
      <c r="N20" s="23">
        <v>2.0</v>
      </c>
      <c r="O20" s="23">
        <v>3.0</v>
      </c>
      <c r="P20" s="23">
        <v>3.0</v>
      </c>
      <c r="Q20" s="23">
        <v>3.0</v>
      </c>
      <c r="R20" s="49">
        <f t="shared" si="3"/>
        <v>87</v>
      </c>
      <c r="S20" s="23">
        <v>3.0</v>
      </c>
      <c r="T20" s="23">
        <v>3.0</v>
      </c>
      <c r="U20" s="23">
        <v>3.0</v>
      </c>
      <c r="V20" s="23">
        <v>3.0</v>
      </c>
      <c r="W20" s="50">
        <f t="shared" si="4"/>
        <v>90</v>
      </c>
      <c r="X20" s="23">
        <v>3.0</v>
      </c>
      <c r="Y20" s="23">
        <v>3.0</v>
      </c>
      <c r="Z20" s="23">
        <v>3.0</v>
      </c>
      <c r="AA20" s="23">
        <v>3.0</v>
      </c>
      <c r="AB20" s="49">
        <f t="shared" si="5"/>
        <v>90</v>
      </c>
      <c r="AC20" s="23">
        <v>3.0</v>
      </c>
      <c r="AD20" s="23">
        <v>3.0</v>
      </c>
      <c r="AE20" s="23">
        <v>3.0</v>
      </c>
      <c r="AF20" s="23">
        <v>2.0</v>
      </c>
      <c r="AG20" s="50">
        <f t="shared" si="6"/>
        <v>75</v>
      </c>
      <c r="AH20" s="23">
        <v>2.0</v>
      </c>
      <c r="AI20" s="23">
        <v>3.0</v>
      </c>
      <c r="AJ20" s="23">
        <v>3.0</v>
      </c>
      <c r="AK20" s="23">
        <v>3.0</v>
      </c>
      <c r="AL20" s="49">
        <f t="shared" si="7"/>
        <v>87</v>
      </c>
      <c r="AM20" s="23">
        <v>3.0</v>
      </c>
      <c r="AN20" s="23">
        <v>3.0</v>
      </c>
      <c r="AO20" s="23">
        <v>3.0</v>
      </c>
      <c r="AP20" s="23">
        <v>1.0</v>
      </c>
      <c r="AQ20" s="49">
        <f t="shared" si="8"/>
        <v>60</v>
      </c>
    </row>
    <row r="21">
      <c r="A21" s="21">
        <f>'INPUT DAFTAR PESERTA'!A19</f>
        <v>16</v>
      </c>
      <c r="B21" s="21">
        <f>'INPUT DAFTAR PESERTA'!B19</f>
        <v>2504096069</v>
      </c>
      <c r="C21" s="22" t="str">
        <f>'INPUT DAFTAR PESERTA'!C19</f>
        <v>Hafidz Ihsan Izzuddin</v>
      </c>
      <c r="D21" s="23">
        <v>3.0</v>
      </c>
      <c r="E21" s="23">
        <v>3.0</v>
      </c>
      <c r="F21" s="23">
        <v>3.0</v>
      </c>
      <c r="G21" s="23">
        <v>2.0</v>
      </c>
      <c r="H21" s="48">
        <f t="shared" si="1"/>
        <v>75</v>
      </c>
      <c r="I21" s="23">
        <v>1.0</v>
      </c>
      <c r="J21" s="23">
        <v>1.0</v>
      </c>
      <c r="K21" s="23">
        <v>1.0</v>
      </c>
      <c r="L21" s="23">
        <v>1.0</v>
      </c>
      <c r="M21" s="49">
        <f t="shared" si="2"/>
        <v>30</v>
      </c>
      <c r="N21" s="23">
        <v>3.0</v>
      </c>
      <c r="O21" s="23">
        <v>3.0</v>
      </c>
      <c r="P21" s="23">
        <v>2.0</v>
      </c>
      <c r="Q21" s="23">
        <v>1.0</v>
      </c>
      <c r="R21" s="49">
        <f t="shared" si="3"/>
        <v>54</v>
      </c>
      <c r="S21" s="23">
        <v>0.0</v>
      </c>
      <c r="T21" s="23">
        <v>0.0</v>
      </c>
      <c r="U21" s="23">
        <v>0.0</v>
      </c>
      <c r="V21" s="23">
        <v>0.0</v>
      </c>
      <c r="W21" s="50">
        <f t="shared" si="4"/>
        <v>0</v>
      </c>
      <c r="X21" s="23">
        <v>1.0</v>
      </c>
      <c r="Y21" s="23">
        <v>1.0</v>
      </c>
      <c r="Z21" s="23">
        <v>1.0</v>
      </c>
      <c r="AA21" s="23">
        <v>1.0</v>
      </c>
      <c r="AB21" s="49">
        <f t="shared" si="5"/>
        <v>30</v>
      </c>
      <c r="AC21" s="23">
        <v>3.0</v>
      </c>
      <c r="AD21" s="23">
        <v>3.0</v>
      </c>
      <c r="AE21" s="23">
        <v>3.0</v>
      </c>
      <c r="AF21" s="23">
        <v>2.0</v>
      </c>
      <c r="AG21" s="50">
        <f t="shared" si="6"/>
        <v>75</v>
      </c>
      <c r="AH21" s="23">
        <v>2.0</v>
      </c>
      <c r="AI21" s="23">
        <v>3.0</v>
      </c>
      <c r="AJ21" s="23">
        <v>3.0</v>
      </c>
      <c r="AK21" s="23">
        <v>1.0</v>
      </c>
      <c r="AL21" s="49">
        <f t="shared" si="7"/>
        <v>57</v>
      </c>
      <c r="AM21" s="23">
        <v>0.0</v>
      </c>
      <c r="AN21" s="23">
        <v>0.0</v>
      </c>
      <c r="AO21" s="23">
        <v>0.0</v>
      </c>
      <c r="AP21" s="23">
        <v>0.0</v>
      </c>
      <c r="AQ21" s="49">
        <f t="shared" si="8"/>
        <v>0</v>
      </c>
    </row>
    <row r="22">
      <c r="A22" s="21">
        <f>'INPUT DAFTAR PESERTA'!A20</f>
        <v>17</v>
      </c>
      <c r="B22" s="21">
        <f>'INPUT DAFTAR PESERTA'!B20</f>
        <v>2509046001</v>
      </c>
      <c r="C22" s="22" t="str">
        <f>'INPUT DAFTAR PESERTA'!C20</f>
        <v>Nurman Dwi Prasetyo</v>
      </c>
      <c r="D22" s="23">
        <v>3.0</v>
      </c>
      <c r="E22" s="23">
        <v>3.0</v>
      </c>
      <c r="F22" s="23">
        <v>3.0</v>
      </c>
      <c r="G22" s="23">
        <v>1.0</v>
      </c>
      <c r="H22" s="48">
        <f t="shared" si="1"/>
        <v>60</v>
      </c>
      <c r="I22" s="23">
        <v>3.0</v>
      </c>
      <c r="J22" s="23">
        <v>3.0</v>
      </c>
      <c r="K22" s="23">
        <v>3.0</v>
      </c>
      <c r="L22" s="23">
        <v>2.0</v>
      </c>
      <c r="M22" s="49">
        <f t="shared" si="2"/>
        <v>75</v>
      </c>
      <c r="N22" s="23">
        <v>3.0</v>
      </c>
      <c r="O22" s="23">
        <v>3.0</v>
      </c>
      <c r="P22" s="23">
        <v>3.0</v>
      </c>
      <c r="Q22" s="23">
        <v>1.0</v>
      </c>
      <c r="R22" s="49">
        <f t="shared" si="3"/>
        <v>60</v>
      </c>
      <c r="S22" s="23">
        <v>3.0</v>
      </c>
      <c r="T22" s="23">
        <v>3.0</v>
      </c>
      <c r="U22" s="23">
        <v>3.0</v>
      </c>
      <c r="V22" s="23">
        <v>3.0</v>
      </c>
      <c r="W22" s="50">
        <f t="shared" si="4"/>
        <v>90</v>
      </c>
      <c r="X22" s="23">
        <v>3.0</v>
      </c>
      <c r="Y22" s="23">
        <v>3.0</v>
      </c>
      <c r="Z22" s="23">
        <v>3.0</v>
      </c>
      <c r="AA22" s="23">
        <v>1.0</v>
      </c>
      <c r="AB22" s="49">
        <f t="shared" si="5"/>
        <v>60</v>
      </c>
      <c r="AC22" s="23">
        <v>3.0</v>
      </c>
      <c r="AD22" s="23">
        <v>3.0</v>
      </c>
      <c r="AE22" s="23">
        <v>3.0</v>
      </c>
      <c r="AF22" s="23">
        <v>2.0</v>
      </c>
      <c r="AG22" s="50">
        <f t="shared" si="6"/>
        <v>75</v>
      </c>
      <c r="AH22" s="23">
        <v>2.0</v>
      </c>
      <c r="AI22" s="23">
        <v>3.0</v>
      </c>
      <c r="AJ22" s="23">
        <v>3.0</v>
      </c>
      <c r="AK22" s="23">
        <v>1.0</v>
      </c>
      <c r="AL22" s="49">
        <f t="shared" si="7"/>
        <v>57</v>
      </c>
      <c r="AM22" s="23">
        <v>3.0</v>
      </c>
      <c r="AN22" s="23">
        <v>3.0</v>
      </c>
      <c r="AO22" s="23">
        <v>3.0</v>
      </c>
      <c r="AP22" s="23">
        <v>1.0</v>
      </c>
      <c r="AQ22" s="49">
        <f t="shared" si="8"/>
        <v>60</v>
      </c>
    </row>
    <row r="23">
      <c r="A23" s="21">
        <f>'INPUT DAFTAR PESERTA'!A21</f>
        <v>18</v>
      </c>
      <c r="B23" s="21">
        <f>'INPUT DAFTAR PESERTA'!B21</f>
        <v>2509046002</v>
      </c>
      <c r="C23" s="22" t="str">
        <f>'INPUT DAFTAR PESERTA'!C21</f>
        <v>Farid Akmal</v>
      </c>
      <c r="D23" s="23">
        <v>3.0</v>
      </c>
      <c r="E23" s="23">
        <v>3.0</v>
      </c>
      <c r="F23" s="23">
        <v>3.0</v>
      </c>
      <c r="G23" s="23">
        <v>2.0</v>
      </c>
      <c r="H23" s="48">
        <f t="shared" si="1"/>
        <v>75</v>
      </c>
      <c r="I23" s="23">
        <v>3.0</v>
      </c>
      <c r="J23" s="23">
        <v>3.0</v>
      </c>
      <c r="K23" s="23">
        <v>3.0</v>
      </c>
      <c r="L23" s="23">
        <v>2.0</v>
      </c>
      <c r="M23" s="49">
        <f t="shared" si="2"/>
        <v>75</v>
      </c>
      <c r="N23" s="23">
        <v>2.0</v>
      </c>
      <c r="O23" s="23">
        <v>3.0</v>
      </c>
      <c r="P23" s="23">
        <v>2.0</v>
      </c>
      <c r="Q23" s="23">
        <v>2.0</v>
      </c>
      <c r="R23" s="49">
        <f t="shared" si="3"/>
        <v>66</v>
      </c>
      <c r="S23" s="23">
        <v>3.0</v>
      </c>
      <c r="T23" s="23">
        <v>3.0</v>
      </c>
      <c r="U23" s="23">
        <v>3.0</v>
      </c>
      <c r="V23" s="23">
        <v>2.0</v>
      </c>
      <c r="W23" s="50">
        <f t="shared" si="4"/>
        <v>75</v>
      </c>
      <c r="X23" s="23">
        <v>3.0</v>
      </c>
      <c r="Y23" s="23">
        <v>3.0</v>
      </c>
      <c r="Z23" s="23">
        <v>3.0</v>
      </c>
      <c r="AA23" s="23">
        <v>1.0</v>
      </c>
      <c r="AB23" s="49">
        <f t="shared" si="5"/>
        <v>60</v>
      </c>
      <c r="AC23" s="23">
        <v>3.0</v>
      </c>
      <c r="AD23" s="23">
        <v>3.0</v>
      </c>
      <c r="AE23" s="23">
        <v>3.0</v>
      </c>
      <c r="AF23" s="23">
        <v>2.0</v>
      </c>
      <c r="AG23" s="50">
        <f t="shared" si="6"/>
        <v>75</v>
      </c>
      <c r="AH23" s="23">
        <v>2.0</v>
      </c>
      <c r="AI23" s="23">
        <v>3.0</v>
      </c>
      <c r="AJ23" s="23">
        <v>3.0</v>
      </c>
      <c r="AK23" s="23">
        <v>2.0</v>
      </c>
      <c r="AL23" s="49">
        <f t="shared" si="7"/>
        <v>72</v>
      </c>
      <c r="AM23" s="23">
        <v>3.0</v>
      </c>
      <c r="AN23" s="23">
        <v>3.0</v>
      </c>
      <c r="AO23" s="23">
        <v>3.0</v>
      </c>
      <c r="AP23" s="23">
        <v>3.0</v>
      </c>
      <c r="AQ23" s="49">
        <f t="shared" si="8"/>
        <v>90</v>
      </c>
    </row>
    <row r="24">
      <c r="A24" s="21">
        <f>'INPUT DAFTAR PESERTA'!A22</f>
        <v>19</v>
      </c>
      <c r="B24" s="21">
        <f>'INPUT DAFTAR PESERTA'!B22</f>
        <v>2509046003</v>
      </c>
      <c r="C24" s="22" t="str">
        <f>'INPUT DAFTAR PESERTA'!C22</f>
        <v>Azzahra Tusitha</v>
      </c>
      <c r="D24" s="23">
        <v>3.0</v>
      </c>
      <c r="E24" s="23">
        <v>3.0</v>
      </c>
      <c r="F24" s="23">
        <v>3.0</v>
      </c>
      <c r="G24" s="23">
        <v>2.0</v>
      </c>
      <c r="H24" s="48">
        <f t="shared" si="1"/>
        <v>75</v>
      </c>
      <c r="I24" s="23">
        <v>3.0</v>
      </c>
      <c r="J24" s="23">
        <v>3.0</v>
      </c>
      <c r="K24" s="23">
        <v>3.0</v>
      </c>
      <c r="L24" s="23">
        <v>3.0</v>
      </c>
      <c r="M24" s="49">
        <f t="shared" si="2"/>
        <v>90</v>
      </c>
      <c r="N24" s="23">
        <v>3.0</v>
      </c>
      <c r="O24" s="23">
        <v>3.0</v>
      </c>
      <c r="P24" s="23">
        <v>3.0</v>
      </c>
      <c r="Q24" s="23">
        <v>3.0</v>
      </c>
      <c r="R24" s="49">
        <f t="shared" si="3"/>
        <v>90</v>
      </c>
      <c r="S24" s="23">
        <v>3.0</v>
      </c>
      <c r="T24" s="23">
        <v>3.0</v>
      </c>
      <c r="U24" s="23">
        <v>3.0</v>
      </c>
      <c r="V24" s="23">
        <v>3.0</v>
      </c>
      <c r="W24" s="50">
        <f t="shared" si="4"/>
        <v>90</v>
      </c>
      <c r="X24" s="23">
        <v>3.0</v>
      </c>
      <c r="Y24" s="23">
        <v>3.0</v>
      </c>
      <c r="Z24" s="23">
        <v>3.0</v>
      </c>
      <c r="AA24" s="23">
        <v>1.0</v>
      </c>
      <c r="AB24" s="49">
        <f t="shared" si="5"/>
        <v>60</v>
      </c>
      <c r="AC24" s="23">
        <v>3.0</v>
      </c>
      <c r="AD24" s="23">
        <v>3.0</v>
      </c>
      <c r="AE24" s="23">
        <v>3.0</v>
      </c>
      <c r="AF24" s="23">
        <v>3.0</v>
      </c>
      <c r="AG24" s="50">
        <f t="shared" si="6"/>
        <v>90</v>
      </c>
      <c r="AH24" s="23">
        <v>2.0</v>
      </c>
      <c r="AI24" s="23">
        <v>3.0</v>
      </c>
      <c r="AJ24" s="23">
        <v>3.0</v>
      </c>
      <c r="AK24" s="23">
        <v>3.0</v>
      </c>
      <c r="AL24" s="49">
        <f t="shared" si="7"/>
        <v>87</v>
      </c>
      <c r="AM24" s="23">
        <v>3.0</v>
      </c>
      <c r="AN24" s="23">
        <v>3.0</v>
      </c>
      <c r="AO24" s="23">
        <v>3.0</v>
      </c>
      <c r="AP24" s="23">
        <v>3.0</v>
      </c>
      <c r="AQ24" s="49">
        <f t="shared" si="8"/>
        <v>90</v>
      </c>
    </row>
    <row r="25">
      <c r="A25" s="21">
        <f>'INPUT DAFTAR PESERTA'!A23</f>
        <v>20</v>
      </c>
      <c r="B25" s="21">
        <f>'INPUT DAFTAR PESERTA'!B23</f>
        <v>2509046004</v>
      </c>
      <c r="C25" s="22" t="str">
        <f>'INPUT DAFTAR PESERTA'!C23</f>
        <v>Ahmadia Syarifah Lauradinta</v>
      </c>
      <c r="D25" s="23">
        <v>3.0</v>
      </c>
      <c r="E25" s="23">
        <v>2.0</v>
      </c>
      <c r="F25" s="23">
        <v>3.0</v>
      </c>
      <c r="G25" s="23">
        <v>1.0</v>
      </c>
      <c r="H25" s="48">
        <f t="shared" si="1"/>
        <v>54</v>
      </c>
      <c r="I25" s="23">
        <v>2.0</v>
      </c>
      <c r="J25" s="23">
        <v>3.0</v>
      </c>
      <c r="K25" s="23">
        <v>2.0</v>
      </c>
      <c r="L25" s="23">
        <v>3.0</v>
      </c>
      <c r="M25" s="49">
        <f t="shared" si="2"/>
        <v>81</v>
      </c>
      <c r="N25" s="23">
        <v>3.0</v>
      </c>
      <c r="O25" s="23">
        <v>3.0</v>
      </c>
      <c r="P25" s="23">
        <v>3.0</v>
      </c>
      <c r="Q25" s="23">
        <v>3.0</v>
      </c>
      <c r="R25" s="49">
        <f t="shared" si="3"/>
        <v>90</v>
      </c>
      <c r="S25" s="23">
        <v>2.0</v>
      </c>
      <c r="T25" s="23">
        <v>2.0</v>
      </c>
      <c r="U25" s="23">
        <v>2.0</v>
      </c>
      <c r="V25" s="23">
        <v>1.0</v>
      </c>
      <c r="W25" s="50">
        <f t="shared" si="4"/>
        <v>45</v>
      </c>
      <c r="X25" s="23">
        <v>3.0</v>
      </c>
      <c r="Y25" s="23">
        <v>3.0</v>
      </c>
      <c r="Z25" s="23">
        <v>3.0</v>
      </c>
      <c r="AA25" s="23">
        <v>3.0</v>
      </c>
      <c r="AB25" s="49">
        <f t="shared" si="5"/>
        <v>90</v>
      </c>
      <c r="AC25" s="23">
        <v>3.0</v>
      </c>
      <c r="AD25" s="23">
        <v>3.0</v>
      </c>
      <c r="AE25" s="23">
        <v>3.0</v>
      </c>
      <c r="AF25" s="23">
        <v>2.0</v>
      </c>
      <c r="AG25" s="50">
        <f t="shared" si="6"/>
        <v>75</v>
      </c>
      <c r="AH25" s="23">
        <v>2.0</v>
      </c>
      <c r="AI25" s="23">
        <v>3.0</v>
      </c>
      <c r="AJ25" s="23">
        <v>3.0</v>
      </c>
      <c r="AK25" s="23">
        <v>1.0</v>
      </c>
      <c r="AL25" s="49">
        <f t="shared" si="7"/>
        <v>57</v>
      </c>
      <c r="AM25" s="23">
        <v>3.0</v>
      </c>
      <c r="AN25" s="23">
        <v>3.0</v>
      </c>
      <c r="AO25" s="23">
        <v>3.0</v>
      </c>
      <c r="AP25" s="23">
        <v>1.0</v>
      </c>
      <c r="AQ25" s="49">
        <f t="shared" si="8"/>
        <v>60</v>
      </c>
    </row>
    <row r="26">
      <c r="A26" s="21">
        <f>'INPUT DAFTAR PESERTA'!A24</f>
        <v>21</v>
      </c>
      <c r="B26" s="21">
        <f>'INPUT DAFTAR PESERTA'!B24</f>
        <v>2509046005</v>
      </c>
      <c r="C26" s="22" t="str">
        <f>'INPUT DAFTAR PESERTA'!C24</f>
        <v>Seysa Puji Annura</v>
      </c>
      <c r="D26" s="23">
        <v>3.0</v>
      </c>
      <c r="E26" s="23">
        <v>2.0</v>
      </c>
      <c r="F26" s="23">
        <v>3.0</v>
      </c>
      <c r="G26" s="23">
        <v>1.0</v>
      </c>
      <c r="H26" s="48">
        <f t="shared" si="1"/>
        <v>54</v>
      </c>
      <c r="I26" s="23">
        <v>2.0</v>
      </c>
      <c r="J26" s="23">
        <v>3.0</v>
      </c>
      <c r="K26" s="23">
        <v>2.0</v>
      </c>
      <c r="L26" s="23">
        <v>1.0</v>
      </c>
      <c r="M26" s="49">
        <f t="shared" si="2"/>
        <v>51</v>
      </c>
      <c r="N26" s="23">
        <v>3.0</v>
      </c>
      <c r="O26" s="23">
        <v>3.0</v>
      </c>
      <c r="P26" s="23">
        <v>3.0</v>
      </c>
      <c r="Q26" s="23">
        <v>1.0</v>
      </c>
      <c r="R26" s="49">
        <f t="shared" si="3"/>
        <v>60</v>
      </c>
      <c r="S26" s="23">
        <v>3.0</v>
      </c>
      <c r="T26" s="23">
        <v>3.0</v>
      </c>
      <c r="U26" s="23">
        <v>3.0</v>
      </c>
      <c r="V26" s="23">
        <v>1.0</v>
      </c>
      <c r="W26" s="50">
        <f t="shared" si="4"/>
        <v>60</v>
      </c>
      <c r="X26" s="23">
        <v>2.0</v>
      </c>
      <c r="Y26" s="23">
        <v>2.0</v>
      </c>
      <c r="Z26" s="23">
        <v>2.0</v>
      </c>
      <c r="AA26" s="23">
        <v>1.0</v>
      </c>
      <c r="AB26" s="49">
        <f t="shared" si="5"/>
        <v>45</v>
      </c>
      <c r="AC26" s="23">
        <v>3.0</v>
      </c>
      <c r="AD26" s="23">
        <v>3.0</v>
      </c>
      <c r="AE26" s="23">
        <v>3.0</v>
      </c>
      <c r="AF26" s="23">
        <v>3.0</v>
      </c>
      <c r="AG26" s="50">
        <f t="shared" si="6"/>
        <v>90</v>
      </c>
      <c r="AH26" s="23">
        <v>2.0</v>
      </c>
      <c r="AI26" s="23">
        <v>3.0</v>
      </c>
      <c r="AJ26" s="23">
        <v>3.0</v>
      </c>
      <c r="AK26" s="23">
        <v>1.0</v>
      </c>
      <c r="AL26" s="49">
        <f t="shared" si="7"/>
        <v>57</v>
      </c>
      <c r="AM26" s="23">
        <v>3.0</v>
      </c>
      <c r="AN26" s="23">
        <v>3.0</v>
      </c>
      <c r="AO26" s="23">
        <v>3.0</v>
      </c>
      <c r="AP26" s="23">
        <v>0.0</v>
      </c>
      <c r="AQ26" s="49">
        <f t="shared" si="8"/>
        <v>45</v>
      </c>
    </row>
    <row r="27">
      <c r="A27" s="21">
        <f>'INPUT DAFTAR PESERTA'!A25</f>
        <v>22</v>
      </c>
      <c r="B27" s="21">
        <f>'INPUT DAFTAR PESERTA'!B25</f>
        <v>2509046006</v>
      </c>
      <c r="C27" s="22" t="str">
        <f>'INPUT DAFTAR PESERTA'!C25</f>
        <v>Gita Ramadhani Supriyadi</v>
      </c>
      <c r="D27" s="50"/>
      <c r="E27" s="50"/>
      <c r="F27" s="50"/>
      <c r="G27" s="50"/>
      <c r="H27" s="48">
        <f t="shared" si="1"/>
        <v>0</v>
      </c>
      <c r="I27" s="23">
        <v>1.0</v>
      </c>
      <c r="J27" s="23">
        <v>1.0</v>
      </c>
      <c r="K27" s="23">
        <v>1.0</v>
      </c>
      <c r="L27" s="23">
        <v>1.0</v>
      </c>
      <c r="M27" s="49">
        <f t="shared" si="2"/>
        <v>30</v>
      </c>
      <c r="N27" s="23">
        <v>0.0</v>
      </c>
      <c r="O27" s="23">
        <v>0.0</v>
      </c>
      <c r="P27" s="23">
        <v>0.0</v>
      </c>
      <c r="Q27" s="23">
        <v>0.0</v>
      </c>
      <c r="R27" s="49">
        <f t="shared" si="3"/>
        <v>0</v>
      </c>
      <c r="S27" s="23">
        <v>0.0</v>
      </c>
      <c r="T27" s="23">
        <v>0.0</v>
      </c>
      <c r="U27" s="23">
        <v>0.0</v>
      </c>
      <c r="V27" s="23">
        <v>0.0</v>
      </c>
      <c r="W27" s="50">
        <f t="shared" si="4"/>
        <v>0</v>
      </c>
      <c r="X27" s="23">
        <v>1.0</v>
      </c>
      <c r="Y27" s="23">
        <v>1.0</v>
      </c>
      <c r="Z27" s="23">
        <v>1.0</v>
      </c>
      <c r="AA27" s="23">
        <v>1.0</v>
      </c>
      <c r="AB27" s="49">
        <f t="shared" si="5"/>
        <v>30</v>
      </c>
      <c r="AC27" s="23">
        <v>0.0</v>
      </c>
      <c r="AD27" s="23">
        <v>0.0</v>
      </c>
      <c r="AE27" s="23">
        <v>0.0</v>
      </c>
      <c r="AF27" s="23">
        <v>0.0</v>
      </c>
      <c r="AG27" s="50">
        <f t="shared" si="6"/>
        <v>0</v>
      </c>
      <c r="AH27" s="23">
        <v>0.0</v>
      </c>
      <c r="AI27" s="23">
        <v>0.0</v>
      </c>
      <c r="AJ27" s="23">
        <v>0.0</v>
      </c>
      <c r="AK27" s="23">
        <v>0.0</v>
      </c>
      <c r="AL27" s="49">
        <f t="shared" si="7"/>
        <v>0</v>
      </c>
      <c r="AM27" s="23">
        <v>0.0</v>
      </c>
      <c r="AN27" s="23">
        <v>0.0</v>
      </c>
      <c r="AO27" s="23">
        <v>0.0</v>
      </c>
      <c r="AP27" s="23">
        <v>0.0</v>
      </c>
      <c r="AQ27" s="49">
        <f t="shared" si="8"/>
        <v>0</v>
      </c>
    </row>
    <row r="28">
      <c r="A28" s="21">
        <f>'INPUT DAFTAR PESERTA'!A26</f>
        <v>23</v>
      </c>
      <c r="B28" s="21">
        <f>'INPUT DAFTAR PESERTA'!B26</f>
        <v>2509046007</v>
      </c>
      <c r="C28" s="22" t="str">
        <f>'INPUT DAFTAR PESERTA'!C26</f>
        <v>Fabio Cannavaro Sinaga</v>
      </c>
      <c r="D28" s="23">
        <v>3.0</v>
      </c>
      <c r="E28" s="23">
        <v>3.0</v>
      </c>
      <c r="F28" s="23">
        <v>3.0</v>
      </c>
      <c r="G28" s="23">
        <v>3.0</v>
      </c>
      <c r="H28" s="48">
        <f t="shared" si="1"/>
        <v>90</v>
      </c>
      <c r="I28" s="23">
        <v>3.0</v>
      </c>
      <c r="J28" s="23">
        <v>3.0</v>
      </c>
      <c r="K28" s="23">
        <v>2.0</v>
      </c>
      <c r="L28" s="23">
        <v>2.0</v>
      </c>
      <c r="M28" s="49">
        <f t="shared" si="2"/>
        <v>69</v>
      </c>
      <c r="N28" s="23">
        <v>3.0</v>
      </c>
      <c r="O28" s="23">
        <v>3.0</v>
      </c>
      <c r="P28" s="23">
        <v>3.0</v>
      </c>
      <c r="Q28" s="23">
        <v>3.0</v>
      </c>
      <c r="R28" s="49">
        <f t="shared" si="3"/>
        <v>90</v>
      </c>
      <c r="S28" s="23">
        <v>3.0</v>
      </c>
      <c r="T28" s="23">
        <v>3.0</v>
      </c>
      <c r="U28" s="23">
        <v>3.0</v>
      </c>
      <c r="V28" s="23">
        <v>3.0</v>
      </c>
      <c r="W28" s="50">
        <f t="shared" si="4"/>
        <v>90</v>
      </c>
      <c r="X28" s="23">
        <v>2.0</v>
      </c>
      <c r="Y28" s="23">
        <v>2.0</v>
      </c>
      <c r="Z28" s="23">
        <v>2.0</v>
      </c>
      <c r="AA28" s="23">
        <v>3.0</v>
      </c>
      <c r="AB28" s="49">
        <f t="shared" si="5"/>
        <v>75</v>
      </c>
      <c r="AC28" s="23">
        <v>3.0</v>
      </c>
      <c r="AD28" s="23">
        <v>3.0</v>
      </c>
      <c r="AE28" s="23">
        <v>3.0</v>
      </c>
      <c r="AF28" s="23">
        <v>2.0</v>
      </c>
      <c r="AG28" s="50">
        <f t="shared" si="6"/>
        <v>75</v>
      </c>
      <c r="AH28" s="23">
        <v>2.0</v>
      </c>
      <c r="AI28" s="23">
        <v>3.0</v>
      </c>
      <c r="AJ28" s="23">
        <v>3.0</v>
      </c>
      <c r="AK28" s="23">
        <v>2.0</v>
      </c>
      <c r="AL28" s="49">
        <f t="shared" si="7"/>
        <v>72</v>
      </c>
      <c r="AM28" s="23">
        <v>3.0</v>
      </c>
      <c r="AN28" s="23">
        <v>3.0</v>
      </c>
      <c r="AO28" s="23">
        <v>3.0</v>
      </c>
      <c r="AP28" s="23">
        <v>1.0</v>
      </c>
      <c r="AQ28" s="49">
        <f t="shared" si="8"/>
        <v>60</v>
      </c>
    </row>
    <row r="29">
      <c r="A29" s="21">
        <f>'INPUT DAFTAR PESERTA'!A27</f>
        <v>24</v>
      </c>
      <c r="B29" s="21">
        <f>'INPUT DAFTAR PESERTA'!B27</f>
        <v>2509046008</v>
      </c>
      <c r="C29" s="22" t="str">
        <f>'INPUT DAFTAR PESERTA'!C27</f>
        <v>Hayatun Nisa</v>
      </c>
      <c r="D29" s="23">
        <v>3.0</v>
      </c>
      <c r="E29" s="23">
        <v>3.0</v>
      </c>
      <c r="F29" s="23">
        <v>3.0</v>
      </c>
      <c r="G29" s="23">
        <v>2.0</v>
      </c>
      <c r="H29" s="48">
        <f t="shared" si="1"/>
        <v>75</v>
      </c>
      <c r="I29" s="23">
        <v>3.0</v>
      </c>
      <c r="J29" s="23">
        <v>3.0</v>
      </c>
      <c r="K29" s="23">
        <v>3.0</v>
      </c>
      <c r="L29" s="23">
        <v>1.0</v>
      </c>
      <c r="M29" s="49">
        <f t="shared" si="2"/>
        <v>60</v>
      </c>
      <c r="N29" s="23">
        <v>3.0</v>
      </c>
      <c r="O29" s="23">
        <v>3.0</v>
      </c>
      <c r="P29" s="23">
        <v>3.0</v>
      </c>
      <c r="Q29" s="23">
        <v>2.0</v>
      </c>
      <c r="R29" s="49">
        <f t="shared" si="3"/>
        <v>75</v>
      </c>
      <c r="S29" s="23">
        <v>3.0</v>
      </c>
      <c r="T29" s="23">
        <v>3.0</v>
      </c>
      <c r="U29" s="23">
        <v>3.0</v>
      </c>
      <c r="V29" s="23">
        <v>1.0</v>
      </c>
      <c r="W29" s="50">
        <f t="shared" si="4"/>
        <v>60</v>
      </c>
      <c r="X29" s="23">
        <v>2.0</v>
      </c>
      <c r="Y29" s="23">
        <v>2.0</v>
      </c>
      <c r="Z29" s="23">
        <v>2.0</v>
      </c>
      <c r="AA29" s="23">
        <v>3.0</v>
      </c>
      <c r="AB29" s="49">
        <f t="shared" si="5"/>
        <v>75</v>
      </c>
      <c r="AC29" s="23">
        <v>3.0</v>
      </c>
      <c r="AD29" s="23">
        <v>2.0</v>
      </c>
      <c r="AE29" s="23">
        <v>2.0</v>
      </c>
      <c r="AF29" s="23">
        <v>2.0</v>
      </c>
      <c r="AG29" s="50">
        <f t="shared" si="6"/>
        <v>63</v>
      </c>
      <c r="AH29" s="23">
        <v>2.0</v>
      </c>
      <c r="AI29" s="23">
        <v>3.0</v>
      </c>
      <c r="AJ29" s="23">
        <v>3.0</v>
      </c>
      <c r="AK29" s="23">
        <v>1.0</v>
      </c>
      <c r="AL29" s="49">
        <f t="shared" si="7"/>
        <v>57</v>
      </c>
      <c r="AM29" s="23">
        <v>3.0</v>
      </c>
      <c r="AN29" s="23">
        <v>3.0</v>
      </c>
      <c r="AO29" s="23">
        <v>3.0</v>
      </c>
      <c r="AP29" s="23">
        <v>1.0</v>
      </c>
      <c r="AQ29" s="49">
        <f t="shared" si="8"/>
        <v>60</v>
      </c>
    </row>
    <row r="30">
      <c r="A30" s="21">
        <f>'INPUT DAFTAR PESERTA'!A28</f>
        <v>25</v>
      </c>
      <c r="B30" s="21">
        <f>'INPUT DAFTAR PESERTA'!B28</f>
        <v>2509046009</v>
      </c>
      <c r="C30" s="22" t="str">
        <f>'INPUT DAFTAR PESERTA'!C28</f>
        <v>Khalilah Denissa Ardia Cahyani</v>
      </c>
      <c r="D30" s="23">
        <v>3.0</v>
      </c>
      <c r="E30" s="23">
        <v>3.0</v>
      </c>
      <c r="F30" s="23">
        <v>3.0</v>
      </c>
      <c r="G30" s="23">
        <v>2.0</v>
      </c>
      <c r="H30" s="48">
        <f t="shared" si="1"/>
        <v>75</v>
      </c>
      <c r="I30" s="23">
        <v>3.0</v>
      </c>
      <c r="J30" s="23">
        <v>3.0</v>
      </c>
      <c r="K30" s="23">
        <v>3.0</v>
      </c>
      <c r="L30" s="23">
        <v>1.0</v>
      </c>
      <c r="M30" s="49">
        <f t="shared" si="2"/>
        <v>60</v>
      </c>
      <c r="N30" s="23">
        <v>3.0</v>
      </c>
      <c r="O30" s="23">
        <v>3.0</v>
      </c>
      <c r="P30" s="23">
        <v>3.0</v>
      </c>
      <c r="Q30" s="23">
        <v>2.0</v>
      </c>
      <c r="R30" s="49">
        <f t="shared" si="3"/>
        <v>75</v>
      </c>
      <c r="S30" s="23">
        <v>2.0</v>
      </c>
      <c r="T30" s="23">
        <v>3.0</v>
      </c>
      <c r="U30" s="23">
        <v>3.0</v>
      </c>
      <c r="V30" s="23">
        <v>2.0</v>
      </c>
      <c r="W30" s="50">
        <f t="shared" si="4"/>
        <v>72</v>
      </c>
      <c r="X30" s="23">
        <v>2.0</v>
      </c>
      <c r="Y30" s="23">
        <v>3.0</v>
      </c>
      <c r="Z30" s="23">
        <v>3.0</v>
      </c>
      <c r="AA30" s="23">
        <v>2.0</v>
      </c>
      <c r="AB30" s="49">
        <f t="shared" si="5"/>
        <v>72</v>
      </c>
      <c r="AC30" s="23">
        <v>3.0</v>
      </c>
      <c r="AD30" s="23">
        <v>2.0</v>
      </c>
      <c r="AE30" s="23">
        <v>2.0</v>
      </c>
      <c r="AF30" s="23">
        <v>2.0</v>
      </c>
      <c r="AG30" s="50">
        <f t="shared" si="6"/>
        <v>63</v>
      </c>
      <c r="AH30" s="23">
        <v>2.0</v>
      </c>
      <c r="AI30" s="23">
        <v>3.0</v>
      </c>
      <c r="AJ30" s="23">
        <v>3.0</v>
      </c>
      <c r="AK30" s="23">
        <v>1.0</v>
      </c>
      <c r="AL30" s="49">
        <f t="shared" si="7"/>
        <v>57</v>
      </c>
      <c r="AM30" s="51">
        <v>0.0</v>
      </c>
      <c r="AN30" s="51">
        <v>0.0</v>
      </c>
      <c r="AO30" s="51">
        <v>0.0</v>
      </c>
      <c r="AP30" s="51">
        <v>0.0</v>
      </c>
      <c r="AQ30" s="49">
        <f t="shared" si="8"/>
        <v>0</v>
      </c>
    </row>
    <row r="31">
      <c r="A31" s="21">
        <f>'INPUT DAFTAR PESERTA'!A29</f>
        <v>26</v>
      </c>
      <c r="B31" s="21">
        <f>'INPUT DAFTAR PESERTA'!B29</f>
        <v>2509046010</v>
      </c>
      <c r="C31" s="22" t="str">
        <f>'INPUT DAFTAR PESERTA'!C29</f>
        <v>Athila Nadya Zalikha</v>
      </c>
      <c r="D31" s="23">
        <v>3.0</v>
      </c>
      <c r="E31" s="23">
        <v>3.0</v>
      </c>
      <c r="F31" s="23">
        <v>3.0</v>
      </c>
      <c r="G31" s="23">
        <v>2.0</v>
      </c>
      <c r="H31" s="48">
        <f t="shared" si="1"/>
        <v>75</v>
      </c>
      <c r="I31" s="23">
        <v>1.0</v>
      </c>
      <c r="J31" s="23">
        <v>1.0</v>
      </c>
      <c r="K31" s="23">
        <v>1.0</v>
      </c>
      <c r="L31" s="23">
        <v>1.0</v>
      </c>
      <c r="M31" s="49">
        <f t="shared" si="2"/>
        <v>30</v>
      </c>
      <c r="N31" s="23">
        <v>0.0</v>
      </c>
      <c r="O31" s="23">
        <v>0.0</v>
      </c>
      <c r="P31" s="23">
        <v>0.0</v>
      </c>
      <c r="Q31" s="23">
        <v>0.0</v>
      </c>
      <c r="R31" s="49">
        <f t="shared" si="3"/>
        <v>0</v>
      </c>
      <c r="S31" s="23">
        <v>0.0</v>
      </c>
      <c r="T31" s="23">
        <v>0.0</v>
      </c>
      <c r="U31" s="23">
        <v>0.0</v>
      </c>
      <c r="V31" s="23">
        <v>0.0</v>
      </c>
      <c r="W31" s="50">
        <f t="shared" si="4"/>
        <v>0</v>
      </c>
      <c r="X31" s="23">
        <v>2.0</v>
      </c>
      <c r="Y31" s="23">
        <v>2.0</v>
      </c>
      <c r="Z31" s="23">
        <v>2.0</v>
      </c>
      <c r="AA31" s="23">
        <v>3.0</v>
      </c>
      <c r="AB31" s="49">
        <f t="shared" si="5"/>
        <v>75</v>
      </c>
      <c r="AC31" s="23">
        <v>3.0</v>
      </c>
      <c r="AD31" s="23">
        <v>2.0</v>
      </c>
      <c r="AE31" s="23">
        <v>2.0</v>
      </c>
      <c r="AF31" s="23">
        <v>2.0</v>
      </c>
      <c r="AG31" s="50">
        <f t="shared" si="6"/>
        <v>63</v>
      </c>
      <c r="AH31" s="23">
        <v>2.0</v>
      </c>
      <c r="AI31" s="23">
        <v>3.0</v>
      </c>
      <c r="AJ31" s="23">
        <v>3.0</v>
      </c>
      <c r="AK31" s="23">
        <v>1.0</v>
      </c>
      <c r="AL31" s="49">
        <f t="shared" si="7"/>
        <v>57</v>
      </c>
      <c r="AM31" s="23">
        <v>0.0</v>
      </c>
      <c r="AN31" s="23">
        <v>0.0</v>
      </c>
      <c r="AO31" s="23">
        <v>0.0</v>
      </c>
      <c r="AP31" s="23">
        <v>0.0</v>
      </c>
      <c r="AQ31" s="49">
        <f t="shared" si="8"/>
        <v>0</v>
      </c>
    </row>
    <row r="32">
      <c r="A32" s="21">
        <f>'INPUT DAFTAR PESERTA'!A30</f>
        <v>27</v>
      </c>
      <c r="B32" s="21">
        <f>'INPUT DAFTAR PESERTA'!B30</f>
        <v>2509046011</v>
      </c>
      <c r="C32" s="22" t="str">
        <f>'INPUT DAFTAR PESERTA'!C30</f>
        <v>Aditya Pratama</v>
      </c>
      <c r="D32" s="23">
        <v>3.0</v>
      </c>
      <c r="E32" s="23">
        <v>3.0</v>
      </c>
      <c r="F32" s="23">
        <v>3.0</v>
      </c>
      <c r="G32" s="23">
        <v>2.0</v>
      </c>
      <c r="H32" s="48">
        <f t="shared" si="1"/>
        <v>75</v>
      </c>
      <c r="I32" s="23">
        <v>3.0</v>
      </c>
      <c r="J32" s="23">
        <v>3.0</v>
      </c>
      <c r="K32" s="23">
        <v>3.0</v>
      </c>
      <c r="L32" s="23">
        <v>1.0</v>
      </c>
      <c r="M32" s="49">
        <f t="shared" si="2"/>
        <v>60</v>
      </c>
      <c r="N32" s="23">
        <v>0.0</v>
      </c>
      <c r="O32" s="23">
        <v>0.0</v>
      </c>
      <c r="P32" s="23">
        <v>0.0</v>
      </c>
      <c r="Q32" s="23">
        <v>0.0</v>
      </c>
      <c r="R32" s="49">
        <f t="shared" si="3"/>
        <v>0</v>
      </c>
      <c r="S32" s="23">
        <v>0.0</v>
      </c>
      <c r="T32" s="23">
        <v>0.0</v>
      </c>
      <c r="U32" s="23">
        <v>0.0</v>
      </c>
      <c r="V32" s="23">
        <v>0.0</v>
      </c>
      <c r="W32" s="50">
        <f t="shared" si="4"/>
        <v>0</v>
      </c>
      <c r="X32" s="23">
        <v>1.0</v>
      </c>
      <c r="Y32" s="23">
        <v>1.0</v>
      </c>
      <c r="Z32" s="23">
        <v>1.0</v>
      </c>
      <c r="AA32" s="23">
        <v>1.0</v>
      </c>
      <c r="AB32" s="49">
        <f t="shared" si="5"/>
        <v>30</v>
      </c>
      <c r="AC32" s="23">
        <v>0.0</v>
      </c>
      <c r="AD32" s="23">
        <v>0.0</v>
      </c>
      <c r="AE32" s="23">
        <v>0.0</v>
      </c>
      <c r="AF32" s="23">
        <v>0.0</v>
      </c>
      <c r="AG32" s="50">
        <f t="shared" si="6"/>
        <v>0</v>
      </c>
      <c r="AH32" s="23">
        <v>2.0</v>
      </c>
      <c r="AI32" s="23">
        <v>3.0</v>
      </c>
      <c r="AJ32" s="23">
        <v>3.0</v>
      </c>
      <c r="AK32" s="23">
        <v>1.0</v>
      </c>
      <c r="AL32" s="49">
        <f t="shared" si="7"/>
        <v>57</v>
      </c>
      <c r="AM32" s="23">
        <v>0.0</v>
      </c>
      <c r="AN32" s="23">
        <v>0.0</v>
      </c>
      <c r="AO32" s="23">
        <v>0.0</v>
      </c>
      <c r="AP32" s="23">
        <v>0.0</v>
      </c>
      <c r="AQ32" s="49">
        <f t="shared" si="8"/>
        <v>0</v>
      </c>
    </row>
    <row r="33">
      <c r="A33" s="21">
        <f>'INPUT DAFTAR PESERTA'!A31</f>
        <v>28</v>
      </c>
      <c r="B33" s="21">
        <f>'INPUT DAFTAR PESERTA'!B31</f>
        <v>2509046012</v>
      </c>
      <c r="C33" s="22" t="str">
        <f>'INPUT DAFTAR PESERTA'!C31</f>
        <v>Atiiqah Permata Hati</v>
      </c>
      <c r="D33" s="23">
        <v>3.0</v>
      </c>
      <c r="E33" s="23">
        <v>3.0</v>
      </c>
      <c r="F33" s="23">
        <v>3.0</v>
      </c>
      <c r="G33" s="23">
        <v>1.0</v>
      </c>
      <c r="H33" s="48">
        <f t="shared" si="1"/>
        <v>60</v>
      </c>
      <c r="I33" s="23">
        <v>2.0</v>
      </c>
      <c r="J33" s="23">
        <v>2.0</v>
      </c>
      <c r="K33" s="23">
        <v>2.0</v>
      </c>
      <c r="L33" s="23">
        <v>1.0</v>
      </c>
      <c r="M33" s="49">
        <f t="shared" si="2"/>
        <v>45</v>
      </c>
      <c r="N33" s="23">
        <v>2.0</v>
      </c>
      <c r="O33" s="23">
        <v>3.0</v>
      </c>
      <c r="P33" s="23">
        <v>3.0</v>
      </c>
      <c r="Q33" s="23">
        <v>1.0</v>
      </c>
      <c r="R33" s="49">
        <f t="shared" si="3"/>
        <v>57</v>
      </c>
      <c r="S33" s="23">
        <v>3.0</v>
      </c>
      <c r="T33" s="23">
        <v>3.0</v>
      </c>
      <c r="U33" s="23">
        <v>3.0</v>
      </c>
      <c r="V33" s="23">
        <v>1.0</v>
      </c>
      <c r="W33" s="50">
        <f t="shared" si="4"/>
        <v>60</v>
      </c>
      <c r="X33" s="23">
        <v>3.0</v>
      </c>
      <c r="Y33" s="23">
        <v>2.0</v>
      </c>
      <c r="Z33" s="23">
        <v>3.0</v>
      </c>
      <c r="AA33" s="23">
        <v>1.0</v>
      </c>
      <c r="AB33" s="49">
        <f t="shared" si="5"/>
        <v>54</v>
      </c>
      <c r="AC33" s="23">
        <v>3.0</v>
      </c>
      <c r="AD33" s="23">
        <v>2.0</v>
      </c>
      <c r="AE33" s="23">
        <v>2.0</v>
      </c>
      <c r="AF33" s="23">
        <v>2.0</v>
      </c>
      <c r="AG33" s="50">
        <f t="shared" si="6"/>
        <v>63</v>
      </c>
      <c r="AH33" s="23">
        <v>2.0</v>
      </c>
      <c r="AI33" s="23">
        <v>3.0</v>
      </c>
      <c r="AJ33" s="23">
        <v>3.0</v>
      </c>
      <c r="AK33" s="23">
        <v>1.0</v>
      </c>
      <c r="AL33" s="49">
        <f t="shared" si="7"/>
        <v>57</v>
      </c>
      <c r="AM33" s="23">
        <v>3.0</v>
      </c>
      <c r="AN33" s="23">
        <v>3.0</v>
      </c>
      <c r="AO33" s="23">
        <v>3.0</v>
      </c>
      <c r="AP33" s="23">
        <v>1.0</v>
      </c>
      <c r="AQ33" s="49">
        <f t="shared" si="8"/>
        <v>60</v>
      </c>
    </row>
    <row r="34">
      <c r="A34" s="21">
        <f>'INPUT DAFTAR PESERTA'!A32</f>
        <v>29</v>
      </c>
      <c r="B34" s="21">
        <f>'INPUT DAFTAR PESERTA'!B32</f>
        <v>2509046013</v>
      </c>
      <c r="C34" s="22" t="str">
        <f>'INPUT DAFTAR PESERTA'!C32</f>
        <v>Yolanda Denis Aprilia</v>
      </c>
      <c r="D34" s="23">
        <v>3.0</v>
      </c>
      <c r="E34" s="23">
        <v>3.0</v>
      </c>
      <c r="F34" s="23">
        <v>3.0</v>
      </c>
      <c r="G34" s="23">
        <v>2.0</v>
      </c>
      <c r="H34" s="48">
        <f t="shared" si="1"/>
        <v>75</v>
      </c>
      <c r="I34" s="23">
        <v>2.0</v>
      </c>
      <c r="J34" s="23">
        <v>2.0</v>
      </c>
      <c r="K34" s="23">
        <v>2.0</v>
      </c>
      <c r="L34" s="23">
        <v>1.0</v>
      </c>
      <c r="M34" s="49">
        <f t="shared" si="2"/>
        <v>45</v>
      </c>
      <c r="N34" s="23">
        <v>3.0</v>
      </c>
      <c r="O34" s="23">
        <v>3.0</v>
      </c>
      <c r="P34" s="23">
        <v>3.0</v>
      </c>
      <c r="Q34" s="23">
        <v>2.0</v>
      </c>
      <c r="R34" s="49">
        <f t="shared" si="3"/>
        <v>75</v>
      </c>
      <c r="S34" s="23">
        <v>3.0</v>
      </c>
      <c r="T34" s="23">
        <v>3.0</v>
      </c>
      <c r="U34" s="23">
        <v>3.0</v>
      </c>
      <c r="V34" s="23">
        <v>1.0</v>
      </c>
      <c r="W34" s="50">
        <f t="shared" si="4"/>
        <v>60</v>
      </c>
      <c r="X34" s="23">
        <v>3.0</v>
      </c>
      <c r="Y34" s="23">
        <v>2.0</v>
      </c>
      <c r="Z34" s="23">
        <v>3.0</v>
      </c>
      <c r="AA34" s="23">
        <v>1.0</v>
      </c>
      <c r="AB34" s="49">
        <f t="shared" si="5"/>
        <v>54</v>
      </c>
      <c r="AC34" s="23">
        <v>3.0</v>
      </c>
      <c r="AD34" s="23">
        <v>2.0</v>
      </c>
      <c r="AE34" s="23">
        <v>2.0</v>
      </c>
      <c r="AF34" s="23">
        <v>2.0</v>
      </c>
      <c r="AG34" s="50">
        <f t="shared" si="6"/>
        <v>63</v>
      </c>
      <c r="AH34" s="23">
        <v>2.0</v>
      </c>
      <c r="AI34" s="23">
        <v>3.0</v>
      </c>
      <c r="AJ34" s="23">
        <v>3.0</v>
      </c>
      <c r="AK34" s="23">
        <v>1.0</v>
      </c>
      <c r="AL34" s="49">
        <f t="shared" si="7"/>
        <v>57</v>
      </c>
      <c r="AM34" s="23">
        <v>3.0</v>
      </c>
      <c r="AN34" s="23">
        <v>3.0</v>
      </c>
      <c r="AO34" s="23">
        <v>3.0</v>
      </c>
      <c r="AP34" s="23">
        <v>1.0</v>
      </c>
      <c r="AQ34" s="49">
        <f t="shared" si="8"/>
        <v>60</v>
      </c>
    </row>
    <row r="35">
      <c r="A35" s="21">
        <f>'INPUT DAFTAR PESERTA'!A33</f>
        <v>30</v>
      </c>
      <c r="B35" s="21">
        <f>'INPUT DAFTAR PESERTA'!B33</f>
        <v>2509046014</v>
      </c>
      <c r="C35" s="22" t="str">
        <f>'INPUT DAFTAR PESERTA'!C33</f>
        <v>Farah Najma</v>
      </c>
      <c r="D35" s="23">
        <v>2.0</v>
      </c>
      <c r="E35" s="23">
        <v>2.0</v>
      </c>
      <c r="F35" s="23">
        <v>2.0</v>
      </c>
      <c r="G35" s="23">
        <v>3.0</v>
      </c>
      <c r="H35" s="48">
        <f t="shared" si="1"/>
        <v>75</v>
      </c>
      <c r="I35" s="23">
        <v>2.0</v>
      </c>
      <c r="J35" s="23">
        <v>2.0</v>
      </c>
      <c r="K35" s="23">
        <v>2.0</v>
      </c>
      <c r="L35" s="23">
        <v>1.0</v>
      </c>
      <c r="M35" s="49">
        <f t="shared" si="2"/>
        <v>45</v>
      </c>
      <c r="N35" s="23">
        <v>2.0</v>
      </c>
      <c r="O35" s="23">
        <v>3.0</v>
      </c>
      <c r="P35" s="23">
        <v>3.0</v>
      </c>
      <c r="Q35" s="23">
        <v>1.0</v>
      </c>
      <c r="R35" s="49">
        <f t="shared" si="3"/>
        <v>57</v>
      </c>
      <c r="S35" s="23">
        <v>3.0</v>
      </c>
      <c r="T35" s="23">
        <v>3.0</v>
      </c>
      <c r="U35" s="23">
        <v>3.0</v>
      </c>
      <c r="V35" s="23">
        <v>1.0</v>
      </c>
      <c r="W35" s="50">
        <f t="shared" si="4"/>
        <v>60</v>
      </c>
      <c r="X35" s="23">
        <v>3.0</v>
      </c>
      <c r="Y35" s="23">
        <v>3.0</v>
      </c>
      <c r="Z35" s="23">
        <v>3.0</v>
      </c>
      <c r="AA35" s="23">
        <v>1.0</v>
      </c>
      <c r="AB35" s="49">
        <f t="shared" si="5"/>
        <v>60</v>
      </c>
      <c r="AC35" s="23">
        <v>3.0</v>
      </c>
      <c r="AD35" s="23">
        <v>2.0</v>
      </c>
      <c r="AE35" s="23">
        <v>2.0</v>
      </c>
      <c r="AF35" s="23">
        <v>2.0</v>
      </c>
      <c r="AG35" s="50">
        <f t="shared" si="6"/>
        <v>63</v>
      </c>
      <c r="AH35" s="23">
        <v>2.0</v>
      </c>
      <c r="AI35" s="23">
        <v>3.0</v>
      </c>
      <c r="AJ35" s="23">
        <v>3.0</v>
      </c>
      <c r="AK35" s="23">
        <v>1.0</v>
      </c>
      <c r="AL35" s="49">
        <f t="shared" si="7"/>
        <v>57</v>
      </c>
      <c r="AM35" s="23">
        <v>3.0</v>
      </c>
      <c r="AN35" s="23">
        <v>3.0</v>
      </c>
      <c r="AO35" s="23">
        <v>3.0</v>
      </c>
      <c r="AP35" s="23">
        <v>1.0</v>
      </c>
      <c r="AQ35" s="49">
        <f t="shared" si="8"/>
        <v>60</v>
      </c>
    </row>
    <row r="36">
      <c r="A36" s="21">
        <f>'INPUT DAFTAR PESERTA'!A34</f>
        <v>31</v>
      </c>
      <c r="B36" s="21">
        <f>'INPUT DAFTAR PESERTA'!B34</f>
        <v>2509046015</v>
      </c>
      <c r="C36" s="22" t="str">
        <f>'INPUT DAFTAR PESERTA'!C34</f>
        <v>Muhammad Abdul Mu'in</v>
      </c>
      <c r="D36" s="23">
        <v>2.0</v>
      </c>
      <c r="E36" s="23">
        <v>3.0</v>
      </c>
      <c r="F36" s="23">
        <v>2.0</v>
      </c>
      <c r="G36" s="23">
        <v>2.0</v>
      </c>
      <c r="H36" s="48">
        <f t="shared" si="1"/>
        <v>66</v>
      </c>
      <c r="I36" s="23">
        <v>2.0</v>
      </c>
      <c r="J36" s="23">
        <v>2.0</v>
      </c>
      <c r="K36" s="23">
        <v>2.0</v>
      </c>
      <c r="L36" s="23">
        <v>1.0</v>
      </c>
      <c r="M36" s="49">
        <f t="shared" si="2"/>
        <v>45</v>
      </c>
      <c r="N36" s="23">
        <v>3.0</v>
      </c>
      <c r="O36" s="23">
        <v>3.0</v>
      </c>
      <c r="P36" s="23">
        <v>3.0</v>
      </c>
      <c r="Q36" s="23">
        <v>1.0</v>
      </c>
      <c r="R36" s="49">
        <f t="shared" si="3"/>
        <v>60</v>
      </c>
      <c r="S36" s="23">
        <v>3.0</v>
      </c>
      <c r="T36" s="23">
        <v>3.0</v>
      </c>
      <c r="U36" s="23">
        <v>3.0</v>
      </c>
      <c r="V36" s="23">
        <v>1.0</v>
      </c>
      <c r="W36" s="50">
        <f t="shared" si="4"/>
        <v>60</v>
      </c>
      <c r="X36" s="23">
        <v>3.0</v>
      </c>
      <c r="Y36" s="23">
        <v>3.0</v>
      </c>
      <c r="Z36" s="23">
        <v>3.0</v>
      </c>
      <c r="AA36" s="23">
        <v>1.0</v>
      </c>
      <c r="AB36" s="49">
        <f t="shared" si="5"/>
        <v>60</v>
      </c>
      <c r="AC36" s="23">
        <v>3.0</v>
      </c>
      <c r="AD36" s="23">
        <v>2.0</v>
      </c>
      <c r="AE36" s="23">
        <v>2.0</v>
      </c>
      <c r="AF36" s="23">
        <v>2.0</v>
      </c>
      <c r="AG36" s="50">
        <f t="shared" si="6"/>
        <v>63</v>
      </c>
      <c r="AH36" s="23">
        <v>3.0</v>
      </c>
      <c r="AI36" s="23">
        <v>3.0</v>
      </c>
      <c r="AJ36" s="23">
        <v>3.0</v>
      </c>
      <c r="AK36" s="23">
        <v>1.0</v>
      </c>
      <c r="AL36" s="49">
        <f t="shared" si="7"/>
        <v>60</v>
      </c>
      <c r="AM36" s="23">
        <v>3.0</v>
      </c>
      <c r="AN36" s="23">
        <v>3.0</v>
      </c>
      <c r="AO36" s="23">
        <v>3.0</v>
      </c>
      <c r="AP36" s="23">
        <v>1.0</v>
      </c>
      <c r="AQ36" s="49">
        <f t="shared" si="8"/>
        <v>60</v>
      </c>
    </row>
    <row r="37">
      <c r="A37" s="21">
        <f>'INPUT DAFTAR PESERTA'!A35</f>
        <v>32</v>
      </c>
      <c r="B37" s="21">
        <f>'INPUT DAFTAR PESERTA'!B35</f>
        <v>2509046016</v>
      </c>
      <c r="C37" s="22" t="str">
        <f>'INPUT DAFTAR PESERTA'!C35</f>
        <v>Muhammad Rofiq Al-Hakim</v>
      </c>
      <c r="D37" s="23">
        <v>1.0</v>
      </c>
      <c r="E37" s="23">
        <v>2.0</v>
      </c>
      <c r="F37" s="23">
        <v>3.0</v>
      </c>
      <c r="G37" s="23">
        <v>3.0</v>
      </c>
      <c r="H37" s="48">
        <f t="shared" si="1"/>
        <v>78</v>
      </c>
      <c r="I37" s="23">
        <v>1.0</v>
      </c>
      <c r="J37" s="23">
        <v>1.0</v>
      </c>
      <c r="K37" s="23">
        <v>1.0</v>
      </c>
      <c r="L37" s="23">
        <v>1.0</v>
      </c>
      <c r="M37" s="49">
        <f t="shared" si="2"/>
        <v>30</v>
      </c>
      <c r="N37" s="23">
        <v>0.0</v>
      </c>
      <c r="O37" s="23">
        <v>0.0</v>
      </c>
      <c r="P37" s="23">
        <v>0.0</v>
      </c>
      <c r="Q37" s="23">
        <v>0.0</v>
      </c>
      <c r="R37" s="49">
        <f t="shared" si="3"/>
        <v>0</v>
      </c>
      <c r="S37" s="23">
        <v>3.0</v>
      </c>
      <c r="T37" s="23">
        <v>3.0</v>
      </c>
      <c r="U37" s="23">
        <v>3.0</v>
      </c>
      <c r="V37" s="23">
        <v>1.0</v>
      </c>
      <c r="W37" s="50">
        <f t="shared" si="4"/>
        <v>60</v>
      </c>
      <c r="X37" s="23">
        <v>3.0</v>
      </c>
      <c r="Y37" s="23">
        <v>2.0</v>
      </c>
      <c r="Z37" s="23">
        <v>2.0</v>
      </c>
      <c r="AA37" s="23">
        <v>3.0</v>
      </c>
      <c r="AB37" s="49">
        <f t="shared" si="5"/>
        <v>78</v>
      </c>
      <c r="AC37" s="23">
        <v>3.0</v>
      </c>
      <c r="AD37" s="23">
        <v>2.0</v>
      </c>
      <c r="AE37" s="23">
        <v>2.0</v>
      </c>
      <c r="AF37" s="23">
        <v>2.0</v>
      </c>
      <c r="AG37" s="50">
        <f t="shared" si="6"/>
        <v>63</v>
      </c>
      <c r="AH37" s="23">
        <v>2.0</v>
      </c>
      <c r="AI37" s="23">
        <v>3.0</v>
      </c>
      <c r="AJ37" s="23">
        <v>3.0</v>
      </c>
      <c r="AK37" s="23">
        <v>3.0</v>
      </c>
      <c r="AL37" s="49">
        <f t="shared" si="7"/>
        <v>87</v>
      </c>
      <c r="AM37" s="23">
        <v>2.0</v>
      </c>
      <c r="AN37" s="23">
        <v>3.0</v>
      </c>
      <c r="AO37" s="23">
        <v>3.0</v>
      </c>
      <c r="AP37" s="23">
        <v>1.0</v>
      </c>
      <c r="AQ37" s="49">
        <f t="shared" si="8"/>
        <v>57</v>
      </c>
    </row>
    <row r="38">
      <c r="A38" s="21">
        <f>'INPUT DAFTAR PESERTA'!A36</f>
        <v>33</v>
      </c>
      <c r="B38" s="21">
        <f>'INPUT DAFTAR PESERTA'!B36</f>
        <v>2509046017</v>
      </c>
      <c r="C38" s="22" t="str">
        <f>'INPUT DAFTAR PESERTA'!C36</f>
        <v>Nadia Eka Pratiwi</v>
      </c>
      <c r="D38" s="23">
        <v>3.0</v>
      </c>
      <c r="E38" s="23">
        <v>3.0</v>
      </c>
      <c r="F38" s="23">
        <v>3.0</v>
      </c>
      <c r="G38" s="23">
        <v>3.0</v>
      </c>
      <c r="H38" s="48">
        <f t="shared" si="1"/>
        <v>90</v>
      </c>
      <c r="I38" s="23">
        <v>1.0</v>
      </c>
      <c r="J38" s="23">
        <v>1.0</v>
      </c>
      <c r="K38" s="23">
        <v>1.0</v>
      </c>
      <c r="L38" s="23">
        <v>1.0</v>
      </c>
      <c r="M38" s="49">
        <f t="shared" si="2"/>
        <v>30</v>
      </c>
      <c r="N38" s="23">
        <v>3.0</v>
      </c>
      <c r="O38" s="23">
        <v>3.0</v>
      </c>
      <c r="P38" s="23">
        <v>3.0</v>
      </c>
      <c r="Q38" s="23">
        <v>2.0</v>
      </c>
      <c r="R38" s="49">
        <f t="shared" si="3"/>
        <v>75</v>
      </c>
      <c r="S38" s="23">
        <v>3.0</v>
      </c>
      <c r="T38" s="23">
        <v>3.0</v>
      </c>
      <c r="U38" s="23">
        <v>3.0</v>
      </c>
      <c r="V38" s="23">
        <v>2.0</v>
      </c>
      <c r="W38" s="50">
        <f t="shared" si="4"/>
        <v>75</v>
      </c>
      <c r="X38" s="23">
        <v>3.0</v>
      </c>
      <c r="Y38" s="23">
        <v>3.0</v>
      </c>
      <c r="Z38" s="23">
        <v>2.0</v>
      </c>
      <c r="AA38" s="23">
        <v>3.0</v>
      </c>
      <c r="AB38" s="49">
        <f t="shared" si="5"/>
        <v>84</v>
      </c>
      <c r="AC38" s="23">
        <v>3.0</v>
      </c>
      <c r="AD38" s="23">
        <v>2.0</v>
      </c>
      <c r="AE38" s="23">
        <v>2.0</v>
      </c>
      <c r="AF38" s="23">
        <v>2.0</v>
      </c>
      <c r="AG38" s="50">
        <f t="shared" si="6"/>
        <v>63</v>
      </c>
      <c r="AH38" s="23">
        <v>2.0</v>
      </c>
      <c r="AI38" s="23">
        <v>3.0</v>
      </c>
      <c r="AJ38" s="23">
        <v>3.0</v>
      </c>
      <c r="AK38" s="23">
        <v>3.0</v>
      </c>
      <c r="AL38" s="49">
        <f t="shared" si="7"/>
        <v>87</v>
      </c>
      <c r="AM38" s="23">
        <v>2.0</v>
      </c>
      <c r="AN38" s="23">
        <v>3.0</v>
      </c>
      <c r="AO38" s="23">
        <v>3.0</v>
      </c>
      <c r="AP38" s="23">
        <v>3.0</v>
      </c>
      <c r="AQ38" s="49">
        <f t="shared" si="8"/>
        <v>87</v>
      </c>
    </row>
    <row r="39">
      <c r="A39" s="21">
        <f>'INPUT DAFTAR PESERTA'!A37</f>
        <v>34</v>
      </c>
      <c r="B39" s="21">
        <f>'INPUT DAFTAR PESERTA'!B37</f>
        <v>2509046018</v>
      </c>
      <c r="C39" s="22" t="str">
        <f>'INPUT DAFTAR PESERTA'!C37</f>
        <v>Rayhana Erda Affiyah</v>
      </c>
      <c r="D39" s="23">
        <v>1.0</v>
      </c>
      <c r="E39" s="23">
        <v>2.0</v>
      </c>
      <c r="F39" s="23">
        <v>2.0</v>
      </c>
      <c r="G39" s="23">
        <v>3.0</v>
      </c>
      <c r="H39" s="48">
        <f t="shared" si="1"/>
        <v>72</v>
      </c>
      <c r="I39" s="23">
        <v>1.0</v>
      </c>
      <c r="J39" s="23">
        <v>1.0</v>
      </c>
      <c r="K39" s="23">
        <v>1.0</v>
      </c>
      <c r="L39" s="23">
        <v>1.0</v>
      </c>
      <c r="M39" s="49">
        <f t="shared" si="2"/>
        <v>30</v>
      </c>
      <c r="N39" s="23">
        <v>3.0</v>
      </c>
      <c r="O39" s="23">
        <v>3.0</v>
      </c>
      <c r="P39" s="23">
        <v>3.0</v>
      </c>
      <c r="Q39" s="23">
        <v>3.0</v>
      </c>
      <c r="R39" s="49">
        <f t="shared" si="3"/>
        <v>90</v>
      </c>
      <c r="S39" s="23">
        <v>3.0</v>
      </c>
      <c r="T39" s="23">
        <v>3.0</v>
      </c>
      <c r="U39" s="23">
        <v>3.0</v>
      </c>
      <c r="V39" s="23">
        <v>3.0</v>
      </c>
      <c r="W39" s="50">
        <f t="shared" si="4"/>
        <v>90</v>
      </c>
      <c r="X39" s="23">
        <v>3.0</v>
      </c>
      <c r="Y39" s="23">
        <v>3.0</v>
      </c>
      <c r="Z39" s="23">
        <v>2.0</v>
      </c>
      <c r="AA39" s="23">
        <v>3.0</v>
      </c>
      <c r="AB39" s="49">
        <f t="shared" si="5"/>
        <v>84</v>
      </c>
      <c r="AC39" s="23">
        <v>3.0</v>
      </c>
      <c r="AD39" s="23">
        <v>2.0</v>
      </c>
      <c r="AE39" s="23">
        <v>2.0</v>
      </c>
      <c r="AF39" s="23">
        <v>2.0</v>
      </c>
      <c r="AG39" s="50">
        <f t="shared" si="6"/>
        <v>63</v>
      </c>
      <c r="AH39" s="23">
        <v>2.0</v>
      </c>
      <c r="AI39" s="23">
        <v>3.0</v>
      </c>
      <c r="AJ39" s="23">
        <v>3.0</v>
      </c>
      <c r="AK39" s="23">
        <v>3.0</v>
      </c>
      <c r="AL39" s="49">
        <f t="shared" si="7"/>
        <v>87</v>
      </c>
      <c r="AM39" s="23">
        <v>2.0</v>
      </c>
      <c r="AN39" s="23">
        <v>3.0</v>
      </c>
      <c r="AO39" s="23">
        <v>3.0</v>
      </c>
      <c r="AP39" s="23">
        <v>2.0</v>
      </c>
      <c r="AQ39" s="49">
        <f t="shared" si="8"/>
        <v>72</v>
      </c>
    </row>
    <row r="40">
      <c r="A40" s="21">
        <f>'INPUT DAFTAR PESERTA'!A38</f>
        <v>35</v>
      </c>
      <c r="B40" s="21">
        <f>'INPUT DAFTAR PESERTA'!B38</f>
        <v>2509046019</v>
      </c>
      <c r="C40" s="22" t="str">
        <f>'INPUT DAFTAR PESERTA'!C38</f>
        <v>Astrina Nadhiroh Illiyin</v>
      </c>
      <c r="D40" s="23">
        <v>3.0</v>
      </c>
      <c r="E40" s="23">
        <v>3.0</v>
      </c>
      <c r="F40" s="23">
        <v>3.0</v>
      </c>
      <c r="G40" s="23">
        <v>2.0</v>
      </c>
      <c r="H40" s="48">
        <f t="shared" si="1"/>
        <v>75</v>
      </c>
      <c r="I40" s="23">
        <v>1.0</v>
      </c>
      <c r="J40" s="23">
        <v>1.0</v>
      </c>
      <c r="K40" s="23">
        <v>1.0</v>
      </c>
      <c r="L40" s="23">
        <v>1.0</v>
      </c>
      <c r="M40" s="49">
        <f t="shared" si="2"/>
        <v>30</v>
      </c>
      <c r="N40" s="23">
        <v>3.0</v>
      </c>
      <c r="O40" s="23">
        <v>3.0</v>
      </c>
      <c r="P40" s="23">
        <v>3.0</v>
      </c>
      <c r="Q40" s="23">
        <v>3.0</v>
      </c>
      <c r="R40" s="49">
        <f t="shared" si="3"/>
        <v>90</v>
      </c>
      <c r="S40" s="23">
        <v>3.0</v>
      </c>
      <c r="T40" s="23">
        <v>3.0</v>
      </c>
      <c r="U40" s="23">
        <v>3.0</v>
      </c>
      <c r="V40" s="23">
        <v>3.0</v>
      </c>
      <c r="W40" s="50">
        <f t="shared" si="4"/>
        <v>90</v>
      </c>
      <c r="X40" s="23">
        <v>3.0</v>
      </c>
      <c r="Y40" s="23">
        <v>2.0</v>
      </c>
      <c r="Z40" s="23">
        <v>3.0</v>
      </c>
      <c r="AA40" s="23">
        <v>3.0</v>
      </c>
      <c r="AB40" s="49">
        <f t="shared" si="5"/>
        <v>84</v>
      </c>
      <c r="AC40" s="23">
        <v>3.0</v>
      </c>
      <c r="AD40" s="23">
        <v>2.0</v>
      </c>
      <c r="AE40" s="23">
        <v>2.0</v>
      </c>
      <c r="AF40" s="23">
        <v>2.0</v>
      </c>
      <c r="AG40" s="50">
        <f t="shared" si="6"/>
        <v>63</v>
      </c>
      <c r="AH40" s="23">
        <v>2.0</v>
      </c>
      <c r="AI40" s="23">
        <v>3.0</v>
      </c>
      <c r="AJ40" s="23">
        <v>3.0</v>
      </c>
      <c r="AK40" s="23">
        <v>3.0</v>
      </c>
      <c r="AL40" s="49">
        <f t="shared" si="7"/>
        <v>87</v>
      </c>
      <c r="AM40" s="23">
        <v>2.0</v>
      </c>
      <c r="AN40" s="23">
        <v>3.0</v>
      </c>
      <c r="AO40" s="23">
        <v>3.0</v>
      </c>
      <c r="AP40" s="23">
        <v>1.5</v>
      </c>
      <c r="AQ40" s="49">
        <f t="shared" si="8"/>
        <v>64.5</v>
      </c>
    </row>
    <row r="41">
      <c r="A41" s="21">
        <f>'INPUT DAFTAR PESERTA'!A39</f>
        <v>36</v>
      </c>
      <c r="B41" s="21">
        <f>'INPUT DAFTAR PESERTA'!B39</f>
        <v>2509046020</v>
      </c>
      <c r="C41" s="22" t="str">
        <f>'INPUT DAFTAR PESERTA'!C39</f>
        <v>Muhammad Davindia Akmaluza</v>
      </c>
      <c r="D41" s="23">
        <v>3.0</v>
      </c>
      <c r="E41" s="23">
        <v>3.0</v>
      </c>
      <c r="F41" s="23">
        <v>3.0</v>
      </c>
      <c r="G41" s="23">
        <v>1.0</v>
      </c>
      <c r="H41" s="48">
        <f t="shared" si="1"/>
        <v>60</v>
      </c>
      <c r="I41" s="23">
        <v>1.0</v>
      </c>
      <c r="J41" s="23">
        <v>1.0</v>
      </c>
      <c r="K41" s="23">
        <v>1.0</v>
      </c>
      <c r="L41" s="23">
        <v>1.0</v>
      </c>
      <c r="M41" s="49">
        <f t="shared" si="2"/>
        <v>30</v>
      </c>
      <c r="N41" s="23">
        <v>0.0</v>
      </c>
      <c r="O41" s="23">
        <v>0.0</v>
      </c>
      <c r="P41" s="23">
        <v>0.0</v>
      </c>
      <c r="Q41" s="23">
        <v>0.0</v>
      </c>
      <c r="R41" s="49">
        <f t="shared" si="3"/>
        <v>0</v>
      </c>
      <c r="S41" s="23">
        <v>0.0</v>
      </c>
      <c r="T41" s="23">
        <v>0.0</v>
      </c>
      <c r="U41" s="23">
        <v>0.0</v>
      </c>
      <c r="V41" s="23">
        <v>0.0</v>
      </c>
      <c r="W41" s="50">
        <f t="shared" si="4"/>
        <v>0</v>
      </c>
      <c r="X41" s="23">
        <v>1.0</v>
      </c>
      <c r="Y41" s="23">
        <v>1.0</v>
      </c>
      <c r="Z41" s="23">
        <v>1.0</v>
      </c>
      <c r="AA41" s="23">
        <v>1.0</v>
      </c>
      <c r="AB41" s="49">
        <f t="shared" si="5"/>
        <v>30</v>
      </c>
      <c r="AC41" s="23">
        <v>3.0</v>
      </c>
      <c r="AD41" s="23">
        <v>2.0</v>
      </c>
      <c r="AE41" s="23">
        <v>2.0</v>
      </c>
      <c r="AF41" s="23">
        <v>2.0</v>
      </c>
      <c r="AG41" s="50">
        <f t="shared" si="6"/>
        <v>63</v>
      </c>
      <c r="AH41" s="23">
        <v>2.0</v>
      </c>
      <c r="AI41" s="23">
        <v>3.0</v>
      </c>
      <c r="AJ41" s="23">
        <v>3.0</v>
      </c>
      <c r="AK41" s="23">
        <v>1.0</v>
      </c>
      <c r="AL41" s="49">
        <f t="shared" si="7"/>
        <v>57</v>
      </c>
      <c r="AM41" s="50"/>
      <c r="AN41" s="50"/>
      <c r="AO41" s="50"/>
      <c r="AP41" s="50"/>
      <c r="AQ41" s="49">
        <f t="shared" si="8"/>
        <v>0</v>
      </c>
    </row>
    <row r="42">
      <c r="A42" s="21">
        <f>'INPUT DAFTAR PESERTA'!A40</f>
        <v>37</v>
      </c>
      <c r="B42" s="21">
        <f>'INPUT DAFTAR PESERTA'!B40</f>
        <v>2509046021</v>
      </c>
      <c r="C42" s="22" t="str">
        <f>'INPUT DAFTAR PESERTA'!C40</f>
        <v>Muhammad Naufal Sabilillah</v>
      </c>
      <c r="D42" s="23">
        <v>3.0</v>
      </c>
      <c r="E42" s="23">
        <v>3.0</v>
      </c>
      <c r="F42" s="23">
        <v>3.0</v>
      </c>
      <c r="G42" s="23">
        <v>2.0</v>
      </c>
      <c r="H42" s="48">
        <f t="shared" si="1"/>
        <v>75</v>
      </c>
      <c r="I42" s="23">
        <v>2.0</v>
      </c>
      <c r="J42" s="23">
        <v>2.0</v>
      </c>
      <c r="K42" s="23">
        <v>2.0</v>
      </c>
      <c r="L42" s="23">
        <v>1.0</v>
      </c>
      <c r="M42" s="49">
        <f t="shared" si="2"/>
        <v>45</v>
      </c>
      <c r="N42" s="23">
        <v>3.0</v>
      </c>
      <c r="O42" s="23">
        <v>3.0</v>
      </c>
      <c r="P42" s="23">
        <v>3.0</v>
      </c>
      <c r="Q42" s="23">
        <v>3.0</v>
      </c>
      <c r="R42" s="49">
        <f t="shared" si="3"/>
        <v>90</v>
      </c>
      <c r="S42" s="23">
        <v>3.0</v>
      </c>
      <c r="T42" s="23">
        <v>3.0</v>
      </c>
      <c r="U42" s="23">
        <v>3.0</v>
      </c>
      <c r="V42" s="23">
        <v>3.0</v>
      </c>
      <c r="W42" s="50">
        <f t="shared" si="4"/>
        <v>90</v>
      </c>
      <c r="X42" s="23">
        <v>3.0</v>
      </c>
      <c r="Y42" s="23">
        <v>3.0</v>
      </c>
      <c r="Z42" s="23">
        <v>3.0</v>
      </c>
      <c r="AA42" s="23">
        <v>3.0</v>
      </c>
      <c r="AB42" s="49">
        <f t="shared" si="5"/>
        <v>90</v>
      </c>
      <c r="AC42" s="23">
        <v>3.0</v>
      </c>
      <c r="AD42" s="23">
        <v>2.0</v>
      </c>
      <c r="AE42" s="23">
        <v>2.0</v>
      </c>
      <c r="AF42" s="23">
        <v>2.0</v>
      </c>
      <c r="AG42" s="50">
        <f t="shared" si="6"/>
        <v>63</v>
      </c>
      <c r="AH42" s="23">
        <v>2.0</v>
      </c>
      <c r="AI42" s="23">
        <v>3.0</v>
      </c>
      <c r="AJ42" s="23">
        <v>3.0</v>
      </c>
      <c r="AK42" s="23">
        <v>3.0</v>
      </c>
      <c r="AL42" s="49">
        <f t="shared" si="7"/>
        <v>87</v>
      </c>
      <c r="AM42" s="23">
        <v>2.0</v>
      </c>
      <c r="AN42" s="23">
        <v>3.0</v>
      </c>
      <c r="AO42" s="23">
        <v>3.0</v>
      </c>
      <c r="AP42" s="23">
        <v>2.0</v>
      </c>
      <c r="AQ42" s="49">
        <f t="shared" si="8"/>
        <v>72</v>
      </c>
    </row>
    <row r="43">
      <c r="A43" s="21">
        <f>'INPUT DAFTAR PESERTA'!A41</f>
        <v>38</v>
      </c>
      <c r="B43" s="21">
        <f>'INPUT DAFTAR PESERTA'!B41</f>
        <v>2509046022</v>
      </c>
      <c r="C43" s="22" t="str">
        <f>'INPUT DAFTAR PESERTA'!C41</f>
        <v>Miranda Nur Salsabila</v>
      </c>
      <c r="D43" s="23">
        <v>2.0</v>
      </c>
      <c r="E43" s="23">
        <v>3.0</v>
      </c>
      <c r="F43" s="23">
        <v>3.0</v>
      </c>
      <c r="G43" s="23">
        <v>2.0</v>
      </c>
      <c r="H43" s="48">
        <f t="shared" si="1"/>
        <v>72</v>
      </c>
      <c r="I43" s="23">
        <v>2.0</v>
      </c>
      <c r="J43" s="23">
        <v>2.0</v>
      </c>
      <c r="K43" s="23">
        <v>2.0</v>
      </c>
      <c r="L43" s="23">
        <v>1.0</v>
      </c>
      <c r="M43" s="49">
        <f t="shared" si="2"/>
        <v>45</v>
      </c>
      <c r="N43" s="23">
        <v>3.0</v>
      </c>
      <c r="O43" s="23">
        <v>3.0</v>
      </c>
      <c r="P43" s="23">
        <v>3.0</v>
      </c>
      <c r="Q43" s="23">
        <v>1.0</v>
      </c>
      <c r="R43" s="49">
        <f t="shared" si="3"/>
        <v>60</v>
      </c>
      <c r="S43" s="23">
        <v>3.0</v>
      </c>
      <c r="T43" s="23">
        <v>3.0</v>
      </c>
      <c r="U43" s="23">
        <v>3.0</v>
      </c>
      <c r="V43" s="23">
        <v>1.0</v>
      </c>
      <c r="W43" s="50">
        <f t="shared" si="4"/>
        <v>60</v>
      </c>
      <c r="X43" s="23">
        <v>2.0</v>
      </c>
      <c r="Y43" s="23">
        <v>2.0</v>
      </c>
      <c r="Z43" s="23">
        <v>2.0</v>
      </c>
      <c r="AA43" s="23">
        <v>3.0</v>
      </c>
      <c r="AB43" s="49">
        <f t="shared" si="5"/>
        <v>75</v>
      </c>
      <c r="AC43" s="23">
        <v>3.0</v>
      </c>
      <c r="AD43" s="23">
        <v>2.0</v>
      </c>
      <c r="AE43" s="23">
        <v>2.0</v>
      </c>
      <c r="AF43" s="23">
        <v>2.0</v>
      </c>
      <c r="AG43" s="50">
        <f t="shared" si="6"/>
        <v>63</v>
      </c>
      <c r="AH43" s="23">
        <v>2.0</v>
      </c>
      <c r="AI43" s="23">
        <v>3.0</v>
      </c>
      <c r="AJ43" s="23">
        <v>3.0</v>
      </c>
      <c r="AK43" s="23">
        <v>3.0</v>
      </c>
      <c r="AL43" s="49">
        <f t="shared" si="7"/>
        <v>87</v>
      </c>
      <c r="AM43" s="23">
        <v>2.0</v>
      </c>
      <c r="AN43" s="23">
        <v>3.0</v>
      </c>
      <c r="AO43" s="23">
        <v>3.0</v>
      </c>
      <c r="AP43" s="23">
        <v>1.0</v>
      </c>
      <c r="AQ43" s="49">
        <f t="shared" si="8"/>
        <v>57</v>
      </c>
    </row>
    <row r="44">
      <c r="A44" s="21">
        <f>'INPUT DAFTAR PESERTA'!A42</f>
        <v>39</v>
      </c>
      <c r="B44" s="21">
        <f>'INPUT DAFTAR PESERTA'!B42</f>
        <v>2509046023</v>
      </c>
      <c r="C44" s="22" t="str">
        <f>'INPUT DAFTAR PESERTA'!C42</f>
        <v>Dinar Rahmatheta</v>
      </c>
      <c r="D44" s="23">
        <v>2.0</v>
      </c>
      <c r="E44" s="23">
        <v>3.0</v>
      </c>
      <c r="F44" s="23">
        <v>3.0</v>
      </c>
      <c r="G44" s="23">
        <v>3.0</v>
      </c>
      <c r="H44" s="48">
        <f t="shared" si="1"/>
        <v>87</v>
      </c>
      <c r="I44" s="23">
        <v>2.0</v>
      </c>
      <c r="J44" s="23">
        <v>2.0</v>
      </c>
      <c r="K44" s="23">
        <v>2.0</v>
      </c>
      <c r="L44" s="23">
        <v>1.0</v>
      </c>
      <c r="M44" s="49">
        <f t="shared" si="2"/>
        <v>45</v>
      </c>
      <c r="N44" s="23">
        <v>3.0</v>
      </c>
      <c r="O44" s="23">
        <v>3.0</v>
      </c>
      <c r="P44" s="23">
        <v>3.0</v>
      </c>
      <c r="Q44" s="23">
        <v>1.0</v>
      </c>
      <c r="R44" s="49">
        <f t="shared" si="3"/>
        <v>60</v>
      </c>
      <c r="S44" s="23">
        <v>3.0</v>
      </c>
      <c r="T44" s="23">
        <v>3.0</v>
      </c>
      <c r="U44" s="23">
        <v>3.0</v>
      </c>
      <c r="V44" s="23">
        <v>1.0</v>
      </c>
      <c r="W44" s="50">
        <f t="shared" si="4"/>
        <v>60</v>
      </c>
      <c r="X44" s="23">
        <v>3.0</v>
      </c>
      <c r="Y44" s="23">
        <v>2.0</v>
      </c>
      <c r="Z44" s="23">
        <v>2.0</v>
      </c>
      <c r="AA44" s="23">
        <v>3.0</v>
      </c>
      <c r="AB44" s="49">
        <f t="shared" si="5"/>
        <v>78</v>
      </c>
      <c r="AC44" s="23">
        <v>3.0</v>
      </c>
      <c r="AD44" s="23">
        <v>2.0</v>
      </c>
      <c r="AE44" s="23">
        <v>2.0</v>
      </c>
      <c r="AF44" s="23">
        <v>2.0</v>
      </c>
      <c r="AG44" s="50">
        <f t="shared" si="6"/>
        <v>63</v>
      </c>
      <c r="AH44" s="23">
        <v>2.0</v>
      </c>
      <c r="AI44" s="23">
        <v>3.0</v>
      </c>
      <c r="AJ44" s="23">
        <v>3.0</v>
      </c>
      <c r="AK44" s="23">
        <v>3.0</v>
      </c>
      <c r="AL44" s="49">
        <f t="shared" si="7"/>
        <v>87</v>
      </c>
      <c r="AM44" s="23">
        <v>2.0</v>
      </c>
      <c r="AN44" s="23">
        <v>3.0</v>
      </c>
      <c r="AO44" s="23">
        <v>3.0</v>
      </c>
      <c r="AP44" s="23">
        <v>2.0</v>
      </c>
      <c r="AQ44" s="49">
        <f t="shared" si="8"/>
        <v>72</v>
      </c>
    </row>
    <row r="45">
      <c r="A45" s="21">
        <f>'INPUT DAFTAR PESERTA'!A43</f>
        <v>40</v>
      </c>
      <c r="B45" s="21">
        <f>'INPUT DAFTAR PESERTA'!B43</f>
        <v>2509046024</v>
      </c>
      <c r="C45" s="22" t="str">
        <f>'INPUT DAFTAR PESERTA'!C43</f>
        <v>Muh. Yasir Naufal</v>
      </c>
      <c r="D45" s="23">
        <v>3.0</v>
      </c>
      <c r="E45" s="23">
        <v>3.0</v>
      </c>
      <c r="F45" s="23">
        <v>3.0</v>
      </c>
      <c r="G45" s="23">
        <v>1.0</v>
      </c>
      <c r="H45" s="48">
        <f t="shared" si="1"/>
        <v>60</v>
      </c>
      <c r="I45" s="23">
        <v>1.0</v>
      </c>
      <c r="J45" s="23">
        <v>1.0</v>
      </c>
      <c r="K45" s="23">
        <v>1.0</v>
      </c>
      <c r="L45" s="23">
        <v>1.0</v>
      </c>
      <c r="M45" s="49">
        <f t="shared" si="2"/>
        <v>30</v>
      </c>
      <c r="N45" s="23">
        <v>0.0</v>
      </c>
      <c r="O45" s="23">
        <v>0.0</v>
      </c>
      <c r="P45" s="23">
        <v>0.0</v>
      </c>
      <c r="Q45" s="23">
        <v>0.0</v>
      </c>
      <c r="R45" s="49">
        <f t="shared" si="3"/>
        <v>0</v>
      </c>
      <c r="S45" s="23">
        <v>0.0</v>
      </c>
      <c r="T45" s="23">
        <v>0.0</v>
      </c>
      <c r="U45" s="23">
        <v>0.0</v>
      </c>
      <c r="V45" s="23">
        <v>0.0</v>
      </c>
      <c r="W45" s="50">
        <f t="shared" si="4"/>
        <v>0</v>
      </c>
      <c r="X45" s="23">
        <v>1.0</v>
      </c>
      <c r="Y45" s="23">
        <v>1.0</v>
      </c>
      <c r="Z45" s="23">
        <v>1.0</v>
      </c>
      <c r="AA45" s="23">
        <v>1.0</v>
      </c>
      <c r="AB45" s="49">
        <f t="shared" si="5"/>
        <v>30</v>
      </c>
      <c r="AC45" s="23">
        <v>3.0</v>
      </c>
      <c r="AD45" s="23">
        <v>3.0</v>
      </c>
      <c r="AE45" s="23">
        <v>3.0</v>
      </c>
      <c r="AF45" s="23">
        <v>3.0</v>
      </c>
      <c r="AG45" s="50">
        <f t="shared" si="6"/>
        <v>90</v>
      </c>
      <c r="AH45" s="23">
        <v>2.0</v>
      </c>
      <c r="AI45" s="23">
        <v>3.0</v>
      </c>
      <c r="AJ45" s="23">
        <v>3.0</v>
      </c>
      <c r="AK45" s="23">
        <v>1.0</v>
      </c>
      <c r="AL45" s="49">
        <f t="shared" si="7"/>
        <v>57</v>
      </c>
      <c r="AM45" s="50"/>
      <c r="AN45" s="50"/>
      <c r="AO45" s="50"/>
      <c r="AP45" s="50"/>
      <c r="AQ45" s="49">
        <f t="shared" si="8"/>
        <v>0</v>
      </c>
    </row>
    <row r="46">
      <c r="A46" s="21">
        <f>'INPUT DAFTAR PESERTA'!A44</f>
        <v>41</v>
      </c>
      <c r="B46" s="21">
        <f>'INPUT DAFTAR PESERTA'!B44</f>
        <v>2509046025</v>
      </c>
      <c r="C46" s="22" t="str">
        <f>'INPUT DAFTAR PESERTA'!C44</f>
        <v>Andi Nada Bunga Zahra</v>
      </c>
      <c r="D46" s="23">
        <v>3.0</v>
      </c>
      <c r="E46" s="23">
        <v>3.0</v>
      </c>
      <c r="F46" s="23">
        <v>3.0</v>
      </c>
      <c r="G46" s="23">
        <v>2.0</v>
      </c>
      <c r="H46" s="48">
        <f t="shared" si="1"/>
        <v>75</v>
      </c>
      <c r="I46" s="23">
        <v>3.0</v>
      </c>
      <c r="J46" s="23">
        <v>3.0</v>
      </c>
      <c r="K46" s="23">
        <v>3.0</v>
      </c>
      <c r="L46" s="23">
        <v>3.0</v>
      </c>
      <c r="M46" s="49">
        <f t="shared" si="2"/>
        <v>90</v>
      </c>
      <c r="N46" s="23">
        <v>3.0</v>
      </c>
      <c r="O46" s="23">
        <v>3.0</v>
      </c>
      <c r="P46" s="23">
        <v>3.0</v>
      </c>
      <c r="Q46" s="23">
        <v>2.0</v>
      </c>
      <c r="R46" s="49">
        <f t="shared" si="3"/>
        <v>75</v>
      </c>
      <c r="S46" s="23">
        <v>3.0</v>
      </c>
      <c r="T46" s="23">
        <v>3.0</v>
      </c>
      <c r="U46" s="23">
        <v>3.0</v>
      </c>
      <c r="V46" s="23">
        <v>1.0</v>
      </c>
      <c r="W46" s="50">
        <f t="shared" si="4"/>
        <v>60</v>
      </c>
      <c r="X46" s="23">
        <v>2.0</v>
      </c>
      <c r="Y46" s="23">
        <v>3.0</v>
      </c>
      <c r="Z46" s="23">
        <v>3.0</v>
      </c>
      <c r="AA46" s="23">
        <v>1.0</v>
      </c>
      <c r="AB46" s="49">
        <f t="shared" si="5"/>
        <v>57</v>
      </c>
      <c r="AC46" s="23">
        <v>3.0</v>
      </c>
      <c r="AD46" s="23">
        <v>3.0</v>
      </c>
      <c r="AE46" s="23">
        <v>3.0</v>
      </c>
      <c r="AF46" s="23">
        <v>2.0</v>
      </c>
      <c r="AG46" s="50">
        <f t="shared" si="6"/>
        <v>75</v>
      </c>
      <c r="AH46" s="23">
        <v>3.0</v>
      </c>
      <c r="AI46" s="23">
        <v>3.0</v>
      </c>
      <c r="AJ46" s="23">
        <v>3.0</v>
      </c>
      <c r="AK46" s="23">
        <v>3.0</v>
      </c>
      <c r="AL46" s="49">
        <f t="shared" si="7"/>
        <v>90</v>
      </c>
      <c r="AM46" s="23">
        <v>3.0</v>
      </c>
      <c r="AN46" s="23">
        <v>3.0</v>
      </c>
      <c r="AO46" s="23">
        <v>3.0</v>
      </c>
      <c r="AP46" s="23">
        <v>3.0</v>
      </c>
      <c r="AQ46" s="49">
        <f t="shared" si="8"/>
        <v>90</v>
      </c>
    </row>
    <row r="47">
      <c r="A47" s="21">
        <f>'INPUT DAFTAR PESERTA'!A45</f>
        <v>42</v>
      </c>
      <c r="B47" s="21">
        <f>'INPUT DAFTAR PESERTA'!B45</f>
        <v>2509046026</v>
      </c>
      <c r="C47" s="22" t="str">
        <f>'INPUT DAFTAR PESERTA'!C45</f>
        <v>Nabil Rafif Makarim</v>
      </c>
      <c r="D47" s="23">
        <v>3.0</v>
      </c>
      <c r="E47" s="23">
        <v>3.0</v>
      </c>
      <c r="F47" s="23">
        <v>3.0</v>
      </c>
      <c r="G47" s="23">
        <v>2.0</v>
      </c>
      <c r="H47" s="48">
        <f t="shared" si="1"/>
        <v>75</v>
      </c>
      <c r="I47" s="23">
        <v>1.0</v>
      </c>
      <c r="J47" s="23">
        <v>1.0</v>
      </c>
      <c r="K47" s="23">
        <v>1.0</v>
      </c>
      <c r="L47" s="23">
        <v>1.0</v>
      </c>
      <c r="M47" s="49">
        <f t="shared" si="2"/>
        <v>30</v>
      </c>
      <c r="N47" s="23">
        <v>3.0</v>
      </c>
      <c r="O47" s="23">
        <v>3.0</v>
      </c>
      <c r="P47" s="23">
        <v>3.0</v>
      </c>
      <c r="Q47" s="23">
        <v>1.0</v>
      </c>
      <c r="R47" s="49">
        <f t="shared" si="3"/>
        <v>60</v>
      </c>
      <c r="S47" s="23">
        <v>3.0</v>
      </c>
      <c r="T47" s="23">
        <v>3.0</v>
      </c>
      <c r="U47" s="23">
        <v>3.0</v>
      </c>
      <c r="V47" s="23">
        <v>1.0</v>
      </c>
      <c r="W47" s="50">
        <f t="shared" si="4"/>
        <v>60</v>
      </c>
      <c r="X47" s="23">
        <v>2.0</v>
      </c>
      <c r="Y47" s="23">
        <v>3.0</v>
      </c>
      <c r="Z47" s="23">
        <v>3.0</v>
      </c>
      <c r="AA47" s="23">
        <v>1.0</v>
      </c>
      <c r="AB47" s="49">
        <f t="shared" si="5"/>
        <v>57</v>
      </c>
      <c r="AC47" s="23">
        <v>3.0</v>
      </c>
      <c r="AD47" s="23">
        <v>2.0</v>
      </c>
      <c r="AE47" s="23">
        <v>2.0</v>
      </c>
      <c r="AF47" s="23">
        <v>2.0</v>
      </c>
      <c r="AG47" s="50">
        <f t="shared" si="6"/>
        <v>63</v>
      </c>
      <c r="AH47" s="23">
        <v>3.0</v>
      </c>
      <c r="AI47" s="23">
        <v>3.0</v>
      </c>
      <c r="AJ47" s="23">
        <v>3.0</v>
      </c>
      <c r="AK47" s="23">
        <v>2.0</v>
      </c>
      <c r="AL47" s="49">
        <f t="shared" si="7"/>
        <v>75</v>
      </c>
      <c r="AM47" s="23">
        <v>3.0</v>
      </c>
      <c r="AN47" s="23">
        <v>3.0</v>
      </c>
      <c r="AO47" s="23">
        <v>3.0</v>
      </c>
      <c r="AP47" s="23">
        <v>1.0</v>
      </c>
      <c r="AQ47" s="49">
        <f t="shared" si="8"/>
        <v>60</v>
      </c>
    </row>
    <row r="48">
      <c r="A48" s="21">
        <f>'INPUT DAFTAR PESERTA'!A46</f>
        <v>43</v>
      </c>
      <c r="B48" s="21">
        <f>'INPUT DAFTAR PESERTA'!B46</f>
        <v>2509046027</v>
      </c>
      <c r="C48" s="22" t="str">
        <f>'INPUT DAFTAR PESERTA'!C46</f>
        <v>Natasya Camelia Az-Zahra</v>
      </c>
      <c r="D48" s="23">
        <v>3.0</v>
      </c>
      <c r="E48" s="23">
        <v>3.0</v>
      </c>
      <c r="F48" s="23">
        <v>3.0</v>
      </c>
      <c r="G48" s="23">
        <v>3.0</v>
      </c>
      <c r="H48" s="48">
        <f t="shared" si="1"/>
        <v>90</v>
      </c>
      <c r="I48" s="23">
        <v>3.0</v>
      </c>
      <c r="J48" s="23">
        <v>3.0</v>
      </c>
      <c r="K48" s="23">
        <v>3.0</v>
      </c>
      <c r="L48" s="23">
        <v>2.0</v>
      </c>
      <c r="M48" s="49">
        <f t="shared" si="2"/>
        <v>75</v>
      </c>
      <c r="N48" s="23">
        <v>3.0</v>
      </c>
      <c r="O48" s="23">
        <v>3.0</v>
      </c>
      <c r="P48" s="23">
        <v>3.0</v>
      </c>
      <c r="Q48" s="23">
        <v>2.0</v>
      </c>
      <c r="R48" s="49">
        <f t="shared" si="3"/>
        <v>75</v>
      </c>
      <c r="S48" s="23">
        <v>3.0</v>
      </c>
      <c r="T48" s="23">
        <v>3.0</v>
      </c>
      <c r="U48" s="23">
        <v>3.0</v>
      </c>
      <c r="V48" s="23">
        <v>1.0</v>
      </c>
      <c r="W48" s="50">
        <f t="shared" si="4"/>
        <v>60</v>
      </c>
      <c r="X48" s="23">
        <v>2.0</v>
      </c>
      <c r="Y48" s="23">
        <v>3.0</v>
      </c>
      <c r="Z48" s="23">
        <v>3.0</v>
      </c>
      <c r="AA48" s="23">
        <v>1.0</v>
      </c>
      <c r="AB48" s="49">
        <f t="shared" si="5"/>
        <v>57</v>
      </c>
      <c r="AC48" s="23">
        <v>3.0</v>
      </c>
      <c r="AD48" s="23">
        <v>3.0</v>
      </c>
      <c r="AE48" s="23">
        <v>3.0</v>
      </c>
      <c r="AF48" s="23">
        <v>2.0</v>
      </c>
      <c r="AG48" s="50">
        <f t="shared" si="6"/>
        <v>75</v>
      </c>
      <c r="AH48" s="23">
        <v>3.0</v>
      </c>
      <c r="AI48" s="23">
        <v>3.0</v>
      </c>
      <c r="AJ48" s="23">
        <v>3.0</v>
      </c>
      <c r="AK48" s="23">
        <v>3.0</v>
      </c>
      <c r="AL48" s="49">
        <f t="shared" si="7"/>
        <v>90</v>
      </c>
      <c r="AM48" s="23">
        <v>3.0</v>
      </c>
      <c r="AN48" s="23">
        <v>3.0</v>
      </c>
      <c r="AO48" s="23">
        <v>3.0</v>
      </c>
      <c r="AP48" s="23">
        <v>3.0</v>
      </c>
      <c r="AQ48" s="49">
        <f t="shared" si="8"/>
        <v>90</v>
      </c>
    </row>
    <row r="49">
      <c r="A49" s="21">
        <f>'INPUT DAFTAR PESERTA'!A47</f>
        <v>44</v>
      </c>
      <c r="B49" s="21">
        <f>'INPUT DAFTAR PESERTA'!B47</f>
        <v>2509046028</v>
      </c>
      <c r="C49" s="22" t="str">
        <f>'INPUT DAFTAR PESERTA'!C47</f>
        <v>Afirah Al Abidah</v>
      </c>
      <c r="D49" s="23">
        <v>2.0</v>
      </c>
      <c r="E49" s="23">
        <v>3.0</v>
      </c>
      <c r="F49" s="23">
        <v>2.0</v>
      </c>
      <c r="G49" s="23">
        <v>1.0</v>
      </c>
      <c r="H49" s="48">
        <f t="shared" si="1"/>
        <v>51</v>
      </c>
      <c r="I49" s="23">
        <v>1.0</v>
      </c>
      <c r="J49" s="23">
        <v>1.0</v>
      </c>
      <c r="K49" s="23">
        <v>1.0</v>
      </c>
      <c r="L49" s="23">
        <v>1.0</v>
      </c>
      <c r="M49" s="49">
        <f t="shared" si="2"/>
        <v>30</v>
      </c>
      <c r="N49" s="23">
        <v>3.0</v>
      </c>
      <c r="O49" s="23">
        <v>3.0</v>
      </c>
      <c r="P49" s="23">
        <v>3.0</v>
      </c>
      <c r="Q49" s="23">
        <v>1.0</v>
      </c>
      <c r="R49" s="49">
        <f t="shared" si="3"/>
        <v>60</v>
      </c>
      <c r="S49" s="23">
        <v>3.0</v>
      </c>
      <c r="T49" s="23">
        <v>3.0</v>
      </c>
      <c r="U49" s="23">
        <v>3.0</v>
      </c>
      <c r="V49" s="23">
        <v>1.0</v>
      </c>
      <c r="W49" s="50">
        <f t="shared" si="4"/>
        <v>60</v>
      </c>
      <c r="X49" s="23">
        <v>3.0</v>
      </c>
      <c r="Y49" s="23">
        <v>2.0</v>
      </c>
      <c r="Z49" s="23">
        <v>3.0</v>
      </c>
      <c r="AA49" s="23">
        <v>1.0</v>
      </c>
      <c r="AB49" s="49">
        <f t="shared" si="5"/>
        <v>54</v>
      </c>
      <c r="AC49" s="23">
        <v>3.0</v>
      </c>
      <c r="AD49" s="23">
        <v>3.0</v>
      </c>
      <c r="AE49" s="23">
        <v>3.0</v>
      </c>
      <c r="AF49" s="23">
        <v>3.0</v>
      </c>
      <c r="AG49" s="50">
        <f t="shared" si="6"/>
        <v>90</v>
      </c>
      <c r="AH49" s="23">
        <v>3.0</v>
      </c>
      <c r="AI49" s="23">
        <v>3.0</v>
      </c>
      <c r="AJ49" s="23">
        <v>3.0</v>
      </c>
      <c r="AK49" s="23">
        <v>1.0</v>
      </c>
      <c r="AL49" s="49">
        <f t="shared" si="7"/>
        <v>60</v>
      </c>
      <c r="AM49" s="23">
        <v>3.0</v>
      </c>
      <c r="AN49" s="23">
        <v>3.0</v>
      </c>
      <c r="AO49" s="23">
        <v>3.0</v>
      </c>
      <c r="AP49" s="23">
        <v>1.0</v>
      </c>
      <c r="AQ49" s="49">
        <f t="shared" si="8"/>
        <v>60</v>
      </c>
    </row>
    <row r="50">
      <c r="A50" s="21">
        <f>'INPUT DAFTAR PESERTA'!A48</f>
        <v>45</v>
      </c>
      <c r="B50" s="21">
        <f>'INPUT DAFTAR PESERTA'!B48</f>
        <v>2509046029</v>
      </c>
      <c r="C50" s="22" t="str">
        <f>'INPUT DAFTAR PESERTA'!C48</f>
        <v>Anisa Syalwa</v>
      </c>
      <c r="D50" s="23">
        <v>2.0</v>
      </c>
      <c r="E50" s="23">
        <v>3.0</v>
      </c>
      <c r="F50" s="23">
        <v>2.0</v>
      </c>
      <c r="G50" s="23">
        <v>3.0</v>
      </c>
      <c r="H50" s="48">
        <f t="shared" si="1"/>
        <v>81</v>
      </c>
      <c r="I50" s="23">
        <v>3.0</v>
      </c>
      <c r="J50" s="23">
        <v>3.0</v>
      </c>
      <c r="K50" s="23">
        <v>3.0</v>
      </c>
      <c r="L50" s="23">
        <v>1.0</v>
      </c>
      <c r="M50" s="49">
        <f t="shared" si="2"/>
        <v>60</v>
      </c>
      <c r="N50" s="23">
        <v>3.0</v>
      </c>
      <c r="O50" s="23">
        <v>3.0</v>
      </c>
      <c r="P50" s="23">
        <v>3.0</v>
      </c>
      <c r="Q50" s="23">
        <v>1.0</v>
      </c>
      <c r="R50" s="49">
        <f t="shared" si="3"/>
        <v>60</v>
      </c>
      <c r="S50" s="23">
        <v>3.0</v>
      </c>
      <c r="T50" s="23">
        <v>3.0</v>
      </c>
      <c r="U50" s="23">
        <v>3.0</v>
      </c>
      <c r="V50" s="23">
        <v>1.0</v>
      </c>
      <c r="W50" s="50">
        <f t="shared" si="4"/>
        <v>60</v>
      </c>
      <c r="X50" s="23">
        <v>1.0</v>
      </c>
      <c r="Y50" s="23">
        <v>1.0</v>
      </c>
      <c r="Z50" s="23">
        <v>1.0</v>
      </c>
      <c r="AA50" s="23">
        <v>1.0</v>
      </c>
      <c r="AB50" s="49">
        <f t="shared" si="5"/>
        <v>30</v>
      </c>
      <c r="AC50" s="23">
        <v>3.0</v>
      </c>
      <c r="AD50" s="23">
        <v>3.0</v>
      </c>
      <c r="AE50" s="23">
        <v>3.0</v>
      </c>
      <c r="AF50" s="23">
        <v>3.0</v>
      </c>
      <c r="AG50" s="50">
        <f t="shared" si="6"/>
        <v>90</v>
      </c>
      <c r="AH50" s="23">
        <v>3.0</v>
      </c>
      <c r="AI50" s="23">
        <v>3.0</v>
      </c>
      <c r="AJ50" s="23">
        <v>3.0</v>
      </c>
      <c r="AK50" s="23">
        <v>1.0</v>
      </c>
      <c r="AL50" s="49">
        <f t="shared" si="7"/>
        <v>60</v>
      </c>
      <c r="AM50" s="23">
        <v>3.0</v>
      </c>
      <c r="AN50" s="23">
        <v>3.0</v>
      </c>
      <c r="AO50" s="23">
        <v>3.0</v>
      </c>
      <c r="AP50" s="23">
        <v>1.0</v>
      </c>
      <c r="AQ50" s="49">
        <f t="shared" si="8"/>
        <v>60</v>
      </c>
    </row>
    <row r="51">
      <c r="A51" s="21">
        <f>'INPUT DAFTAR PESERTA'!A49</f>
        <v>46</v>
      </c>
      <c r="B51" s="21">
        <f>'INPUT DAFTAR PESERTA'!B49</f>
        <v>2509046030</v>
      </c>
      <c r="C51" s="22" t="str">
        <f>'INPUT DAFTAR PESERTA'!C49</f>
        <v>Fikri Firoos Kinarya</v>
      </c>
      <c r="D51" s="23">
        <v>3.0</v>
      </c>
      <c r="E51" s="23">
        <v>3.0</v>
      </c>
      <c r="F51" s="23">
        <v>3.0</v>
      </c>
      <c r="G51" s="23">
        <v>3.0</v>
      </c>
      <c r="H51" s="48">
        <f t="shared" si="1"/>
        <v>90</v>
      </c>
      <c r="I51" s="23">
        <v>3.0</v>
      </c>
      <c r="J51" s="23">
        <v>3.0</v>
      </c>
      <c r="K51" s="23">
        <v>3.0</v>
      </c>
      <c r="L51" s="23">
        <v>1.0</v>
      </c>
      <c r="M51" s="49">
        <f t="shared" si="2"/>
        <v>60</v>
      </c>
      <c r="N51" s="23">
        <v>3.0</v>
      </c>
      <c r="O51" s="23">
        <v>3.0</v>
      </c>
      <c r="P51" s="23">
        <v>3.0</v>
      </c>
      <c r="Q51" s="23">
        <v>1.0</v>
      </c>
      <c r="R51" s="49">
        <f t="shared" si="3"/>
        <v>60</v>
      </c>
      <c r="S51" s="23">
        <v>0.0</v>
      </c>
      <c r="T51" s="23">
        <v>0.0</v>
      </c>
      <c r="U51" s="23">
        <v>0.0</v>
      </c>
      <c r="V51" s="23">
        <v>0.0</v>
      </c>
      <c r="W51" s="50">
        <f t="shared" si="4"/>
        <v>0</v>
      </c>
      <c r="X51" s="23">
        <v>1.0</v>
      </c>
      <c r="Y51" s="23">
        <v>1.0</v>
      </c>
      <c r="Z51" s="23">
        <v>1.0</v>
      </c>
      <c r="AA51" s="23">
        <v>1.0</v>
      </c>
      <c r="AB51" s="49">
        <f t="shared" si="5"/>
        <v>30</v>
      </c>
      <c r="AC51" s="23">
        <v>3.0</v>
      </c>
      <c r="AD51" s="23">
        <v>3.0</v>
      </c>
      <c r="AE51" s="23">
        <v>3.0</v>
      </c>
      <c r="AF51" s="23">
        <v>3.0</v>
      </c>
      <c r="AG51" s="50">
        <f t="shared" si="6"/>
        <v>90</v>
      </c>
      <c r="AH51" s="23">
        <v>3.0</v>
      </c>
      <c r="AI51" s="23">
        <v>3.0</v>
      </c>
      <c r="AJ51" s="23">
        <v>3.0</v>
      </c>
      <c r="AK51" s="23">
        <v>1.0</v>
      </c>
      <c r="AL51" s="49">
        <f t="shared" si="7"/>
        <v>60</v>
      </c>
      <c r="AM51" s="23">
        <v>3.0</v>
      </c>
      <c r="AN51" s="23">
        <v>3.0</v>
      </c>
      <c r="AO51" s="23">
        <v>3.0</v>
      </c>
      <c r="AP51" s="23">
        <v>1.0</v>
      </c>
      <c r="AQ51" s="49">
        <f t="shared" si="8"/>
        <v>60</v>
      </c>
    </row>
    <row r="52">
      <c r="A52" s="21">
        <f>'INPUT DAFTAR PESERTA'!A50</f>
        <v>47</v>
      </c>
      <c r="B52" s="21">
        <f>'INPUT DAFTAR PESERTA'!B50</f>
        <v>2509046031</v>
      </c>
      <c r="C52" s="22" t="str">
        <f>'INPUT DAFTAR PESERTA'!C50</f>
        <v>Armitha Luthfiana Andini</v>
      </c>
      <c r="D52" s="23">
        <v>2.0</v>
      </c>
      <c r="E52" s="23">
        <v>3.0</v>
      </c>
      <c r="F52" s="23">
        <v>2.0</v>
      </c>
      <c r="G52" s="23">
        <v>2.0</v>
      </c>
      <c r="H52" s="48">
        <f t="shared" si="1"/>
        <v>66</v>
      </c>
      <c r="I52" s="23">
        <v>3.0</v>
      </c>
      <c r="J52" s="23">
        <v>3.0</v>
      </c>
      <c r="K52" s="23">
        <v>3.0</v>
      </c>
      <c r="L52" s="23">
        <v>1.0</v>
      </c>
      <c r="M52" s="49">
        <f t="shared" si="2"/>
        <v>60</v>
      </c>
      <c r="N52" s="23">
        <v>3.0</v>
      </c>
      <c r="O52" s="23">
        <v>3.0</v>
      </c>
      <c r="P52" s="23">
        <v>3.0</v>
      </c>
      <c r="Q52" s="23">
        <v>1.0</v>
      </c>
      <c r="R52" s="49">
        <f t="shared" si="3"/>
        <v>60</v>
      </c>
      <c r="S52" s="23">
        <v>3.0</v>
      </c>
      <c r="T52" s="23">
        <v>3.0</v>
      </c>
      <c r="U52" s="23">
        <v>3.0</v>
      </c>
      <c r="V52" s="23">
        <v>3.0</v>
      </c>
      <c r="W52" s="50">
        <f t="shared" si="4"/>
        <v>90</v>
      </c>
      <c r="X52" s="23">
        <v>3.0</v>
      </c>
      <c r="Y52" s="23">
        <v>3.0</v>
      </c>
      <c r="Z52" s="23">
        <v>3.0</v>
      </c>
      <c r="AA52" s="23">
        <v>1.0</v>
      </c>
      <c r="AB52" s="49">
        <f t="shared" si="5"/>
        <v>60</v>
      </c>
      <c r="AC52" s="23">
        <v>3.0</v>
      </c>
      <c r="AD52" s="23">
        <v>3.0</v>
      </c>
      <c r="AE52" s="23">
        <v>3.0</v>
      </c>
      <c r="AF52" s="23">
        <v>3.0</v>
      </c>
      <c r="AG52" s="50">
        <f t="shared" si="6"/>
        <v>90</v>
      </c>
      <c r="AH52" s="23">
        <v>3.0</v>
      </c>
      <c r="AI52" s="23">
        <v>3.0</v>
      </c>
      <c r="AJ52" s="23">
        <v>3.0</v>
      </c>
      <c r="AK52" s="23">
        <v>1.0</v>
      </c>
      <c r="AL52" s="49">
        <f t="shared" si="7"/>
        <v>60</v>
      </c>
      <c r="AM52" s="23">
        <v>3.0</v>
      </c>
      <c r="AN52" s="23">
        <v>3.0</v>
      </c>
      <c r="AO52" s="23">
        <v>3.0</v>
      </c>
      <c r="AP52" s="23">
        <v>1.0</v>
      </c>
      <c r="AQ52" s="49">
        <f t="shared" si="8"/>
        <v>60</v>
      </c>
    </row>
    <row r="53">
      <c r="A53" s="21">
        <f>'INPUT DAFTAR PESERTA'!A51</f>
        <v>48</v>
      </c>
      <c r="B53" s="21">
        <f>'INPUT DAFTAR PESERTA'!B51</f>
        <v>2509046032</v>
      </c>
      <c r="C53" s="22" t="str">
        <f>'INPUT DAFTAR PESERTA'!C51</f>
        <v>Fabio Aditya Purnomo</v>
      </c>
      <c r="D53" s="23">
        <v>3.0</v>
      </c>
      <c r="E53" s="23">
        <v>3.0</v>
      </c>
      <c r="F53" s="23">
        <v>3.0</v>
      </c>
      <c r="G53" s="23">
        <v>1.0</v>
      </c>
      <c r="H53" s="48">
        <f t="shared" si="1"/>
        <v>60</v>
      </c>
      <c r="I53" s="23">
        <v>3.0</v>
      </c>
      <c r="J53" s="23">
        <v>3.0</v>
      </c>
      <c r="K53" s="23">
        <v>3.0</v>
      </c>
      <c r="L53" s="23">
        <v>1.0</v>
      </c>
      <c r="M53" s="49">
        <f t="shared" si="2"/>
        <v>60</v>
      </c>
      <c r="N53" s="23">
        <v>3.0</v>
      </c>
      <c r="O53" s="23">
        <v>3.0</v>
      </c>
      <c r="P53" s="23">
        <v>3.0</v>
      </c>
      <c r="Q53" s="23">
        <v>2.0</v>
      </c>
      <c r="R53" s="49">
        <f t="shared" si="3"/>
        <v>75</v>
      </c>
      <c r="S53" s="23">
        <v>3.0</v>
      </c>
      <c r="T53" s="23">
        <v>3.0</v>
      </c>
      <c r="U53" s="23">
        <v>3.0</v>
      </c>
      <c r="V53" s="23">
        <v>3.0</v>
      </c>
      <c r="W53" s="50">
        <f t="shared" si="4"/>
        <v>90</v>
      </c>
      <c r="X53" s="23">
        <v>3.0</v>
      </c>
      <c r="Y53" s="23">
        <v>3.0</v>
      </c>
      <c r="Z53" s="23">
        <v>3.0</v>
      </c>
      <c r="AA53" s="23">
        <v>1.0</v>
      </c>
      <c r="AB53" s="49">
        <f t="shared" si="5"/>
        <v>60</v>
      </c>
      <c r="AC53" s="23">
        <v>3.0</v>
      </c>
      <c r="AD53" s="23">
        <v>3.0</v>
      </c>
      <c r="AE53" s="23">
        <v>3.0</v>
      </c>
      <c r="AF53" s="23">
        <v>2.0</v>
      </c>
      <c r="AG53" s="50">
        <f t="shared" si="6"/>
        <v>75</v>
      </c>
      <c r="AH53" s="23">
        <v>3.0</v>
      </c>
      <c r="AI53" s="23">
        <v>3.0</v>
      </c>
      <c r="AJ53" s="23">
        <v>3.0</v>
      </c>
      <c r="AK53" s="23">
        <v>2.0</v>
      </c>
      <c r="AL53" s="49">
        <f t="shared" si="7"/>
        <v>75</v>
      </c>
      <c r="AM53" s="23">
        <v>3.0</v>
      </c>
      <c r="AN53" s="23">
        <v>3.0</v>
      </c>
      <c r="AO53" s="23">
        <v>3.0</v>
      </c>
      <c r="AP53" s="23">
        <v>2.0</v>
      </c>
      <c r="AQ53" s="49">
        <f t="shared" si="8"/>
        <v>75</v>
      </c>
    </row>
    <row r="54">
      <c r="A54" s="21">
        <f>'INPUT DAFTAR PESERTA'!A52</f>
        <v>49</v>
      </c>
      <c r="B54" s="21">
        <f>'INPUT DAFTAR PESERTA'!B52</f>
        <v>2509046033</v>
      </c>
      <c r="C54" s="22" t="str">
        <f>'INPUT DAFTAR PESERTA'!C52</f>
        <v>Rifa Davina Zalfa</v>
      </c>
      <c r="D54" s="23">
        <v>3.0</v>
      </c>
      <c r="E54" s="23">
        <v>2.0</v>
      </c>
      <c r="F54" s="23">
        <v>2.0</v>
      </c>
      <c r="G54" s="23">
        <v>2.0</v>
      </c>
      <c r="H54" s="48">
        <f t="shared" si="1"/>
        <v>63</v>
      </c>
      <c r="I54" s="23">
        <v>3.0</v>
      </c>
      <c r="J54" s="23">
        <v>3.0</v>
      </c>
      <c r="K54" s="23">
        <v>3.0</v>
      </c>
      <c r="L54" s="23">
        <v>2.0</v>
      </c>
      <c r="M54" s="49">
        <f t="shared" si="2"/>
        <v>75</v>
      </c>
      <c r="N54" s="23">
        <v>3.0</v>
      </c>
      <c r="O54" s="23">
        <v>3.0</v>
      </c>
      <c r="P54" s="23">
        <v>3.0</v>
      </c>
      <c r="Q54" s="23">
        <v>2.0</v>
      </c>
      <c r="R54" s="49">
        <f t="shared" si="3"/>
        <v>75</v>
      </c>
      <c r="S54" s="23">
        <v>3.0</v>
      </c>
      <c r="T54" s="23">
        <v>3.0</v>
      </c>
      <c r="U54" s="23">
        <v>3.0</v>
      </c>
      <c r="V54" s="23">
        <v>3.0</v>
      </c>
      <c r="W54" s="50">
        <f t="shared" si="4"/>
        <v>90</v>
      </c>
      <c r="X54" s="23">
        <v>3.0</v>
      </c>
      <c r="Y54" s="23">
        <v>3.0</v>
      </c>
      <c r="Z54" s="23">
        <v>3.0</v>
      </c>
      <c r="AA54" s="23">
        <v>1.0</v>
      </c>
      <c r="AB54" s="49">
        <f t="shared" si="5"/>
        <v>60</v>
      </c>
      <c r="AC54" s="23">
        <v>3.0</v>
      </c>
      <c r="AD54" s="23">
        <v>3.0</v>
      </c>
      <c r="AE54" s="23">
        <v>3.0</v>
      </c>
      <c r="AF54" s="23">
        <v>2.0</v>
      </c>
      <c r="AG54" s="50">
        <f t="shared" si="6"/>
        <v>75</v>
      </c>
      <c r="AH54" s="23">
        <v>3.0</v>
      </c>
      <c r="AI54" s="23">
        <v>3.0</v>
      </c>
      <c r="AJ54" s="23">
        <v>3.0</v>
      </c>
      <c r="AK54" s="23">
        <v>2.0</v>
      </c>
      <c r="AL54" s="49">
        <f t="shared" si="7"/>
        <v>75</v>
      </c>
      <c r="AM54" s="23">
        <v>3.0</v>
      </c>
      <c r="AN54" s="23">
        <v>3.0</v>
      </c>
      <c r="AO54" s="23">
        <v>3.0</v>
      </c>
      <c r="AP54" s="23">
        <v>1.0</v>
      </c>
      <c r="AQ54" s="49">
        <f t="shared" si="8"/>
        <v>60</v>
      </c>
    </row>
    <row r="55">
      <c r="A55" s="21">
        <f>'INPUT DAFTAR PESERTA'!A53</f>
        <v>50</v>
      </c>
      <c r="B55" s="21">
        <f>'INPUT DAFTAR PESERTA'!B53</f>
        <v>2509046034</v>
      </c>
      <c r="C55" s="22" t="str">
        <f>'INPUT DAFTAR PESERTA'!C53</f>
        <v>Nilna Fergita Nouriansa</v>
      </c>
      <c r="D55" s="23">
        <v>3.0</v>
      </c>
      <c r="E55" s="23">
        <v>2.0</v>
      </c>
      <c r="F55" s="23">
        <v>2.0</v>
      </c>
      <c r="G55" s="23">
        <v>3.0</v>
      </c>
      <c r="H55" s="48">
        <f t="shared" si="1"/>
        <v>78</v>
      </c>
      <c r="I55" s="23">
        <v>3.0</v>
      </c>
      <c r="J55" s="23">
        <v>3.0</v>
      </c>
      <c r="K55" s="23">
        <v>3.0</v>
      </c>
      <c r="L55" s="23">
        <v>1.0</v>
      </c>
      <c r="M55" s="49">
        <f t="shared" si="2"/>
        <v>60</v>
      </c>
      <c r="N55" s="23">
        <v>3.0</v>
      </c>
      <c r="O55" s="23">
        <v>3.0</v>
      </c>
      <c r="P55" s="23">
        <v>3.0</v>
      </c>
      <c r="Q55" s="23">
        <v>2.0</v>
      </c>
      <c r="R55" s="49">
        <f t="shared" si="3"/>
        <v>75</v>
      </c>
      <c r="S55" s="23">
        <v>3.0</v>
      </c>
      <c r="T55" s="23">
        <v>3.0</v>
      </c>
      <c r="U55" s="23">
        <v>3.0</v>
      </c>
      <c r="V55" s="23">
        <v>1.0</v>
      </c>
      <c r="W55" s="50">
        <f t="shared" si="4"/>
        <v>60</v>
      </c>
      <c r="X55" s="23">
        <v>2.0</v>
      </c>
      <c r="Y55" s="23">
        <v>2.0</v>
      </c>
      <c r="Z55" s="23">
        <v>2.0</v>
      </c>
      <c r="AA55" s="23">
        <v>1.0</v>
      </c>
      <c r="AB55" s="49">
        <f t="shared" si="5"/>
        <v>45</v>
      </c>
      <c r="AC55" s="23">
        <v>3.0</v>
      </c>
      <c r="AD55" s="23">
        <v>3.0</v>
      </c>
      <c r="AE55" s="23">
        <v>3.0</v>
      </c>
      <c r="AF55" s="23">
        <v>2.0</v>
      </c>
      <c r="AG55" s="50">
        <f t="shared" si="6"/>
        <v>75</v>
      </c>
      <c r="AH55" s="23">
        <v>3.0</v>
      </c>
      <c r="AI55" s="23">
        <v>3.0</v>
      </c>
      <c r="AJ55" s="23">
        <v>3.0</v>
      </c>
      <c r="AK55" s="23">
        <v>1.0</v>
      </c>
      <c r="AL55" s="49">
        <f t="shared" si="7"/>
        <v>60</v>
      </c>
      <c r="AM55" s="23">
        <v>3.0</v>
      </c>
      <c r="AN55" s="23">
        <v>3.0</v>
      </c>
      <c r="AO55" s="23">
        <v>3.0</v>
      </c>
      <c r="AP55" s="23">
        <v>1.0</v>
      </c>
      <c r="AQ55" s="49">
        <f t="shared" si="8"/>
        <v>60</v>
      </c>
    </row>
    <row r="56">
      <c r="A56" s="21">
        <f>'INPUT DAFTAR PESERTA'!A54</f>
        <v>51</v>
      </c>
      <c r="B56" s="21">
        <f>'INPUT DAFTAR PESERTA'!B54</f>
        <v>2509046035</v>
      </c>
      <c r="C56" s="22" t="str">
        <f>'INPUT DAFTAR PESERTA'!C54</f>
        <v>Sandi Prakoso</v>
      </c>
      <c r="D56" s="50"/>
      <c r="E56" s="50"/>
      <c r="F56" s="50"/>
      <c r="G56" s="50"/>
      <c r="H56" s="48">
        <f t="shared" si="1"/>
        <v>0</v>
      </c>
      <c r="I56" s="50"/>
      <c r="J56" s="50"/>
      <c r="K56" s="50"/>
      <c r="L56" s="50"/>
      <c r="M56" s="49">
        <f t="shared" si="2"/>
        <v>0</v>
      </c>
      <c r="N56" s="50"/>
      <c r="O56" s="50"/>
      <c r="P56" s="50"/>
      <c r="Q56" s="50"/>
      <c r="R56" s="49">
        <f t="shared" si="3"/>
        <v>0</v>
      </c>
      <c r="S56" s="50"/>
      <c r="T56" s="50"/>
      <c r="U56" s="50"/>
      <c r="V56" s="50"/>
      <c r="W56" s="50">
        <f t="shared" si="4"/>
        <v>0</v>
      </c>
      <c r="X56" s="23">
        <v>1.0</v>
      </c>
      <c r="Y56" s="23">
        <v>1.0</v>
      </c>
      <c r="Z56" s="23">
        <v>1.0</v>
      </c>
      <c r="AA56" s="23">
        <v>1.0</v>
      </c>
      <c r="AB56" s="49">
        <f t="shared" si="5"/>
        <v>30</v>
      </c>
      <c r="AC56" s="50"/>
      <c r="AD56" s="50"/>
      <c r="AE56" s="50"/>
      <c r="AF56" s="50"/>
      <c r="AG56" s="50">
        <f t="shared" si="6"/>
        <v>0</v>
      </c>
      <c r="AH56" s="23">
        <v>3.0</v>
      </c>
      <c r="AI56" s="23">
        <v>3.0</v>
      </c>
      <c r="AJ56" s="23">
        <v>3.0</v>
      </c>
      <c r="AK56" s="23">
        <v>1.0</v>
      </c>
      <c r="AL56" s="49">
        <f t="shared" si="7"/>
        <v>60</v>
      </c>
      <c r="AM56" s="50"/>
      <c r="AN56" s="50"/>
      <c r="AO56" s="50"/>
      <c r="AP56" s="50"/>
      <c r="AQ56" s="49">
        <f t="shared" si="8"/>
        <v>0</v>
      </c>
    </row>
    <row r="57">
      <c r="A57" s="21">
        <f>'INPUT DAFTAR PESERTA'!A55</f>
        <v>52</v>
      </c>
      <c r="B57" s="21">
        <f>'INPUT DAFTAR PESERTA'!B55</f>
        <v>2509046036</v>
      </c>
      <c r="C57" s="22" t="str">
        <f>'INPUT DAFTAR PESERTA'!C55</f>
        <v>Yarasy Ebed Petra Richard Nanuru</v>
      </c>
      <c r="D57" s="50"/>
      <c r="E57" s="50"/>
      <c r="F57" s="50"/>
      <c r="G57" s="50"/>
      <c r="H57" s="48">
        <f t="shared" si="1"/>
        <v>0</v>
      </c>
      <c r="I57" s="50"/>
      <c r="J57" s="50"/>
      <c r="K57" s="50"/>
      <c r="L57" s="50"/>
      <c r="M57" s="49">
        <f t="shared" si="2"/>
        <v>0</v>
      </c>
      <c r="N57" s="50"/>
      <c r="O57" s="50"/>
      <c r="P57" s="50"/>
      <c r="Q57" s="50"/>
      <c r="R57" s="49">
        <f t="shared" si="3"/>
        <v>0</v>
      </c>
      <c r="S57" s="50"/>
      <c r="T57" s="50"/>
      <c r="U57" s="50"/>
      <c r="V57" s="50"/>
      <c r="W57" s="50">
        <f t="shared" si="4"/>
        <v>0</v>
      </c>
      <c r="X57" s="23">
        <v>1.0</v>
      </c>
      <c r="Y57" s="23">
        <v>1.0</v>
      </c>
      <c r="Z57" s="23">
        <v>1.0</v>
      </c>
      <c r="AA57" s="23">
        <v>1.0</v>
      </c>
      <c r="AB57" s="49">
        <f t="shared" si="5"/>
        <v>30</v>
      </c>
      <c r="AC57" s="50"/>
      <c r="AD57" s="50"/>
      <c r="AE57" s="50"/>
      <c r="AF57" s="50"/>
      <c r="AG57" s="50">
        <f t="shared" si="6"/>
        <v>0</v>
      </c>
      <c r="AH57" s="50"/>
      <c r="AI57" s="50"/>
      <c r="AJ57" s="50"/>
      <c r="AK57" s="50"/>
      <c r="AL57" s="49">
        <f t="shared" si="7"/>
        <v>0</v>
      </c>
      <c r="AM57" s="50"/>
      <c r="AN57" s="50"/>
      <c r="AO57" s="50"/>
      <c r="AP57" s="50"/>
      <c r="AQ57" s="49">
        <f t="shared" si="8"/>
        <v>0</v>
      </c>
    </row>
    <row r="58">
      <c r="A58" s="21">
        <f>'INPUT DAFTAR PESERTA'!A56</f>
        <v>53</v>
      </c>
      <c r="B58" s="21">
        <f>'INPUT DAFTAR PESERTA'!B56</f>
        <v>2509046037</v>
      </c>
      <c r="C58" s="22" t="str">
        <f>'INPUT DAFTAR PESERTA'!C56</f>
        <v>Rasya Hanindya Putri</v>
      </c>
      <c r="D58" s="50"/>
      <c r="E58" s="50"/>
      <c r="F58" s="50"/>
      <c r="G58" s="50"/>
      <c r="H58" s="48">
        <f t="shared" si="1"/>
        <v>0</v>
      </c>
      <c r="I58" s="50"/>
      <c r="J58" s="50"/>
      <c r="K58" s="50"/>
      <c r="L58" s="50"/>
      <c r="M58" s="49">
        <f t="shared" si="2"/>
        <v>0</v>
      </c>
      <c r="N58" s="50"/>
      <c r="O58" s="50"/>
      <c r="P58" s="50"/>
      <c r="Q58" s="50"/>
      <c r="R58" s="49">
        <f t="shared" si="3"/>
        <v>0</v>
      </c>
      <c r="S58" s="50"/>
      <c r="T58" s="50"/>
      <c r="U58" s="50"/>
      <c r="V58" s="50"/>
      <c r="W58" s="50">
        <f t="shared" si="4"/>
        <v>0</v>
      </c>
      <c r="X58" s="23">
        <v>1.0</v>
      </c>
      <c r="Y58" s="23">
        <v>1.0</v>
      </c>
      <c r="Z58" s="23">
        <v>1.0</v>
      </c>
      <c r="AA58" s="23">
        <v>1.0</v>
      </c>
      <c r="AB58" s="49">
        <f t="shared" si="5"/>
        <v>30</v>
      </c>
      <c r="AC58" s="23">
        <v>3.0</v>
      </c>
      <c r="AD58" s="23">
        <v>3.0</v>
      </c>
      <c r="AE58" s="23">
        <v>3.0</v>
      </c>
      <c r="AF58" s="23">
        <v>2.0</v>
      </c>
      <c r="AG58" s="50">
        <f t="shared" si="6"/>
        <v>75</v>
      </c>
      <c r="AH58" s="50"/>
      <c r="AI58" s="50"/>
      <c r="AJ58" s="50"/>
      <c r="AK58" s="50"/>
      <c r="AL58" s="49">
        <f t="shared" si="7"/>
        <v>0</v>
      </c>
      <c r="AM58" s="50"/>
      <c r="AN58" s="50"/>
      <c r="AO58" s="50"/>
      <c r="AP58" s="50"/>
      <c r="AQ58" s="49">
        <f t="shared" si="8"/>
        <v>0</v>
      </c>
    </row>
    <row r="59">
      <c r="A59" s="21">
        <f>'INPUT DAFTAR PESERTA'!A57</f>
        <v>54</v>
      </c>
      <c r="B59" s="21">
        <f>'INPUT DAFTAR PESERTA'!B57</f>
        <v>2509046038</v>
      </c>
      <c r="C59" s="22" t="str">
        <f>'INPUT DAFTAR PESERTA'!C57</f>
        <v>Stefania Diah Pramestirehi</v>
      </c>
      <c r="D59" s="23">
        <v>3.0</v>
      </c>
      <c r="E59" s="23">
        <v>3.0</v>
      </c>
      <c r="F59" s="23">
        <v>3.0</v>
      </c>
      <c r="G59" s="23">
        <v>1.0</v>
      </c>
      <c r="H59" s="48">
        <f t="shared" si="1"/>
        <v>60</v>
      </c>
      <c r="I59" s="23">
        <v>2.0</v>
      </c>
      <c r="J59" s="23">
        <v>3.0</v>
      </c>
      <c r="K59" s="23">
        <v>3.0</v>
      </c>
      <c r="L59" s="23">
        <v>3.0</v>
      </c>
      <c r="M59" s="49">
        <f t="shared" si="2"/>
        <v>87</v>
      </c>
      <c r="N59" s="23">
        <v>3.0</v>
      </c>
      <c r="O59" s="23">
        <v>3.0</v>
      </c>
      <c r="P59" s="23">
        <v>3.0</v>
      </c>
      <c r="Q59" s="23">
        <v>1.0</v>
      </c>
      <c r="R59" s="49">
        <f t="shared" si="3"/>
        <v>60</v>
      </c>
      <c r="S59" s="23">
        <v>3.0</v>
      </c>
      <c r="T59" s="23">
        <v>3.0</v>
      </c>
      <c r="U59" s="23">
        <v>3.0</v>
      </c>
      <c r="V59" s="23">
        <v>3.0</v>
      </c>
      <c r="W59" s="50">
        <f t="shared" si="4"/>
        <v>90</v>
      </c>
      <c r="X59" s="23">
        <v>2.0</v>
      </c>
      <c r="Y59" s="23">
        <v>2.0</v>
      </c>
      <c r="Z59" s="23">
        <v>2.0</v>
      </c>
      <c r="AA59" s="23">
        <v>3.0</v>
      </c>
      <c r="AB59" s="49">
        <f t="shared" si="5"/>
        <v>75</v>
      </c>
      <c r="AC59" s="23">
        <v>3.0</v>
      </c>
      <c r="AD59" s="23">
        <v>3.0</v>
      </c>
      <c r="AE59" s="23">
        <v>3.0</v>
      </c>
      <c r="AF59" s="23">
        <v>2.0</v>
      </c>
      <c r="AG59" s="50">
        <f t="shared" si="6"/>
        <v>75</v>
      </c>
      <c r="AH59" s="23">
        <v>2.0</v>
      </c>
      <c r="AI59" s="23">
        <v>3.0</v>
      </c>
      <c r="AJ59" s="23">
        <v>3.0</v>
      </c>
      <c r="AK59" s="23">
        <v>1.0</v>
      </c>
      <c r="AL59" s="49">
        <f t="shared" si="7"/>
        <v>57</v>
      </c>
      <c r="AM59" s="23">
        <v>2.0</v>
      </c>
      <c r="AN59" s="23">
        <v>3.0</v>
      </c>
      <c r="AO59" s="23">
        <v>3.0</v>
      </c>
      <c r="AP59" s="23">
        <v>1.0</v>
      </c>
      <c r="AQ59" s="49">
        <f t="shared" si="8"/>
        <v>57</v>
      </c>
    </row>
    <row r="60">
      <c r="A60" s="21">
        <f>'INPUT DAFTAR PESERTA'!A58</f>
        <v>55</v>
      </c>
      <c r="B60" s="21">
        <f>'INPUT DAFTAR PESERTA'!B58</f>
        <v>2509046039</v>
      </c>
      <c r="C60" s="22" t="str">
        <f>'INPUT DAFTAR PESERTA'!C58</f>
        <v>Azarina Azzahra</v>
      </c>
      <c r="D60" s="23">
        <v>3.0</v>
      </c>
      <c r="E60" s="23">
        <v>3.0</v>
      </c>
      <c r="F60" s="23">
        <v>3.0</v>
      </c>
      <c r="G60" s="23">
        <v>3.0</v>
      </c>
      <c r="H60" s="48">
        <f t="shared" si="1"/>
        <v>90</v>
      </c>
      <c r="I60" s="23">
        <v>2.0</v>
      </c>
      <c r="J60" s="23">
        <v>3.0</v>
      </c>
      <c r="K60" s="23">
        <v>3.0</v>
      </c>
      <c r="L60" s="23">
        <v>3.0</v>
      </c>
      <c r="M60" s="49">
        <f t="shared" si="2"/>
        <v>87</v>
      </c>
      <c r="N60" s="23">
        <v>3.0</v>
      </c>
      <c r="O60" s="23">
        <v>3.0</v>
      </c>
      <c r="P60" s="23">
        <v>3.0</v>
      </c>
      <c r="Q60" s="23">
        <v>3.0</v>
      </c>
      <c r="R60" s="49">
        <f t="shared" si="3"/>
        <v>90</v>
      </c>
      <c r="S60" s="23">
        <v>3.0</v>
      </c>
      <c r="T60" s="23">
        <v>3.0</v>
      </c>
      <c r="U60" s="23">
        <v>3.0</v>
      </c>
      <c r="V60" s="23">
        <v>3.0</v>
      </c>
      <c r="W60" s="50">
        <f t="shared" si="4"/>
        <v>90</v>
      </c>
      <c r="X60" s="23">
        <v>2.0</v>
      </c>
      <c r="Y60" s="23">
        <v>2.0</v>
      </c>
      <c r="Z60" s="23">
        <v>2.0</v>
      </c>
      <c r="AA60" s="23">
        <v>3.0</v>
      </c>
      <c r="AB60" s="49">
        <f t="shared" si="5"/>
        <v>75</v>
      </c>
      <c r="AC60" s="23">
        <v>3.0</v>
      </c>
      <c r="AD60" s="23">
        <v>3.0</v>
      </c>
      <c r="AE60" s="23">
        <v>3.0</v>
      </c>
      <c r="AF60" s="23">
        <v>2.0</v>
      </c>
      <c r="AG60" s="50">
        <f t="shared" si="6"/>
        <v>75</v>
      </c>
      <c r="AH60" s="23">
        <v>2.0</v>
      </c>
      <c r="AI60" s="23">
        <v>3.0</v>
      </c>
      <c r="AJ60" s="23">
        <v>2.0</v>
      </c>
      <c r="AK60" s="23">
        <v>2.0</v>
      </c>
      <c r="AL60" s="49">
        <f t="shared" si="7"/>
        <v>66</v>
      </c>
      <c r="AM60" s="23">
        <v>3.0</v>
      </c>
      <c r="AN60" s="23">
        <v>3.0</v>
      </c>
      <c r="AO60" s="23">
        <v>3.0</v>
      </c>
      <c r="AP60" s="23">
        <v>3.0</v>
      </c>
      <c r="AQ60" s="49">
        <f t="shared" si="8"/>
        <v>90</v>
      </c>
    </row>
    <row r="61">
      <c r="A61" s="21">
        <f>'INPUT DAFTAR PESERTA'!A59</f>
        <v>56</v>
      </c>
      <c r="B61" s="21">
        <f>'INPUT DAFTAR PESERTA'!B59</f>
        <v>2509046040</v>
      </c>
      <c r="C61" s="22" t="str">
        <f>'INPUT DAFTAR PESERTA'!C59</f>
        <v>Muhammad Bintang Anugrah</v>
      </c>
      <c r="D61" s="23">
        <v>3.0</v>
      </c>
      <c r="E61" s="23">
        <v>3.0</v>
      </c>
      <c r="F61" s="23">
        <v>3.0</v>
      </c>
      <c r="G61" s="23">
        <v>3.0</v>
      </c>
      <c r="H61" s="48">
        <f t="shared" si="1"/>
        <v>90</v>
      </c>
      <c r="I61" s="23">
        <v>3.0</v>
      </c>
      <c r="J61" s="23">
        <v>3.0</v>
      </c>
      <c r="K61" s="23">
        <v>3.0</v>
      </c>
      <c r="L61" s="23">
        <v>3.0</v>
      </c>
      <c r="M61" s="49">
        <f t="shared" si="2"/>
        <v>90</v>
      </c>
      <c r="N61" s="23">
        <v>2.0</v>
      </c>
      <c r="O61" s="23">
        <v>3.0</v>
      </c>
      <c r="P61" s="23">
        <v>3.0</v>
      </c>
      <c r="Q61" s="23">
        <v>2.0</v>
      </c>
      <c r="R61" s="49">
        <f t="shared" si="3"/>
        <v>72</v>
      </c>
      <c r="S61" s="23">
        <v>3.0</v>
      </c>
      <c r="T61" s="23">
        <v>3.0</v>
      </c>
      <c r="U61" s="23">
        <v>3.0</v>
      </c>
      <c r="V61" s="23">
        <v>3.0</v>
      </c>
      <c r="W61" s="50">
        <f t="shared" si="4"/>
        <v>90</v>
      </c>
      <c r="X61" s="23">
        <v>2.0</v>
      </c>
      <c r="Y61" s="23">
        <v>2.0</v>
      </c>
      <c r="Z61" s="23">
        <v>2.0</v>
      </c>
      <c r="AA61" s="23">
        <v>3.0</v>
      </c>
      <c r="AB61" s="49">
        <f t="shared" si="5"/>
        <v>75</v>
      </c>
      <c r="AC61" s="23">
        <v>3.0</v>
      </c>
      <c r="AD61" s="23">
        <v>3.0</v>
      </c>
      <c r="AE61" s="23">
        <v>3.0</v>
      </c>
      <c r="AF61" s="23">
        <v>2.0</v>
      </c>
      <c r="AG61" s="50">
        <f t="shared" si="6"/>
        <v>75</v>
      </c>
      <c r="AH61" s="23">
        <v>2.0</v>
      </c>
      <c r="AI61" s="23">
        <v>2.0</v>
      </c>
      <c r="AJ61" s="23">
        <v>3.0</v>
      </c>
      <c r="AK61" s="23">
        <v>3.0</v>
      </c>
      <c r="AL61" s="49">
        <f t="shared" si="7"/>
        <v>81</v>
      </c>
      <c r="AM61" s="23">
        <v>3.0</v>
      </c>
      <c r="AN61" s="23">
        <v>3.0</v>
      </c>
      <c r="AO61" s="23">
        <v>3.0</v>
      </c>
      <c r="AP61" s="23">
        <v>1.0</v>
      </c>
      <c r="AQ61" s="49">
        <f t="shared" si="8"/>
        <v>60</v>
      </c>
    </row>
    <row r="62">
      <c r="A62" s="21">
        <f>'INPUT DAFTAR PESERTA'!A60</f>
        <v>57</v>
      </c>
      <c r="B62" s="21">
        <f>'INPUT DAFTAR PESERTA'!B60</f>
        <v>2509046041</v>
      </c>
      <c r="C62" s="22" t="str">
        <f>'INPUT DAFTAR PESERTA'!C60</f>
        <v>Marcel Rizky Indrawan</v>
      </c>
      <c r="D62" s="23">
        <v>3.0</v>
      </c>
      <c r="E62" s="23">
        <v>3.0</v>
      </c>
      <c r="F62" s="23">
        <v>3.0</v>
      </c>
      <c r="G62" s="23">
        <v>1.0</v>
      </c>
      <c r="H62" s="48">
        <f t="shared" si="1"/>
        <v>60</v>
      </c>
      <c r="I62" s="23">
        <v>3.0</v>
      </c>
      <c r="J62" s="23">
        <v>3.0</v>
      </c>
      <c r="K62" s="23">
        <v>3.0</v>
      </c>
      <c r="L62" s="23">
        <v>1.0</v>
      </c>
      <c r="M62" s="49">
        <f t="shared" si="2"/>
        <v>60</v>
      </c>
      <c r="N62" s="23">
        <v>2.0</v>
      </c>
      <c r="O62" s="23">
        <v>3.0</v>
      </c>
      <c r="P62" s="23">
        <v>3.0</v>
      </c>
      <c r="Q62" s="23">
        <v>1.0</v>
      </c>
      <c r="R62" s="49">
        <f t="shared" si="3"/>
        <v>57</v>
      </c>
      <c r="S62" s="23">
        <v>2.0</v>
      </c>
      <c r="T62" s="23">
        <v>3.0</v>
      </c>
      <c r="U62" s="23">
        <v>3.0</v>
      </c>
      <c r="V62" s="23">
        <v>3.0</v>
      </c>
      <c r="W62" s="50">
        <f t="shared" si="4"/>
        <v>87</v>
      </c>
      <c r="X62" s="23">
        <v>2.0</v>
      </c>
      <c r="Y62" s="23">
        <v>2.0</v>
      </c>
      <c r="Z62" s="23">
        <v>2.0</v>
      </c>
      <c r="AA62" s="23">
        <v>1.0</v>
      </c>
      <c r="AB62" s="49">
        <f t="shared" si="5"/>
        <v>45</v>
      </c>
      <c r="AC62" s="23">
        <v>3.0</v>
      </c>
      <c r="AD62" s="23">
        <v>2.0</v>
      </c>
      <c r="AE62" s="23">
        <v>2.0</v>
      </c>
      <c r="AF62" s="23">
        <v>2.0</v>
      </c>
      <c r="AG62" s="50">
        <f t="shared" si="6"/>
        <v>63</v>
      </c>
      <c r="AH62" s="23">
        <v>2.0</v>
      </c>
      <c r="AI62" s="23">
        <v>2.0</v>
      </c>
      <c r="AJ62" s="23">
        <v>3.0</v>
      </c>
      <c r="AK62" s="23">
        <v>1.0</v>
      </c>
      <c r="AL62" s="49">
        <f t="shared" si="7"/>
        <v>51</v>
      </c>
      <c r="AM62" s="23">
        <v>3.0</v>
      </c>
      <c r="AN62" s="23">
        <v>3.0</v>
      </c>
      <c r="AO62" s="23">
        <v>3.0</v>
      </c>
      <c r="AP62" s="23">
        <v>1.0</v>
      </c>
      <c r="AQ62" s="49">
        <f t="shared" si="8"/>
        <v>60</v>
      </c>
    </row>
    <row r="63">
      <c r="A63" s="21">
        <f>'INPUT DAFTAR PESERTA'!A61</f>
        <v>58</v>
      </c>
      <c r="B63" s="21">
        <f>'INPUT DAFTAR PESERTA'!B61</f>
        <v>2509046042</v>
      </c>
      <c r="C63" s="22" t="str">
        <f>'INPUT DAFTAR PESERTA'!C61</f>
        <v>Mega Dwi Eriyanti</v>
      </c>
      <c r="D63" s="23">
        <v>3.0</v>
      </c>
      <c r="E63" s="23">
        <v>3.0</v>
      </c>
      <c r="F63" s="23">
        <v>3.0</v>
      </c>
      <c r="G63" s="23">
        <v>3.0</v>
      </c>
      <c r="H63" s="48">
        <f t="shared" si="1"/>
        <v>90</v>
      </c>
      <c r="I63" s="23">
        <v>3.0</v>
      </c>
      <c r="J63" s="23">
        <v>3.0</v>
      </c>
      <c r="K63" s="23">
        <v>3.0</v>
      </c>
      <c r="L63" s="23">
        <v>3.0</v>
      </c>
      <c r="M63" s="49">
        <f t="shared" si="2"/>
        <v>90</v>
      </c>
      <c r="N63" s="23">
        <v>3.0</v>
      </c>
      <c r="O63" s="23">
        <v>3.0</v>
      </c>
      <c r="P63" s="23">
        <v>3.0</v>
      </c>
      <c r="Q63" s="23">
        <v>3.0</v>
      </c>
      <c r="R63" s="49">
        <f t="shared" si="3"/>
        <v>90</v>
      </c>
      <c r="S63" s="23">
        <v>3.0</v>
      </c>
      <c r="T63" s="23">
        <v>3.0</v>
      </c>
      <c r="U63" s="23">
        <v>3.0</v>
      </c>
      <c r="V63" s="23">
        <v>3.0</v>
      </c>
      <c r="W63" s="50">
        <f t="shared" si="4"/>
        <v>90</v>
      </c>
      <c r="X63" s="23">
        <v>2.0</v>
      </c>
      <c r="Y63" s="23">
        <v>2.0</v>
      </c>
      <c r="Z63" s="23">
        <v>2.0</v>
      </c>
      <c r="AA63" s="23">
        <v>3.0</v>
      </c>
      <c r="AB63" s="49">
        <f t="shared" si="5"/>
        <v>75</v>
      </c>
      <c r="AC63" s="23">
        <v>3.0</v>
      </c>
      <c r="AD63" s="23">
        <v>2.0</v>
      </c>
      <c r="AE63" s="23">
        <v>2.0</v>
      </c>
      <c r="AF63" s="23">
        <v>2.0</v>
      </c>
      <c r="AG63" s="50">
        <f t="shared" si="6"/>
        <v>63</v>
      </c>
      <c r="AH63" s="23">
        <v>2.0</v>
      </c>
      <c r="AI63" s="23">
        <v>2.0</v>
      </c>
      <c r="AJ63" s="23">
        <v>3.0</v>
      </c>
      <c r="AK63" s="23">
        <v>2.0</v>
      </c>
      <c r="AL63" s="49">
        <f t="shared" si="7"/>
        <v>66</v>
      </c>
      <c r="AM63" s="23">
        <v>3.0</v>
      </c>
      <c r="AN63" s="23">
        <v>3.0</v>
      </c>
      <c r="AO63" s="23">
        <v>3.0</v>
      </c>
      <c r="AP63" s="23">
        <v>2.0</v>
      </c>
      <c r="AQ63" s="49">
        <f t="shared" si="8"/>
        <v>75</v>
      </c>
    </row>
    <row r="64">
      <c r="A64" s="21">
        <f>'INPUT DAFTAR PESERTA'!A62</f>
        <v>59</v>
      </c>
      <c r="B64" s="21">
        <f>'INPUT DAFTAR PESERTA'!B62</f>
        <v>2509046043</v>
      </c>
      <c r="C64" s="22" t="str">
        <f>'INPUT DAFTAR PESERTA'!C62</f>
        <v>Jessen Jeremi Sinaga</v>
      </c>
      <c r="D64" s="50"/>
      <c r="E64" s="50"/>
      <c r="F64" s="50"/>
      <c r="G64" s="50"/>
      <c r="H64" s="48">
        <f t="shared" si="1"/>
        <v>0</v>
      </c>
      <c r="I64" s="50"/>
      <c r="J64" s="50"/>
      <c r="K64" s="50"/>
      <c r="L64" s="50"/>
      <c r="M64" s="49">
        <f t="shared" si="2"/>
        <v>0</v>
      </c>
      <c r="N64" s="50"/>
      <c r="O64" s="50"/>
      <c r="P64" s="50"/>
      <c r="Q64" s="50"/>
      <c r="R64" s="49">
        <f t="shared" si="3"/>
        <v>0</v>
      </c>
      <c r="S64" s="50"/>
      <c r="T64" s="50"/>
      <c r="U64" s="50"/>
      <c r="V64" s="50"/>
      <c r="W64" s="50">
        <f t="shared" si="4"/>
        <v>0</v>
      </c>
      <c r="X64" s="23">
        <v>1.0</v>
      </c>
      <c r="Y64" s="23">
        <v>1.0</v>
      </c>
      <c r="Z64" s="23">
        <v>1.0</v>
      </c>
      <c r="AA64" s="23">
        <v>1.0</v>
      </c>
      <c r="AB64" s="49">
        <f t="shared" si="5"/>
        <v>30</v>
      </c>
      <c r="AC64" s="50"/>
      <c r="AD64" s="50"/>
      <c r="AE64" s="50"/>
      <c r="AF64" s="50"/>
      <c r="AG64" s="50">
        <f t="shared" si="6"/>
        <v>0</v>
      </c>
      <c r="AH64" s="50"/>
      <c r="AI64" s="50"/>
      <c r="AJ64" s="50"/>
      <c r="AK64" s="50"/>
      <c r="AL64" s="49">
        <f t="shared" si="7"/>
        <v>0</v>
      </c>
      <c r="AM64" s="50"/>
      <c r="AN64" s="50"/>
      <c r="AO64" s="50"/>
      <c r="AP64" s="50"/>
      <c r="AQ64" s="49">
        <f t="shared" si="8"/>
        <v>0</v>
      </c>
    </row>
    <row r="65">
      <c r="A65" s="21">
        <f>'INPUT DAFTAR PESERTA'!A63</f>
        <v>60</v>
      </c>
      <c r="B65" s="21">
        <f>'INPUT DAFTAR PESERTA'!B63</f>
        <v>2509046044</v>
      </c>
      <c r="C65" s="22" t="str">
        <f>'INPUT DAFTAR PESERTA'!C63</f>
        <v>Mohammad Bagus Leo Widiantara</v>
      </c>
      <c r="D65" s="50"/>
      <c r="E65" s="50"/>
      <c r="F65" s="50"/>
      <c r="G65" s="50"/>
      <c r="H65" s="48">
        <f t="shared" si="1"/>
        <v>0</v>
      </c>
      <c r="I65" s="50"/>
      <c r="J65" s="50"/>
      <c r="K65" s="50"/>
      <c r="L65" s="50"/>
      <c r="M65" s="49">
        <f t="shared" si="2"/>
        <v>0</v>
      </c>
      <c r="N65" s="50"/>
      <c r="O65" s="50"/>
      <c r="P65" s="50"/>
      <c r="Q65" s="50"/>
      <c r="R65" s="49">
        <f t="shared" si="3"/>
        <v>0</v>
      </c>
      <c r="S65" s="50"/>
      <c r="T65" s="50"/>
      <c r="U65" s="50"/>
      <c r="V65" s="50"/>
      <c r="W65" s="50">
        <f t="shared" si="4"/>
        <v>0</v>
      </c>
      <c r="X65" s="23">
        <v>1.0</v>
      </c>
      <c r="Y65" s="23">
        <v>1.0</v>
      </c>
      <c r="Z65" s="23">
        <v>1.0</v>
      </c>
      <c r="AA65" s="23">
        <v>1.0</v>
      </c>
      <c r="AB65" s="49">
        <f t="shared" si="5"/>
        <v>30</v>
      </c>
      <c r="AC65" s="50"/>
      <c r="AD65" s="50"/>
      <c r="AE65" s="50"/>
      <c r="AF65" s="50"/>
      <c r="AG65" s="50">
        <f t="shared" si="6"/>
        <v>0</v>
      </c>
      <c r="AH65" s="50"/>
      <c r="AI65" s="50"/>
      <c r="AJ65" s="50"/>
      <c r="AK65" s="50"/>
      <c r="AL65" s="49">
        <f t="shared" si="7"/>
        <v>0</v>
      </c>
      <c r="AM65" s="50"/>
      <c r="AN65" s="50"/>
      <c r="AO65" s="50"/>
      <c r="AP65" s="50"/>
      <c r="AQ65" s="49">
        <f t="shared" si="8"/>
        <v>0</v>
      </c>
    </row>
    <row r="66">
      <c r="A66" s="21">
        <f>'INPUT DAFTAR PESERTA'!A64</f>
        <v>61</v>
      </c>
      <c r="B66" s="21">
        <f>'INPUT DAFTAR PESERTA'!B64</f>
        <v>2509046045</v>
      </c>
      <c r="C66" s="22" t="str">
        <f>'INPUT DAFTAR PESERTA'!C64</f>
        <v>Najwa Aliffah Falah</v>
      </c>
      <c r="D66" s="50"/>
      <c r="E66" s="50"/>
      <c r="F66" s="50"/>
      <c r="G66" s="50"/>
      <c r="H66" s="48">
        <f t="shared" si="1"/>
        <v>0</v>
      </c>
      <c r="I66" s="50"/>
      <c r="J66" s="50"/>
      <c r="K66" s="50"/>
      <c r="L66" s="50"/>
      <c r="M66" s="49">
        <f t="shared" si="2"/>
        <v>0</v>
      </c>
      <c r="N66" s="50"/>
      <c r="O66" s="50"/>
      <c r="P66" s="50"/>
      <c r="Q66" s="50"/>
      <c r="R66" s="49">
        <f t="shared" si="3"/>
        <v>0</v>
      </c>
      <c r="S66" s="50"/>
      <c r="T66" s="50"/>
      <c r="U66" s="50"/>
      <c r="V66" s="50"/>
      <c r="W66" s="50">
        <f t="shared" si="4"/>
        <v>0</v>
      </c>
      <c r="X66" s="23">
        <v>1.0</v>
      </c>
      <c r="Y66" s="23">
        <v>1.0</v>
      </c>
      <c r="Z66" s="23">
        <v>1.0</v>
      </c>
      <c r="AA66" s="23">
        <v>1.0</v>
      </c>
      <c r="AB66" s="49">
        <f t="shared" si="5"/>
        <v>30</v>
      </c>
      <c r="AC66" s="50"/>
      <c r="AD66" s="50"/>
      <c r="AE66" s="50"/>
      <c r="AF66" s="50"/>
      <c r="AG66" s="50">
        <f t="shared" si="6"/>
        <v>0</v>
      </c>
      <c r="AH66" s="50"/>
      <c r="AI66" s="50"/>
      <c r="AJ66" s="50"/>
      <c r="AK66" s="50"/>
      <c r="AL66" s="49">
        <f t="shared" si="7"/>
        <v>0</v>
      </c>
      <c r="AM66" s="50"/>
      <c r="AN66" s="50"/>
      <c r="AO66" s="50"/>
      <c r="AP66" s="50"/>
      <c r="AQ66" s="49">
        <f t="shared" si="8"/>
        <v>0</v>
      </c>
    </row>
    <row r="67">
      <c r="A67" s="21">
        <f>'INPUT DAFTAR PESERTA'!A65</f>
        <v>62</v>
      </c>
      <c r="B67" s="21">
        <f>'INPUT DAFTAR PESERTA'!B65</f>
        <v>2509046046</v>
      </c>
      <c r="C67" s="22" t="str">
        <f>'INPUT DAFTAR PESERTA'!C65</f>
        <v>Jezlhine Suretno</v>
      </c>
      <c r="D67" s="50"/>
      <c r="E67" s="50"/>
      <c r="F67" s="50"/>
      <c r="G67" s="50"/>
      <c r="H67" s="48">
        <f t="shared" si="1"/>
        <v>0</v>
      </c>
      <c r="I67" s="23">
        <v>2.0</v>
      </c>
      <c r="J67" s="23">
        <v>2.0</v>
      </c>
      <c r="K67" s="23">
        <v>1.0</v>
      </c>
      <c r="L67" s="23">
        <v>1.0</v>
      </c>
      <c r="M67" s="49">
        <f t="shared" si="2"/>
        <v>39</v>
      </c>
      <c r="N67" s="23">
        <v>3.0</v>
      </c>
      <c r="O67" s="23">
        <v>3.0</v>
      </c>
      <c r="P67" s="23">
        <v>3.0</v>
      </c>
      <c r="Q67" s="23">
        <v>1.0</v>
      </c>
      <c r="R67" s="49">
        <f t="shared" si="3"/>
        <v>60</v>
      </c>
      <c r="S67" s="23">
        <v>2.0</v>
      </c>
      <c r="T67" s="23">
        <v>3.0</v>
      </c>
      <c r="U67" s="23">
        <v>3.0</v>
      </c>
      <c r="V67" s="23">
        <v>1.0</v>
      </c>
      <c r="W67" s="50">
        <f t="shared" si="4"/>
        <v>57</v>
      </c>
      <c r="X67" s="23">
        <v>3.0</v>
      </c>
      <c r="Y67" s="23">
        <v>2.0</v>
      </c>
      <c r="Z67" s="23">
        <v>2.0</v>
      </c>
      <c r="AA67" s="23">
        <v>1.0</v>
      </c>
      <c r="AB67" s="49">
        <f t="shared" si="5"/>
        <v>48</v>
      </c>
      <c r="AC67" s="23">
        <v>3.0</v>
      </c>
      <c r="AD67" s="23">
        <v>3.0</v>
      </c>
      <c r="AE67" s="23">
        <v>2.0</v>
      </c>
      <c r="AF67" s="23">
        <v>2.0</v>
      </c>
      <c r="AG67" s="50">
        <f t="shared" si="6"/>
        <v>69</v>
      </c>
      <c r="AH67" s="23">
        <v>2.0</v>
      </c>
      <c r="AI67" s="23">
        <v>3.0</v>
      </c>
      <c r="AJ67" s="23">
        <v>3.0</v>
      </c>
      <c r="AK67" s="23">
        <v>2.0</v>
      </c>
      <c r="AL67" s="49">
        <f t="shared" si="7"/>
        <v>72</v>
      </c>
      <c r="AM67" s="23">
        <v>3.0</v>
      </c>
      <c r="AN67" s="23">
        <v>3.0</v>
      </c>
      <c r="AO67" s="23">
        <v>3.0</v>
      </c>
      <c r="AP67" s="23">
        <v>3.0</v>
      </c>
      <c r="AQ67" s="49">
        <f t="shared" si="8"/>
        <v>90</v>
      </c>
    </row>
    <row r="68">
      <c r="A68" s="21">
        <f>'INPUT DAFTAR PESERTA'!A66</f>
        <v>63</v>
      </c>
      <c r="B68" s="21">
        <f>'INPUT DAFTAR PESERTA'!B66</f>
        <v>2509046047</v>
      </c>
      <c r="C68" s="22" t="str">
        <f>'INPUT DAFTAR PESERTA'!C66</f>
        <v>Gideon Giorgy Aipassa</v>
      </c>
      <c r="D68" s="23">
        <v>3.0</v>
      </c>
      <c r="E68" s="23">
        <v>3.0</v>
      </c>
      <c r="F68" s="23">
        <v>3.0</v>
      </c>
      <c r="G68" s="23">
        <v>1.0</v>
      </c>
      <c r="H68" s="48">
        <f t="shared" si="1"/>
        <v>60</v>
      </c>
      <c r="I68" s="23">
        <v>1.0</v>
      </c>
      <c r="J68" s="23">
        <v>1.0</v>
      </c>
      <c r="K68" s="23">
        <v>1.0</v>
      </c>
      <c r="L68" s="23">
        <v>1.0</v>
      </c>
      <c r="M68" s="49">
        <f t="shared" si="2"/>
        <v>30</v>
      </c>
      <c r="N68" s="23">
        <v>3.0</v>
      </c>
      <c r="O68" s="23">
        <v>3.0</v>
      </c>
      <c r="P68" s="23">
        <v>3.0</v>
      </c>
      <c r="Q68" s="23"/>
      <c r="R68" s="49">
        <f t="shared" si="3"/>
        <v>45</v>
      </c>
      <c r="S68" s="23">
        <v>2.0</v>
      </c>
      <c r="T68" s="23">
        <v>3.0</v>
      </c>
      <c r="U68" s="23">
        <v>3.0</v>
      </c>
      <c r="V68" s="23">
        <v>1.0</v>
      </c>
      <c r="W68" s="50">
        <f t="shared" si="4"/>
        <v>57</v>
      </c>
      <c r="X68" s="23">
        <v>3.0</v>
      </c>
      <c r="Y68" s="23">
        <v>2.0</v>
      </c>
      <c r="Z68" s="23">
        <v>2.0</v>
      </c>
      <c r="AA68" s="23">
        <v>1.0</v>
      </c>
      <c r="AB68" s="49">
        <f t="shared" si="5"/>
        <v>48</v>
      </c>
      <c r="AC68" s="23">
        <v>3.0</v>
      </c>
      <c r="AD68" s="23">
        <v>2.0</v>
      </c>
      <c r="AE68" s="23">
        <v>2.0</v>
      </c>
      <c r="AF68" s="23">
        <v>2.0</v>
      </c>
      <c r="AG68" s="50">
        <f t="shared" si="6"/>
        <v>63</v>
      </c>
      <c r="AH68" s="23">
        <v>2.0</v>
      </c>
      <c r="AI68" s="23">
        <v>2.0</v>
      </c>
      <c r="AJ68" s="23">
        <v>2.0</v>
      </c>
      <c r="AK68" s="23">
        <v>2.0</v>
      </c>
      <c r="AL68" s="49">
        <f t="shared" si="7"/>
        <v>60</v>
      </c>
      <c r="AM68" s="23">
        <v>2.0</v>
      </c>
      <c r="AN68" s="23">
        <v>3.0</v>
      </c>
      <c r="AO68" s="23">
        <v>3.0</v>
      </c>
      <c r="AP68" s="23">
        <v>1.0</v>
      </c>
      <c r="AQ68" s="49">
        <f t="shared" si="8"/>
        <v>57</v>
      </c>
    </row>
    <row r="69">
      <c r="A69" s="21">
        <f>'INPUT DAFTAR PESERTA'!A67</f>
        <v>64</v>
      </c>
      <c r="B69" s="21">
        <f>'INPUT DAFTAR PESERTA'!B67</f>
        <v>2509046048</v>
      </c>
      <c r="C69" s="22" t="str">
        <f>'INPUT DAFTAR PESERTA'!C67</f>
        <v>Talitha Kayana Nugroho</v>
      </c>
      <c r="D69" s="23">
        <v>3.0</v>
      </c>
      <c r="E69" s="23">
        <v>2.0</v>
      </c>
      <c r="F69" s="23">
        <v>3.0</v>
      </c>
      <c r="G69" s="23">
        <v>3.0</v>
      </c>
      <c r="H69" s="48">
        <f t="shared" si="1"/>
        <v>84</v>
      </c>
      <c r="I69" s="23">
        <v>3.0</v>
      </c>
      <c r="J69" s="23">
        <v>3.0</v>
      </c>
      <c r="K69" s="23">
        <v>3.0</v>
      </c>
      <c r="L69" s="23">
        <v>1.0</v>
      </c>
      <c r="M69" s="49">
        <f t="shared" si="2"/>
        <v>60</v>
      </c>
      <c r="N69" s="23">
        <v>2.0</v>
      </c>
      <c r="O69" s="23">
        <v>3.0</v>
      </c>
      <c r="P69" s="23">
        <v>3.0</v>
      </c>
      <c r="Q69" s="23">
        <v>2.0</v>
      </c>
      <c r="R69" s="49">
        <f t="shared" si="3"/>
        <v>72</v>
      </c>
      <c r="S69" s="23">
        <v>3.0</v>
      </c>
      <c r="T69" s="23">
        <v>3.0</v>
      </c>
      <c r="U69" s="23">
        <v>3.0</v>
      </c>
      <c r="V69" s="23">
        <v>2.0</v>
      </c>
      <c r="W69" s="50">
        <f t="shared" si="4"/>
        <v>75</v>
      </c>
      <c r="X69" s="23">
        <v>3.0</v>
      </c>
      <c r="Y69" s="23">
        <v>2.0</v>
      </c>
      <c r="Z69" s="23">
        <v>2.0</v>
      </c>
      <c r="AA69" s="23">
        <v>3.0</v>
      </c>
      <c r="AB69" s="49">
        <f t="shared" si="5"/>
        <v>78</v>
      </c>
      <c r="AC69" s="50"/>
      <c r="AD69" s="50"/>
      <c r="AE69" s="50"/>
      <c r="AF69" s="50"/>
      <c r="AG69" s="50">
        <f t="shared" si="6"/>
        <v>0</v>
      </c>
      <c r="AH69" s="23">
        <v>2.0</v>
      </c>
      <c r="AI69" s="23">
        <v>3.0</v>
      </c>
      <c r="AJ69" s="23">
        <v>3.0</v>
      </c>
      <c r="AK69" s="23">
        <v>1.0</v>
      </c>
      <c r="AL69" s="49">
        <f t="shared" si="7"/>
        <v>57</v>
      </c>
      <c r="AM69" s="23">
        <v>2.0</v>
      </c>
      <c r="AN69" s="23">
        <v>2.0</v>
      </c>
      <c r="AO69" s="23">
        <v>2.0</v>
      </c>
      <c r="AP69" s="23">
        <v>1.0</v>
      </c>
      <c r="AQ69" s="49">
        <f t="shared" si="8"/>
        <v>45</v>
      </c>
    </row>
    <row r="70">
      <c r="A70" s="21">
        <f>'INPUT DAFTAR PESERTA'!A68</f>
        <v>65</v>
      </c>
      <c r="B70" s="21">
        <f>'INPUT DAFTAR PESERTA'!B68</f>
        <v>2509046049</v>
      </c>
      <c r="C70" s="22" t="str">
        <f>'INPUT DAFTAR PESERTA'!C68</f>
        <v>Josef Alexandro Wijaya Kusuma</v>
      </c>
      <c r="D70" s="50"/>
      <c r="E70" s="50"/>
      <c r="F70" s="50"/>
      <c r="G70" s="50"/>
      <c r="H70" s="48">
        <f t="shared" si="1"/>
        <v>0</v>
      </c>
      <c r="I70" s="50"/>
      <c r="J70" s="50"/>
      <c r="K70" s="50"/>
      <c r="L70" s="50"/>
      <c r="M70" s="49">
        <f t="shared" si="2"/>
        <v>0</v>
      </c>
      <c r="N70" s="50"/>
      <c r="O70" s="50"/>
      <c r="P70" s="50"/>
      <c r="Q70" s="50"/>
      <c r="R70" s="49">
        <f t="shared" si="3"/>
        <v>0</v>
      </c>
      <c r="S70" s="50"/>
      <c r="T70" s="50"/>
      <c r="U70" s="50"/>
      <c r="V70" s="50"/>
      <c r="W70" s="50">
        <f t="shared" si="4"/>
        <v>0</v>
      </c>
      <c r="X70" s="23">
        <v>1.0</v>
      </c>
      <c r="Y70" s="23">
        <v>1.0</v>
      </c>
      <c r="Z70" s="23">
        <v>1.0</v>
      </c>
      <c r="AA70" s="23">
        <v>1.0</v>
      </c>
      <c r="AB70" s="49">
        <f t="shared" si="5"/>
        <v>30</v>
      </c>
      <c r="AC70" s="50"/>
      <c r="AD70" s="50"/>
      <c r="AE70" s="50"/>
      <c r="AF70" s="50"/>
      <c r="AG70" s="50">
        <f t="shared" si="6"/>
        <v>0</v>
      </c>
      <c r="AH70" s="50"/>
      <c r="AI70" s="50"/>
      <c r="AJ70" s="50"/>
      <c r="AK70" s="50"/>
      <c r="AL70" s="49">
        <f t="shared" si="7"/>
        <v>0</v>
      </c>
      <c r="AM70" s="50"/>
      <c r="AN70" s="50"/>
      <c r="AO70" s="50"/>
      <c r="AP70" s="50"/>
      <c r="AQ70" s="49">
        <f t="shared" si="8"/>
        <v>0</v>
      </c>
    </row>
    <row r="71">
      <c r="A71" s="21">
        <f>'INPUT DAFTAR PESERTA'!A69</f>
        <v>66</v>
      </c>
      <c r="B71" s="21">
        <f>'INPUT DAFTAR PESERTA'!B69</f>
        <v>2509046050</v>
      </c>
      <c r="C71" s="22" t="str">
        <f>'INPUT DAFTAR PESERTA'!C69</f>
        <v>Surya Buana Putra Kamil</v>
      </c>
      <c r="D71" s="50"/>
      <c r="E71" s="50"/>
      <c r="F71" s="50"/>
      <c r="G71" s="50"/>
      <c r="H71" s="48">
        <f t="shared" si="1"/>
        <v>0</v>
      </c>
      <c r="I71" s="50"/>
      <c r="J71" s="50"/>
      <c r="K71" s="50"/>
      <c r="L71" s="50"/>
      <c r="M71" s="49">
        <f t="shared" si="2"/>
        <v>0</v>
      </c>
      <c r="N71" s="50"/>
      <c r="O71" s="50"/>
      <c r="P71" s="50"/>
      <c r="Q71" s="50"/>
      <c r="R71" s="49">
        <f t="shared" si="3"/>
        <v>0</v>
      </c>
      <c r="S71" s="50"/>
      <c r="T71" s="50"/>
      <c r="U71" s="50"/>
      <c r="V71" s="50"/>
      <c r="W71" s="50">
        <f t="shared" si="4"/>
        <v>0</v>
      </c>
      <c r="X71" s="23">
        <v>2.0</v>
      </c>
      <c r="Y71" s="23">
        <v>3.0</v>
      </c>
      <c r="Z71" s="23">
        <v>3.0</v>
      </c>
      <c r="AA71" s="23">
        <v>1.0</v>
      </c>
      <c r="AB71" s="49">
        <f t="shared" si="5"/>
        <v>57</v>
      </c>
      <c r="AC71" s="50"/>
      <c r="AD71" s="50"/>
      <c r="AE71" s="50"/>
      <c r="AF71" s="50"/>
      <c r="AG71" s="50">
        <f t="shared" si="6"/>
        <v>0</v>
      </c>
      <c r="AH71" s="50"/>
      <c r="AI71" s="50"/>
      <c r="AJ71" s="50"/>
      <c r="AK71" s="50"/>
      <c r="AL71" s="49">
        <f t="shared" si="7"/>
        <v>0</v>
      </c>
      <c r="AM71" s="50"/>
      <c r="AN71" s="50"/>
      <c r="AO71" s="50"/>
      <c r="AP71" s="50"/>
      <c r="AQ71" s="49">
        <f t="shared" si="8"/>
        <v>0</v>
      </c>
    </row>
    <row r="72">
      <c r="A72" s="21">
        <f>'INPUT DAFTAR PESERTA'!A70</f>
        <v>67</v>
      </c>
      <c r="B72" s="21">
        <f>'INPUT DAFTAR PESERTA'!B70</f>
        <v>2509046051</v>
      </c>
      <c r="C72" s="22" t="str">
        <f>'INPUT DAFTAR PESERTA'!C70</f>
        <v>Arifatus Saidah</v>
      </c>
      <c r="D72" s="23">
        <v>3.0</v>
      </c>
      <c r="E72" s="23">
        <v>3.0</v>
      </c>
      <c r="F72" s="23">
        <v>3.0</v>
      </c>
      <c r="G72" s="23">
        <v>1.0</v>
      </c>
      <c r="H72" s="48">
        <f t="shared" si="1"/>
        <v>60</v>
      </c>
      <c r="I72" s="23">
        <v>1.0</v>
      </c>
      <c r="J72" s="23">
        <v>1.0</v>
      </c>
      <c r="K72" s="23">
        <v>1.0</v>
      </c>
      <c r="L72" s="23">
        <v>1.0</v>
      </c>
      <c r="M72" s="49">
        <f t="shared" si="2"/>
        <v>30</v>
      </c>
      <c r="N72" s="50"/>
      <c r="O72" s="50"/>
      <c r="P72" s="50"/>
      <c r="Q72" s="50"/>
      <c r="R72" s="49">
        <f t="shared" si="3"/>
        <v>0</v>
      </c>
      <c r="S72" s="23">
        <v>3.0</v>
      </c>
      <c r="T72" s="23">
        <v>3.0</v>
      </c>
      <c r="U72" s="23">
        <v>3.0</v>
      </c>
      <c r="V72" s="23">
        <v>3.0</v>
      </c>
      <c r="W72" s="50">
        <f t="shared" si="4"/>
        <v>90</v>
      </c>
      <c r="X72" s="23">
        <v>2.0</v>
      </c>
      <c r="Y72" s="23">
        <v>3.0</v>
      </c>
      <c r="Z72" s="23">
        <v>3.0</v>
      </c>
      <c r="AA72" s="23">
        <v>1.0</v>
      </c>
      <c r="AB72" s="49">
        <f t="shared" si="5"/>
        <v>57</v>
      </c>
      <c r="AC72" s="23">
        <v>3.0</v>
      </c>
      <c r="AD72" s="23">
        <v>2.0</v>
      </c>
      <c r="AE72" s="23">
        <v>2.0</v>
      </c>
      <c r="AF72" s="23">
        <v>2.0</v>
      </c>
      <c r="AG72" s="50">
        <f t="shared" si="6"/>
        <v>63</v>
      </c>
      <c r="AH72" s="23">
        <v>2.0</v>
      </c>
      <c r="AI72" s="23">
        <v>3.0</v>
      </c>
      <c r="AJ72" s="23">
        <v>3.0</v>
      </c>
      <c r="AK72" s="23">
        <v>2.0</v>
      </c>
      <c r="AL72" s="49">
        <f t="shared" si="7"/>
        <v>72</v>
      </c>
      <c r="AM72" s="50"/>
      <c r="AN72" s="50"/>
      <c r="AO72" s="50"/>
      <c r="AP72" s="50"/>
      <c r="AQ72" s="49">
        <f t="shared" si="8"/>
        <v>0</v>
      </c>
    </row>
    <row r="73">
      <c r="A73" s="21">
        <f>'INPUT DAFTAR PESERTA'!A71</f>
        <v>68</v>
      </c>
      <c r="B73" s="21">
        <f>'INPUT DAFTAR PESERTA'!B71</f>
        <v>2509046052</v>
      </c>
      <c r="C73" s="22" t="str">
        <f>'INPUT DAFTAR PESERTA'!C71</f>
        <v>Syarifah Sarah Ashilah</v>
      </c>
      <c r="D73" s="23">
        <v>1.0</v>
      </c>
      <c r="E73" s="23">
        <v>1.0</v>
      </c>
      <c r="F73" s="23">
        <v>1.0</v>
      </c>
      <c r="G73" s="23">
        <v>3.0</v>
      </c>
      <c r="H73" s="48">
        <f t="shared" si="1"/>
        <v>60</v>
      </c>
      <c r="I73" s="23">
        <v>3.0</v>
      </c>
      <c r="J73" s="23">
        <v>2.0</v>
      </c>
      <c r="K73" s="23">
        <v>2.0</v>
      </c>
      <c r="L73" s="23">
        <v>3.0</v>
      </c>
      <c r="M73" s="49">
        <f t="shared" si="2"/>
        <v>78</v>
      </c>
      <c r="N73" s="23">
        <v>2.0</v>
      </c>
      <c r="O73" s="23">
        <v>2.0</v>
      </c>
      <c r="P73" s="23">
        <v>3.0</v>
      </c>
      <c r="Q73" s="23">
        <v>2.0</v>
      </c>
      <c r="R73" s="49">
        <f t="shared" si="3"/>
        <v>66</v>
      </c>
      <c r="S73" s="23">
        <v>3.0</v>
      </c>
      <c r="T73" s="23">
        <v>3.0</v>
      </c>
      <c r="U73" s="23">
        <v>3.0</v>
      </c>
      <c r="V73" s="23">
        <v>1.0</v>
      </c>
      <c r="W73" s="50">
        <f t="shared" si="4"/>
        <v>60</v>
      </c>
      <c r="X73" s="23">
        <v>1.0</v>
      </c>
      <c r="Y73" s="23">
        <v>2.0</v>
      </c>
      <c r="Z73" s="23">
        <v>1.0</v>
      </c>
      <c r="AA73" s="23">
        <v>3.0</v>
      </c>
      <c r="AB73" s="49">
        <f t="shared" si="5"/>
        <v>66</v>
      </c>
      <c r="AC73" s="23">
        <v>3.0</v>
      </c>
      <c r="AD73" s="23">
        <v>2.0</v>
      </c>
      <c r="AE73" s="23">
        <v>2.0</v>
      </c>
      <c r="AF73" s="23">
        <v>2.0</v>
      </c>
      <c r="AG73" s="50">
        <f t="shared" si="6"/>
        <v>63</v>
      </c>
      <c r="AH73" s="23">
        <v>2.0</v>
      </c>
      <c r="AI73" s="23">
        <v>3.0</v>
      </c>
      <c r="AJ73" s="23">
        <v>3.0</v>
      </c>
      <c r="AK73" s="23">
        <v>1.0</v>
      </c>
      <c r="AL73" s="49">
        <f t="shared" si="7"/>
        <v>57</v>
      </c>
      <c r="AM73" s="23">
        <v>2.0</v>
      </c>
      <c r="AN73" s="23">
        <v>2.0</v>
      </c>
      <c r="AO73" s="23">
        <v>2.0</v>
      </c>
      <c r="AP73" s="23">
        <v>1.0</v>
      </c>
      <c r="AQ73" s="49">
        <f t="shared" si="8"/>
        <v>45</v>
      </c>
    </row>
    <row r="74">
      <c r="A74" s="21">
        <f>'INPUT DAFTAR PESERTA'!A72</f>
        <v>69</v>
      </c>
      <c r="B74" s="21">
        <f>'INPUT DAFTAR PESERTA'!B72</f>
        <v>2509046053</v>
      </c>
      <c r="C74" s="22" t="str">
        <f>'INPUT DAFTAR PESERTA'!C72</f>
        <v>Muhammad Aufa Syarif Prabowo</v>
      </c>
      <c r="D74" s="23">
        <v>3.0</v>
      </c>
      <c r="E74" s="23">
        <v>2.0</v>
      </c>
      <c r="F74" s="23">
        <v>2.0</v>
      </c>
      <c r="G74" s="23">
        <v>1.0</v>
      </c>
      <c r="H74" s="48">
        <f t="shared" si="1"/>
        <v>48</v>
      </c>
      <c r="I74" s="50"/>
      <c r="J74" s="50"/>
      <c r="K74" s="50"/>
      <c r="L74" s="50"/>
      <c r="M74" s="49">
        <f t="shared" si="2"/>
        <v>0</v>
      </c>
      <c r="N74" s="50"/>
      <c r="O74" s="50"/>
      <c r="P74" s="50"/>
      <c r="Q74" s="50"/>
      <c r="R74" s="49">
        <f t="shared" si="3"/>
        <v>0</v>
      </c>
      <c r="S74" s="50"/>
      <c r="T74" s="50"/>
      <c r="U74" s="50"/>
      <c r="V74" s="50"/>
      <c r="W74" s="50">
        <f t="shared" si="4"/>
        <v>0</v>
      </c>
      <c r="X74" s="23">
        <v>1.0</v>
      </c>
      <c r="Y74" s="23">
        <v>1.0</v>
      </c>
      <c r="Z74" s="23">
        <v>1.0</v>
      </c>
      <c r="AA74" s="23">
        <v>1.0</v>
      </c>
      <c r="AB74" s="49">
        <f t="shared" si="5"/>
        <v>30</v>
      </c>
      <c r="AC74" s="23">
        <v>3.0</v>
      </c>
      <c r="AD74" s="23">
        <v>2.0</v>
      </c>
      <c r="AE74" s="23">
        <v>2.0</v>
      </c>
      <c r="AF74" s="23">
        <v>2.0</v>
      </c>
      <c r="AG74" s="50">
        <f t="shared" si="6"/>
        <v>63</v>
      </c>
      <c r="AH74" s="23">
        <v>2.0</v>
      </c>
      <c r="AI74" s="23">
        <v>3.0</v>
      </c>
      <c r="AJ74" s="23">
        <v>3.0</v>
      </c>
      <c r="AK74" s="23">
        <v>1.0</v>
      </c>
      <c r="AL74" s="49">
        <f t="shared" si="7"/>
        <v>57</v>
      </c>
      <c r="AM74" s="23">
        <v>2.0</v>
      </c>
      <c r="AN74" s="23">
        <v>2.0</v>
      </c>
      <c r="AO74" s="23">
        <v>2.0</v>
      </c>
      <c r="AP74" s="23">
        <v>1.0</v>
      </c>
      <c r="AQ74" s="49">
        <f t="shared" si="8"/>
        <v>45</v>
      </c>
    </row>
    <row r="75">
      <c r="A75" s="21">
        <f>'INPUT DAFTAR PESERTA'!A73</f>
        <v>70</v>
      </c>
      <c r="B75" s="21">
        <f>'INPUT DAFTAR PESERTA'!B73</f>
        <v>2509046054</v>
      </c>
      <c r="C75" s="22" t="str">
        <f>'INPUT DAFTAR PESERTA'!C73</f>
        <v>Kezia Aulia Putri</v>
      </c>
      <c r="D75" s="23">
        <v>3.0</v>
      </c>
      <c r="E75" s="23">
        <v>3.0</v>
      </c>
      <c r="F75" s="23">
        <v>3.0</v>
      </c>
      <c r="G75" s="23">
        <v>1.0</v>
      </c>
      <c r="H75" s="48">
        <f t="shared" si="1"/>
        <v>60</v>
      </c>
      <c r="I75" s="50"/>
      <c r="J75" s="50"/>
      <c r="K75" s="50"/>
      <c r="L75" s="50"/>
      <c r="M75" s="49">
        <f t="shared" si="2"/>
        <v>0</v>
      </c>
      <c r="N75" s="50"/>
      <c r="O75" s="50"/>
      <c r="P75" s="50"/>
      <c r="Q75" s="50"/>
      <c r="R75" s="49">
        <f t="shared" si="3"/>
        <v>0</v>
      </c>
      <c r="S75" s="50"/>
      <c r="T75" s="50"/>
      <c r="U75" s="50"/>
      <c r="V75" s="50"/>
      <c r="W75" s="50">
        <f t="shared" si="4"/>
        <v>0</v>
      </c>
      <c r="X75" s="23">
        <v>1.0</v>
      </c>
      <c r="Y75" s="23">
        <v>1.0</v>
      </c>
      <c r="Z75" s="23">
        <v>1.0</v>
      </c>
      <c r="AA75" s="23">
        <v>1.0</v>
      </c>
      <c r="AB75" s="49">
        <f t="shared" si="5"/>
        <v>30</v>
      </c>
      <c r="AC75" s="23">
        <v>3.0</v>
      </c>
      <c r="AD75" s="23">
        <v>2.0</v>
      </c>
      <c r="AE75" s="23">
        <v>2.0</v>
      </c>
      <c r="AF75" s="23">
        <v>2.0</v>
      </c>
      <c r="AG75" s="50">
        <f t="shared" si="6"/>
        <v>63</v>
      </c>
      <c r="AH75" s="23">
        <v>2.0</v>
      </c>
      <c r="AI75" s="23">
        <v>3.0</v>
      </c>
      <c r="AJ75" s="23">
        <v>3.0</v>
      </c>
      <c r="AK75" s="23">
        <v>1.0</v>
      </c>
      <c r="AL75" s="49">
        <f t="shared" si="7"/>
        <v>57</v>
      </c>
      <c r="AM75" s="50"/>
      <c r="AN75" s="50"/>
      <c r="AO75" s="50"/>
      <c r="AP75" s="50"/>
      <c r="AQ75" s="49">
        <f t="shared" si="8"/>
        <v>0</v>
      </c>
    </row>
    <row r="76">
      <c r="A76" s="21">
        <f>'INPUT DAFTAR PESERTA'!A74</f>
        <v>71</v>
      </c>
      <c r="B76" s="21">
        <f>'INPUT DAFTAR PESERTA'!B74</f>
        <v>2509046055</v>
      </c>
      <c r="C76" s="22" t="str">
        <f>'INPUT DAFTAR PESERTA'!C74</f>
        <v>Nailah Aisya Ainurrahman</v>
      </c>
      <c r="D76" s="23">
        <v>2.0</v>
      </c>
      <c r="E76" s="23">
        <v>3.0</v>
      </c>
      <c r="F76" s="23">
        <v>3.0</v>
      </c>
      <c r="G76" s="23">
        <v>1.0</v>
      </c>
      <c r="H76" s="48">
        <f t="shared" si="1"/>
        <v>57</v>
      </c>
      <c r="I76" s="23">
        <v>2.0</v>
      </c>
      <c r="J76" s="23">
        <v>3.0</v>
      </c>
      <c r="K76" s="23">
        <v>3.0</v>
      </c>
      <c r="L76" s="23">
        <v>1.0</v>
      </c>
      <c r="M76" s="49">
        <f t="shared" si="2"/>
        <v>57</v>
      </c>
      <c r="N76" s="23">
        <v>3.0</v>
      </c>
      <c r="O76" s="23">
        <v>3.0</v>
      </c>
      <c r="P76" s="23">
        <v>2.0</v>
      </c>
      <c r="Q76" s="23">
        <v>1.0</v>
      </c>
      <c r="R76" s="49">
        <f t="shared" si="3"/>
        <v>54</v>
      </c>
      <c r="S76" s="23">
        <v>3.0</v>
      </c>
      <c r="T76" s="23">
        <v>3.0</v>
      </c>
      <c r="U76" s="23">
        <v>3.0</v>
      </c>
      <c r="V76" s="23">
        <v>1.0</v>
      </c>
      <c r="W76" s="50">
        <f t="shared" si="4"/>
        <v>60</v>
      </c>
      <c r="X76" s="23">
        <v>3.0</v>
      </c>
      <c r="Y76" s="23">
        <v>3.0</v>
      </c>
      <c r="Z76" s="23">
        <v>3.0</v>
      </c>
      <c r="AA76" s="23">
        <v>1.0</v>
      </c>
      <c r="AB76" s="49">
        <f t="shared" si="5"/>
        <v>60</v>
      </c>
      <c r="AC76" s="23">
        <v>2.0</v>
      </c>
      <c r="AD76" s="23">
        <v>2.0</v>
      </c>
      <c r="AE76" s="23">
        <v>2.0</v>
      </c>
      <c r="AF76" s="23">
        <v>2.0</v>
      </c>
      <c r="AG76" s="50">
        <f t="shared" si="6"/>
        <v>60</v>
      </c>
      <c r="AH76" s="23">
        <v>2.0</v>
      </c>
      <c r="AI76" s="23">
        <v>3.0</v>
      </c>
      <c r="AJ76" s="23">
        <v>3.0</v>
      </c>
      <c r="AK76" s="23">
        <v>1.0</v>
      </c>
      <c r="AL76" s="49">
        <f t="shared" si="7"/>
        <v>57</v>
      </c>
      <c r="AM76" s="23">
        <v>2.0</v>
      </c>
      <c r="AN76" s="23">
        <v>3.0</v>
      </c>
      <c r="AO76" s="23">
        <v>3.0</v>
      </c>
      <c r="AP76" s="23">
        <v>3.0</v>
      </c>
      <c r="AQ76" s="49">
        <f t="shared" si="8"/>
        <v>87</v>
      </c>
    </row>
    <row r="77">
      <c r="A77" s="21">
        <f>'INPUT DAFTAR PESERTA'!A75</f>
        <v>72</v>
      </c>
      <c r="B77" s="21">
        <f>'INPUT DAFTAR PESERTA'!B75</f>
        <v>2509046056</v>
      </c>
      <c r="C77" s="22" t="str">
        <f>'INPUT DAFTAR PESERTA'!C75</f>
        <v>Nadine Olivia</v>
      </c>
      <c r="D77" s="23">
        <v>3.0</v>
      </c>
      <c r="E77" s="23">
        <v>3.0</v>
      </c>
      <c r="F77" s="23">
        <v>3.0</v>
      </c>
      <c r="G77" s="23">
        <v>1.0</v>
      </c>
      <c r="H77" s="48">
        <f t="shared" si="1"/>
        <v>60</v>
      </c>
      <c r="I77" s="23">
        <v>2.0</v>
      </c>
      <c r="J77" s="23">
        <v>3.0</v>
      </c>
      <c r="K77" s="23">
        <v>3.0</v>
      </c>
      <c r="L77" s="23">
        <v>1.0</v>
      </c>
      <c r="M77" s="49">
        <f t="shared" si="2"/>
        <v>57</v>
      </c>
      <c r="N77" s="23">
        <v>3.0</v>
      </c>
      <c r="O77" s="23">
        <v>3.0</v>
      </c>
      <c r="P77" s="23">
        <v>3.0</v>
      </c>
      <c r="Q77" s="23">
        <v>2.0</v>
      </c>
      <c r="R77" s="49">
        <f t="shared" si="3"/>
        <v>75</v>
      </c>
      <c r="S77" s="23">
        <v>3.0</v>
      </c>
      <c r="T77" s="23">
        <v>3.0</v>
      </c>
      <c r="U77" s="23">
        <v>3.0</v>
      </c>
      <c r="V77" s="23">
        <v>1.0</v>
      </c>
      <c r="W77" s="50">
        <f t="shared" si="4"/>
        <v>60</v>
      </c>
      <c r="X77" s="23">
        <v>3.0</v>
      </c>
      <c r="Y77" s="23">
        <v>3.0</v>
      </c>
      <c r="Z77" s="23">
        <v>3.0</v>
      </c>
      <c r="AA77" s="23">
        <v>2.0</v>
      </c>
      <c r="AB77" s="49">
        <f t="shared" si="5"/>
        <v>75</v>
      </c>
      <c r="AC77" s="23">
        <v>2.0</v>
      </c>
      <c r="AD77" s="23">
        <v>2.0</v>
      </c>
      <c r="AE77" s="23">
        <v>2.0</v>
      </c>
      <c r="AF77" s="23">
        <v>2.0</v>
      </c>
      <c r="AG77" s="50">
        <f t="shared" si="6"/>
        <v>60</v>
      </c>
      <c r="AH77" s="23">
        <v>2.0</v>
      </c>
      <c r="AI77" s="23">
        <v>3.0</v>
      </c>
      <c r="AJ77" s="23">
        <v>3.0</v>
      </c>
      <c r="AK77" s="23">
        <v>1.0</v>
      </c>
      <c r="AL77" s="49">
        <f t="shared" si="7"/>
        <v>57</v>
      </c>
      <c r="AM77" s="23">
        <v>2.0</v>
      </c>
      <c r="AN77" s="23">
        <v>3.0</v>
      </c>
      <c r="AO77" s="23">
        <v>3.0</v>
      </c>
      <c r="AP77" s="23">
        <v>3.0</v>
      </c>
      <c r="AQ77" s="49">
        <f t="shared" si="8"/>
        <v>87</v>
      </c>
    </row>
    <row r="78">
      <c r="A78" s="21">
        <f>'INPUT DAFTAR PESERTA'!A76</f>
        <v>73</v>
      </c>
      <c r="B78" s="21">
        <f>'INPUT DAFTAR PESERTA'!B76</f>
        <v>2509046057</v>
      </c>
      <c r="C78" s="22" t="str">
        <f>'INPUT DAFTAR PESERTA'!C76</f>
        <v>Fadhaail Ali Syaban</v>
      </c>
      <c r="D78" s="50"/>
      <c r="E78" s="50"/>
      <c r="F78" s="50"/>
      <c r="G78" s="50"/>
      <c r="H78" s="48">
        <f t="shared" si="1"/>
        <v>0</v>
      </c>
      <c r="I78" s="50"/>
      <c r="J78" s="50"/>
      <c r="K78" s="50"/>
      <c r="L78" s="50"/>
      <c r="M78" s="49">
        <f t="shared" si="2"/>
        <v>0</v>
      </c>
      <c r="N78" s="50"/>
      <c r="O78" s="50"/>
      <c r="P78" s="50"/>
      <c r="Q78" s="50"/>
      <c r="R78" s="49">
        <f t="shared" si="3"/>
        <v>0</v>
      </c>
      <c r="S78" s="50"/>
      <c r="T78" s="50"/>
      <c r="U78" s="50"/>
      <c r="V78" s="50"/>
      <c r="W78" s="50">
        <f t="shared" si="4"/>
        <v>0</v>
      </c>
      <c r="X78" s="23">
        <v>1.0</v>
      </c>
      <c r="Y78" s="23">
        <v>1.0</v>
      </c>
      <c r="Z78" s="23">
        <v>1.0</v>
      </c>
      <c r="AA78" s="23">
        <v>1.0</v>
      </c>
      <c r="AB78" s="49">
        <f t="shared" si="5"/>
        <v>30</v>
      </c>
      <c r="AC78" s="50"/>
      <c r="AD78" s="50"/>
      <c r="AE78" s="50"/>
      <c r="AF78" s="50"/>
      <c r="AG78" s="50">
        <f t="shared" si="6"/>
        <v>0</v>
      </c>
      <c r="AH78" s="23">
        <v>2.0</v>
      </c>
      <c r="AI78" s="23">
        <v>3.0</v>
      </c>
      <c r="AJ78" s="23">
        <v>3.0</v>
      </c>
      <c r="AK78" s="23">
        <v>1.0</v>
      </c>
      <c r="AL78" s="49">
        <f t="shared" si="7"/>
        <v>57</v>
      </c>
      <c r="AM78" s="50"/>
      <c r="AN78" s="50"/>
      <c r="AO78" s="50"/>
      <c r="AP78" s="50"/>
      <c r="AQ78" s="49">
        <f t="shared" si="8"/>
        <v>0</v>
      </c>
    </row>
    <row r="79">
      <c r="A79" s="21">
        <f>'INPUT DAFTAR PESERTA'!A77</f>
        <v>74</v>
      </c>
      <c r="B79" s="21">
        <f>'INPUT DAFTAR PESERTA'!B77</f>
        <v>2509046058</v>
      </c>
      <c r="C79" s="22" t="str">
        <f>'INPUT DAFTAR PESERTA'!C77</f>
        <v>Tri Partogi Utama Manalu</v>
      </c>
      <c r="D79" s="23">
        <v>2.0</v>
      </c>
      <c r="E79" s="23">
        <v>2.0</v>
      </c>
      <c r="F79" s="23">
        <v>2.0</v>
      </c>
      <c r="G79" s="23">
        <v>1.0</v>
      </c>
      <c r="H79" s="48">
        <f t="shared" si="1"/>
        <v>45</v>
      </c>
      <c r="I79" s="23">
        <v>2.0</v>
      </c>
      <c r="J79" s="23">
        <v>3.0</v>
      </c>
      <c r="K79" s="23">
        <v>3.0</v>
      </c>
      <c r="L79" s="23">
        <v>1.0</v>
      </c>
      <c r="M79" s="49">
        <f t="shared" si="2"/>
        <v>57</v>
      </c>
      <c r="N79" s="23">
        <v>3.0</v>
      </c>
      <c r="O79" s="23">
        <v>3.0</v>
      </c>
      <c r="P79" s="23">
        <v>2.0</v>
      </c>
      <c r="Q79" s="23">
        <v>1.0</v>
      </c>
      <c r="R79" s="49">
        <f t="shared" si="3"/>
        <v>54</v>
      </c>
      <c r="S79" s="23">
        <v>3.0</v>
      </c>
      <c r="T79" s="23">
        <v>3.0</v>
      </c>
      <c r="U79" s="23">
        <v>3.0</v>
      </c>
      <c r="V79" s="23">
        <v>1.0</v>
      </c>
      <c r="W79" s="50">
        <f t="shared" si="4"/>
        <v>60</v>
      </c>
      <c r="X79" s="23">
        <v>3.0</v>
      </c>
      <c r="Y79" s="23">
        <v>3.0</v>
      </c>
      <c r="Z79" s="23">
        <v>3.0</v>
      </c>
      <c r="AA79" s="23">
        <v>1.0</v>
      </c>
      <c r="AB79" s="49">
        <f t="shared" si="5"/>
        <v>60</v>
      </c>
      <c r="AC79" s="23">
        <v>2.0</v>
      </c>
      <c r="AD79" s="23">
        <v>2.0</v>
      </c>
      <c r="AE79" s="23">
        <v>2.0</v>
      </c>
      <c r="AF79" s="23">
        <v>2.0</v>
      </c>
      <c r="AG79" s="50">
        <f t="shared" si="6"/>
        <v>60</v>
      </c>
      <c r="AH79" s="23">
        <v>2.0</v>
      </c>
      <c r="AI79" s="23">
        <v>3.0</v>
      </c>
      <c r="AJ79" s="23">
        <v>3.0</v>
      </c>
      <c r="AK79" s="23">
        <v>1.0</v>
      </c>
      <c r="AL79" s="49">
        <f t="shared" si="7"/>
        <v>57</v>
      </c>
      <c r="AM79" s="23">
        <v>2.0</v>
      </c>
      <c r="AN79" s="23">
        <v>3.0</v>
      </c>
      <c r="AO79" s="23">
        <v>3.0</v>
      </c>
      <c r="AP79" s="23">
        <v>1.0</v>
      </c>
      <c r="AQ79" s="49">
        <f t="shared" si="8"/>
        <v>57</v>
      </c>
    </row>
    <row r="80">
      <c r="A80" s="21">
        <f>'INPUT DAFTAR PESERTA'!A78</f>
        <v>75</v>
      </c>
      <c r="B80" s="21">
        <f>'INPUT DAFTAR PESERTA'!B78</f>
        <v>2509046059</v>
      </c>
      <c r="C80" s="22" t="str">
        <f>'INPUT DAFTAR PESERTA'!C78</f>
        <v>Fa'iz Pasha Novian</v>
      </c>
      <c r="D80" s="50"/>
      <c r="E80" s="50"/>
      <c r="F80" s="50"/>
      <c r="G80" s="50"/>
      <c r="H80" s="48">
        <f t="shared" si="1"/>
        <v>0</v>
      </c>
      <c r="I80" s="50"/>
      <c r="J80" s="50"/>
      <c r="K80" s="50"/>
      <c r="L80" s="50"/>
      <c r="M80" s="49">
        <f t="shared" si="2"/>
        <v>0</v>
      </c>
      <c r="N80" s="50"/>
      <c r="O80" s="50"/>
      <c r="P80" s="50"/>
      <c r="Q80" s="50"/>
      <c r="R80" s="49">
        <f t="shared" si="3"/>
        <v>0</v>
      </c>
      <c r="S80" s="50"/>
      <c r="T80" s="50"/>
      <c r="U80" s="50"/>
      <c r="V80" s="50"/>
      <c r="W80" s="50">
        <f t="shared" si="4"/>
        <v>0</v>
      </c>
      <c r="X80" s="23">
        <v>1.0</v>
      </c>
      <c r="Y80" s="23">
        <v>1.0</v>
      </c>
      <c r="Z80" s="23">
        <v>1.0</v>
      </c>
      <c r="AA80" s="23">
        <v>1.0</v>
      </c>
      <c r="AB80" s="49">
        <f t="shared" si="5"/>
        <v>30</v>
      </c>
      <c r="AC80" s="50"/>
      <c r="AD80" s="50"/>
      <c r="AE80" s="50"/>
      <c r="AF80" s="50"/>
      <c r="AG80" s="50">
        <f t="shared" si="6"/>
        <v>0</v>
      </c>
      <c r="AH80" s="50"/>
      <c r="AI80" s="50"/>
      <c r="AJ80" s="50"/>
      <c r="AK80" s="50"/>
      <c r="AL80" s="49">
        <f t="shared" si="7"/>
        <v>0</v>
      </c>
      <c r="AM80" s="50"/>
      <c r="AN80" s="50"/>
      <c r="AO80" s="50"/>
      <c r="AP80" s="50"/>
      <c r="AQ80" s="49">
        <f t="shared" si="8"/>
        <v>0</v>
      </c>
    </row>
    <row r="81">
      <c r="A81" s="21">
        <f>'INPUT DAFTAR PESERTA'!A79</f>
        <v>76</v>
      </c>
      <c r="B81" s="21">
        <f>'INPUT DAFTAR PESERTA'!B79</f>
        <v>2509046060</v>
      </c>
      <c r="C81" s="22" t="str">
        <f>'INPUT DAFTAR PESERTA'!C79</f>
        <v>Shasya Tri Fauziah</v>
      </c>
      <c r="D81" s="23">
        <v>2.0</v>
      </c>
      <c r="E81" s="23">
        <v>2.0</v>
      </c>
      <c r="F81" s="23">
        <v>1.0</v>
      </c>
      <c r="G81" s="23">
        <v>2.0</v>
      </c>
      <c r="H81" s="48">
        <f t="shared" si="1"/>
        <v>54</v>
      </c>
      <c r="I81" s="23">
        <v>2.0</v>
      </c>
      <c r="J81" s="23">
        <v>3.0</v>
      </c>
      <c r="K81" s="23">
        <v>3.0</v>
      </c>
      <c r="L81" s="23">
        <v>3.0</v>
      </c>
      <c r="M81" s="49">
        <f t="shared" si="2"/>
        <v>87</v>
      </c>
      <c r="N81" s="23">
        <v>2.0</v>
      </c>
      <c r="O81" s="23">
        <v>3.0</v>
      </c>
      <c r="P81" s="23">
        <v>3.0</v>
      </c>
      <c r="Q81" s="23">
        <v>3.0</v>
      </c>
      <c r="R81" s="49">
        <f t="shared" si="3"/>
        <v>87</v>
      </c>
      <c r="S81" s="23">
        <v>3.0</v>
      </c>
      <c r="T81" s="23">
        <v>3.0</v>
      </c>
      <c r="U81" s="23">
        <v>3.0</v>
      </c>
      <c r="V81" s="23">
        <v>1.0</v>
      </c>
      <c r="W81" s="50">
        <f t="shared" si="4"/>
        <v>60</v>
      </c>
      <c r="X81" s="23">
        <v>3.0</v>
      </c>
      <c r="Y81" s="23">
        <v>2.0</v>
      </c>
      <c r="Z81" s="23">
        <v>2.0</v>
      </c>
      <c r="AA81" s="23">
        <v>1.0</v>
      </c>
      <c r="AB81" s="49">
        <f t="shared" si="5"/>
        <v>48</v>
      </c>
      <c r="AC81" s="50"/>
      <c r="AD81" s="50"/>
      <c r="AE81" s="50"/>
      <c r="AF81" s="50"/>
      <c r="AG81" s="50">
        <f t="shared" si="6"/>
        <v>0</v>
      </c>
      <c r="AH81" s="23">
        <v>2.0</v>
      </c>
      <c r="AI81" s="23">
        <v>3.0</v>
      </c>
      <c r="AJ81" s="23">
        <v>3.0</v>
      </c>
      <c r="AK81" s="23">
        <v>1.0</v>
      </c>
      <c r="AL81" s="49">
        <f t="shared" si="7"/>
        <v>57</v>
      </c>
      <c r="AM81" s="23">
        <v>2.0</v>
      </c>
      <c r="AN81" s="23">
        <v>3.0</v>
      </c>
      <c r="AO81" s="23">
        <v>3.0</v>
      </c>
      <c r="AP81" s="23">
        <v>1.5</v>
      </c>
      <c r="AQ81" s="49">
        <f t="shared" si="8"/>
        <v>64.5</v>
      </c>
    </row>
    <row r="82">
      <c r="A82" s="21">
        <f>'INPUT DAFTAR PESERTA'!A80</f>
        <v>77</v>
      </c>
      <c r="B82" s="21">
        <f>'INPUT DAFTAR PESERTA'!B80</f>
        <v>2509046061</v>
      </c>
      <c r="C82" s="22" t="str">
        <f>'INPUT DAFTAR PESERTA'!C80</f>
        <v>Alyah Nur Jannah</v>
      </c>
      <c r="D82" s="23">
        <v>1.0</v>
      </c>
      <c r="E82" s="23">
        <v>1.0</v>
      </c>
      <c r="F82" s="23">
        <v>1.0</v>
      </c>
      <c r="G82" s="23">
        <v>1.0</v>
      </c>
      <c r="H82" s="48">
        <f t="shared" si="1"/>
        <v>30</v>
      </c>
      <c r="I82" s="23">
        <v>3.0</v>
      </c>
      <c r="J82" s="23">
        <v>2.0</v>
      </c>
      <c r="K82" s="23">
        <v>2.0</v>
      </c>
      <c r="L82" s="23">
        <v>1.0</v>
      </c>
      <c r="M82" s="49">
        <f t="shared" si="2"/>
        <v>48</v>
      </c>
      <c r="N82" s="23">
        <v>1.0</v>
      </c>
      <c r="O82" s="23">
        <v>1.0</v>
      </c>
      <c r="P82" s="23">
        <v>1.0</v>
      </c>
      <c r="Q82" s="23">
        <v>1.0</v>
      </c>
      <c r="R82" s="49">
        <f t="shared" si="3"/>
        <v>30</v>
      </c>
      <c r="S82" s="23">
        <v>1.0</v>
      </c>
      <c r="T82" s="23">
        <v>1.0</v>
      </c>
      <c r="U82" s="23">
        <v>1.0</v>
      </c>
      <c r="V82" s="23">
        <v>1.0</v>
      </c>
      <c r="W82" s="50">
        <f t="shared" si="4"/>
        <v>30</v>
      </c>
      <c r="X82" s="23">
        <v>1.0</v>
      </c>
      <c r="Y82" s="23">
        <v>1.0</v>
      </c>
      <c r="Z82" s="23">
        <v>1.0</v>
      </c>
      <c r="AA82" s="23">
        <v>1.0</v>
      </c>
      <c r="AB82" s="49">
        <f t="shared" si="5"/>
        <v>30</v>
      </c>
      <c r="AC82" s="23">
        <v>3.0</v>
      </c>
      <c r="AD82" s="23">
        <v>3.0</v>
      </c>
      <c r="AE82" s="23">
        <v>3.0</v>
      </c>
      <c r="AF82" s="23">
        <v>2.0</v>
      </c>
      <c r="AG82" s="50">
        <f t="shared" si="6"/>
        <v>75</v>
      </c>
      <c r="AH82" s="23">
        <v>1.0</v>
      </c>
      <c r="AI82" s="23">
        <v>1.0</v>
      </c>
      <c r="AJ82" s="23">
        <v>1.0</v>
      </c>
      <c r="AK82" s="23">
        <v>1.0</v>
      </c>
      <c r="AL82" s="49">
        <f t="shared" si="7"/>
        <v>30</v>
      </c>
      <c r="AM82" s="23">
        <v>2.0</v>
      </c>
      <c r="AN82" s="23">
        <v>3.0</v>
      </c>
      <c r="AO82" s="23">
        <v>3.0</v>
      </c>
      <c r="AP82" s="23">
        <v>1.0</v>
      </c>
      <c r="AQ82" s="49">
        <f t="shared" si="8"/>
        <v>57</v>
      </c>
    </row>
    <row r="83">
      <c r="A83" s="21">
        <f>'INPUT DAFTAR PESERTA'!A81</f>
        <v>78</v>
      </c>
      <c r="B83" s="21">
        <f>'INPUT DAFTAR PESERTA'!B81</f>
        <v>2509046062</v>
      </c>
      <c r="C83" s="22" t="str">
        <f>'INPUT DAFTAR PESERTA'!C81</f>
        <v>Rendi Sidebang</v>
      </c>
      <c r="D83" s="23">
        <v>3.0</v>
      </c>
      <c r="E83" s="23">
        <v>3.0</v>
      </c>
      <c r="F83" s="23">
        <v>3.0</v>
      </c>
      <c r="G83" s="23">
        <v>1.0</v>
      </c>
      <c r="H83" s="48">
        <f t="shared" si="1"/>
        <v>60</v>
      </c>
      <c r="I83" s="23">
        <v>2.0</v>
      </c>
      <c r="J83" s="23">
        <v>3.0</v>
      </c>
      <c r="K83" s="23">
        <v>3.0</v>
      </c>
      <c r="L83" s="23">
        <v>1.0</v>
      </c>
      <c r="M83" s="49">
        <f t="shared" si="2"/>
        <v>57</v>
      </c>
      <c r="N83" s="23">
        <v>3.0</v>
      </c>
      <c r="O83" s="23">
        <v>3.0</v>
      </c>
      <c r="P83" s="23">
        <v>2.0</v>
      </c>
      <c r="Q83" s="23">
        <v>2.0</v>
      </c>
      <c r="R83" s="49">
        <f t="shared" si="3"/>
        <v>69</v>
      </c>
      <c r="S83" s="23">
        <v>3.0</v>
      </c>
      <c r="T83" s="23">
        <v>3.0</v>
      </c>
      <c r="U83" s="23">
        <v>3.0</v>
      </c>
      <c r="V83" s="23">
        <v>1.0</v>
      </c>
      <c r="W83" s="50">
        <f t="shared" si="4"/>
        <v>60</v>
      </c>
      <c r="X83" s="23">
        <v>3.0</v>
      </c>
      <c r="Y83" s="23">
        <v>3.0</v>
      </c>
      <c r="Z83" s="23">
        <v>3.0</v>
      </c>
      <c r="AA83" s="23">
        <v>1.0</v>
      </c>
      <c r="AB83" s="49">
        <f t="shared" si="5"/>
        <v>60</v>
      </c>
      <c r="AC83" s="23">
        <v>3.0</v>
      </c>
      <c r="AD83" s="23">
        <v>3.0</v>
      </c>
      <c r="AE83" s="23">
        <v>3.0</v>
      </c>
      <c r="AF83" s="23">
        <v>2.0</v>
      </c>
      <c r="AG83" s="50">
        <f t="shared" si="6"/>
        <v>75</v>
      </c>
      <c r="AH83" s="23">
        <v>2.0</v>
      </c>
      <c r="AI83" s="23">
        <v>3.0</v>
      </c>
      <c r="AJ83" s="23">
        <v>3.0</v>
      </c>
      <c r="AK83" s="23">
        <v>1.0</v>
      </c>
      <c r="AL83" s="49">
        <f t="shared" si="7"/>
        <v>57</v>
      </c>
      <c r="AM83" s="50"/>
      <c r="AN83" s="50"/>
      <c r="AO83" s="50"/>
      <c r="AP83" s="50"/>
      <c r="AQ83" s="49">
        <f t="shared" si="8"/>
        <v>0</v>
      </c>
    </row>
    <row r="84">
      <c r="A84" s="21">
        <f>'INPUT DAFTAR PESERTA'!A82</f>
        <v>79</v>
      </c>
      <c r="B84" s="21">
        <f>'INPUT DAFTAR PESERTA'!B82</f>
        <v>2509046063</v>
      </c>
      <c r="C84" s="22" t="str">
        <f>'INPUT DAFTAR PESERTA'!C82</f>
        <v>Panca Vito Anandio</v>
      </c>
      <c r="D84" s="23">
        <v>1.0</v>
      </c>
      <c r="E84" s="23">
        <v>1.0</v>
      </c>
      <c r="F84" s="23">
        <v>2.0</v>
      </c>
      <c r="G84" s="23">
        <v>1.0</v>
      </c>
      <c r="H84" s="48">
        <f t="shared" si="1"/>
        <v>36</v>
      </c>
      <c r="I84" s="23">
        <v>3.0</v>
      </c>
      <c r="J84" s="23">
        <v>3.0</v>
      </c>
      <c r="K84" s="23">
        <v>2.0</v>
      </c>
      <c r="L84" s="23">
        <v>1.0</v>
      </c>
      <c r="M84" s="49">
        <f t="shared" si="2"/>
        <v>54</v>
      </c>
      <c r="N84" s="50"/>
      <c r="O84" s="50"/>
      <c r="P84" s="50"/>
      <c r="Q84" s="50"/>
      <c r="R84" s="49">
        <f t="shared" si="3"/>
        <v>0</v>
      </c>
      <c r="S84" s="50"/>
      <c r="T84" s="50"/>
      <c r="U84" s="50"/>
      <c r="V84" s="50"/>
      <c r="W84" s="50">
        <f t="shared" si="4"/>
        <v>0</v>
      </c>
      <c r="X84" s="23">
        <v>1.0</v>
      </c>
      <c r="Y84" s="23">
        <v>1.0</v>
      </c>
      <c r="Z84" s="23">
        <v>1.0</v>
      </c>
      <c r="AA84" s="23">
        <v>1.0</v>
      </c>
      <c r="AB84" s="49">
        <f t="shared" si="5"/>
        <v>30</v>
      </c>
      <c r="AC84" s="23">
        <v>3.0</v>
      </c>
      <c r="AD84" s="23">
        <v>3.0</v>
      </c>
      <c r="AE84" s="23">
        <v>3.0</v>
      </c>
      <c r="AF84" s="23">
        <v>2.0</v>
      </c>
      <c r="AG84" s="50">
        <f t="shared" si="6"/>
        <v>75</v>
      </c>
      <c r="AH84" s="50"/>
      <c r="AI84" s="50"/>
      <c r="AJ84" s="50"/>
      <c r="AK84" s="50"/>
      <c r="AL84" s="49">
        <f t="shared" si="7"/>
        <v>0</v>
      </c>
      <c r="AM84" s="50"/>
      <c r="AN84" s="50"/>
      <c r="AO84" s="50"/>
      <c r="AP84" s="50"/>
      <c r="AQ84" s="49">
        <f t="shared" si="8"/>
        <v>0</v>
      </c>
    </row>
    <row r="85">
      <c r="A85" s="21">
        <f>'INPUT DAFTAR PESERTA'!A83</f>
        <v>80</v>
      </c>
      <c r="B85" s="21">
        <f>'INPUT DAFTAR PESERTA'!B83</f>
        <v>2509046064</v>
      </c>
      <c r="C85" s="22" t="str">
        <f>'INPUT DAFTAR PESERTA'!C83</f>
        <v>Nabila Lestari</v>
      </c>
      <c r="D85" s="23">
        <v>3.0</v>
      </c>
      <c r="E85" s="23">
        <v>1.0</v>
      </c>
      <c r="F85" s="23">
        <v>2.0</v>
      </c>
      <c r="G85" s="23">
        <v>1.0</v>
      </c>
      <c r="H85" s="48">
        <f t="shared" si="1"/>
        <v>42</v>
      </c>
      <c r="I85" s="23">
        <v>3.0</v>
      </c>
      <c r="J85" s="23">
        <v>3.0</v>
      </c>
      <c r="K85" s="23">
        <v>2.0</v>
      </c>
      <c r="L85" s="23">
        <v>1.0</v>
      </c>
      <c r="M85" s="49">
        <f t="shared" si="2"/>
        <v>54</v>
      </c>
      <c r="N85" s="23">
        <v>3.0</v>
      </c>
      <c r="O85" s="23">
        <v>3.0</v>
      </c>
      <c r="P85" s="23">
        <v>3.0</v>
      </c>
      <c r="Q85" s="23">
        <v>1.0</v>
      </c>
      <c r="R85" s="49">
        <f t="shared" si="3"/>
        <v>60</v>
      </c>
      <c r="S85" s="23">
        <v>2.0</v>
      </c>
      <c r="T85" s="23">
        <v>3.0</v>
      </c>
      <c r="U85" s="23">
        <v>3.0</v>
      </c>
      <c r="V85" s="23">
        <v>1.0</v>
      </c>
      <c r="W85" s="50">
        <f t="shared" si="4"/>
        <v>57</v>
      </c>
      <c r="X85" s="23">
        <v>2.0</v>
      </c>
      <c r="Y85" s="23">
        <v>2.0</v>
      </c>
      <c r="Z85" s="23">
        <v>2.0</v>
      </c>
      <c r="AA85" s="23">
        <v>1.0</v>
      </c>
      <c r="AB85" s="49">
        <f t="shared" si="5"/>
        <v>45</v>
      </c>
      <c r="AC85" s="23">
        <v>2.0</v>
      </c>
      <c r="AD85" s="23">
        <v>2.0</v>
      </c>
      <c r="AE85" s="23">
        <v>2.0</v>
      </c>
      <c r="AF85" s="23">
        <v>2.0</v>
      </c>
      <c r="AG85" s="50">
        <f t="shared" si="6"/>
        <v>60</v>
      </c>
      <c r="AH85" s="23">
        <v>2.0</v>
      </c>
      <c r="AI85" s="23">
        <v>3.0</v>
      </c>
      <c r="AJ85" s="23">
        <v>3.0</v>
      </c>
      <c r="AK85" s="23">
        <v>1.0</v>
      </c>
      <c r="AL85" s="49">
        <f t="shared" si="7"/>
        <v>57</v>
      </c>
      <c r="AM85" s="23">
        <v>3.0</v>
      </c>
      <c r="AN85" s="23">
        <v>3.0</v>
      </c>
      <c r="AO85" s="23">
        <v>3.0</v>
      </c>
      <c r="AP85" s="23">
        <v>1.0</v>
      </c>
      <c r="AQ85" s="49">
        <f t="shared" si="8"/>
        <v>60</v>
      </c>
    </row>
    <row r="86">
      <c r="A86" s="21">
        <f>'INPUT DAFTAR PESERTA'!A84</f>
        <v>81</v>
      </c>
      <c r="B86" s="21">
        <f>'INPUT DAFTAR PESERTA'!B84</f>
        <v>2509046065</v>
      </c>
      <c r="C86" s="22" t="str">
        <f>'INPUT DAFTAR PESERTA'!C84</f>
        <v>Muhammad Mudrikah Salim</v>
      </c>
      <c r="D86" s="50"/>
      <c r="E86" s="50"/>
      <c r="F86" s="50"/>
      <c r="G86" s="50"/>
      <c r="H86" s="48">
        <f t="shared" si="1"/>
        <v>0</v>
      </c>
      <c r="I86" s="50"/>
      <c r="J86" s="50"/>
      <c r="K86" s="50"/>
      <c r="L86" s="50"/>
      <c r="M86" s="49">
        <f t="shared" si="2"/>
        <v>0</v>
      </c>
      <c r="N86" s="50"/>
      <c r="O86" s="50"/>
      <c r="P86" s="50"/>
      <c r="Q86" s="50"/>
      <c r="R86" s="49">
        <f t="shared" si="3"/>
        <v>0</v>
      </c>
      <c r="S86" s="50"/>
      <c r="T86" s="50"/>
      <c r="U86" s="50"/>
      <c r="V86" s="50"/>
      <c r="W86" s="50">
        <f t="shared" si="4"/>
        <v>0</v>
      </c>
      <c r="X86" s="23">
        <v>1.0</v>
      </c>
      <c r="Y86" s="23">
        <v>1.0</v>
      </c>
      <c r="Z86" s="23">
        <v>1.0</v>
      </c>
      <c r="AA86" s="23">
        <v>1.0</v>
      </c>
      <c r="AB86" s="49">
        <f t="shared" si="5"/>
        <v>30</v>
      </c>
      <c r="AC86" s="50"/>
      <c r="AD86" s="50"/>
      <c r="AE86" s="50"/>
      <c r="AF86" s="50"/>
      <c r="AG86" s="50">
        <f t="shared" si="6"/>
        <v>0</v>
      </c>
      <c r="AH86" s="50"/>
      <c r="AI86" s="50"/>
      <c r="AJ86" s="50"/>
      <c r="AK86" s="50"/>
      <c r="AL86" s="49">
        <f t="shared" si="7"/>
        <v>0</v>
      </c>
      <c r="AM86" s="50"/>
      <c r="AN86" s="50"/>
      <c r="AO86" s="50"/>
      <c r="AP86" s="50"/>
      <c r="AQ86" s="49">
        <f t="shared" si="8"/>
        <v>0</v>
      </c>
    </row>
    <row r="87">
      <c r="A87" s="21">
        <f>'INPUT DAFTAR PESERTA'!A85</f>
        <v>82</v>
      </c>
      <c r="B87" s="21">
        <f>'INPUT DAFTAR PESERTA'!B85</f>
        <v>2509046066</v>
      </c>
      <c r="C87" s="22" t="str">
        <f>'INPUT DAFTAR PESERTA'!C85</f>
        <v>Nisriina Nahdah Hizbullah</v>
      </c>
      <c r="D87" s="23">
        <v>3.0</v>
      </c>
      <c r="E87" s="23">
        <v>3.0</v>
      </c>
      <c r="F87" s="23">
        <v>3.0</v>
      </c>
      <c r="G87" s="23">
        <v>2.0</v>
      </c>
      <c r="H87" s="48">
        <f t="shared" si="1"/>
        <v>75</v>
      </c>
      <c r="I87" s="23">
        <v>3.0</v>
      </c>
      <c r="J87" s="23">
        <v>3.0</v>
      </c>
      <c r="K87" s="23">
        <v>2.0</v>
      </c>
      <c r="L87" s="23">
        <v>1.0</v>
      </c>
      <c r="M87" s="49">
        <f t="shared" si="2"/>
        <v>54</v>
      </c>
      <c r="N87" s="23">
        <v>3.0</v>
      </c>
      <c r="O87" s="23">
        <v>3.0</v>
      </c>
      <c r="P87" s="23">
        <v>3.0</v>
      </c>
      <c r="Q87" s="23">
        <v>1.0</v>
      </c>
      <c r="R87" s="49">
        <f t="shared" si="3"/>
        <v>60</v>
      </c>
      <c r="S87" s="23">
        <v>2.0</v>
      </c>
      <c r="T87" s="23">
        <v>3.0</v>
      </c>
      <c r="U87" s="23">
        <v>3.0</v>
      </c>
      <c r="V87" s="23">
        <v>1.0</v>
      </c>
      <c r="W87" s="50">
        <f t="shared" si="4"/>
        <v>57</v>
      </c>
      <c r="X87" s="23">
        <v>3.0</v>
      </c>
      <c r="Y87" s="23">
        <v>3.0</v>
      </c>
      <c r="Z87" s="23">
        <v>3.0</v>
      </c>
      <c r="AA87" s="23">
        <v>1.0</v>
      </c>
      <c r="AB87" s="49">
        <f t="shared" si="5"/>
        <v>60</v>
      </c>
      <c r="AC87" s="23">
        <v>2.0</v>
      </c>
      <c r="AD87" s="23">
        <v>2.0</v>
      </c>
      <c r="AE87" s="23">
        <v>2.0</v>
      </c>
      <c r="AF87" s="23">
        <v>2.0</v>
      </c>
      <c r="AG87" s="50">
        <f t="shared" si="6"/>
        <v>60</v>
      </c>
      <c r="AH87" s="50"/>
      <c r="AI87" s="50"/>
      <c r="AJ87" s="50"/>
      <c r="AK87" s="50"/>
      <c r="AL87" s="49">
        <f t="shared" si="7"/>
        <v>0</v>
      </c>
      <c r="AM87" s="23">
        <v>3.0</v>
      </c>
      <c r="AN87" s="23">
        <v>3.0</v>
      </c>
      <c r="AO87" s="23">
        <v>3.0</v>
      </c>
      <c r="AP87" s="23">
        <v>1.0</v>
      </c>
      <c r="AQ87" s="49">
        <f t="shared" si="8"/>
        <v>60</v>
      </c>
    </row>
    <row r="88">
      <c r="A88" s="21">
        <f>'INPUT DAFTAR PESERTA'!A86</f>
        <v>83</v>
      </c>
      <c r="B88" s="21">
        <f>'INPUT DAFTAR PESERTA'!B86</f>
        <v>2509046067</v>
      </c>
      <c r="C88" s="22" t="str">
        <f>'INPUT DAFTAR PESERTA'!C86</f>
        <v>Rhooid Azzaky</v>
      </c>
      <c r="D88" s="50"/>
      <c r="E88" s="50"/>
      <c r="F88" s="50"/>
      <c r="G88" s="50"/>
      <c r="H88" s="48">
        <f t="shared" si="1"/>
        <v>0</v>
      </c>
      <c r="I88" s="50"/>
      <c r="J88" s="50"/>
      <c r="K88" s="50"/>
      <c r="L88" s="50"/>
      <c r="M88" s="49">
        <f t="shared" si="2"/>
        <v>0</v>
      </c>
      <c r="N88" s="50"/>
      <c r="O88" s="50"/>
      <c r="P88" s="50"/>
      <c r="Q88" s="50"/>
      <c r="R88" s="49">
        <f t="shared" si="3"/>
        <v>0</v>
      </c>
      <c r="S88" s="50"/>
      <c r="T88" s="50"/>
      <c r="U88" s="50"/>
      <c r="V88" s="50"/>
      <c r="W88" s="50">
        <f t="shared" si="4"/>
        <v>0</v>
      </c>
      <c r="X88" s="23">
        <v>1.0</v>
      </c>
      <c r="Y88" s="23">
        <v>1.0</v>
      </c>
      <c r="Z88" s="23">
        <v>1.0</v>
      </c>
      <c r="AA88" s="23">
        <v>1.0</v>
      </c>
      <c r="AB88" s="49">
        <f t="shared" si="5"/>
        <v>30</v>
      </c>
      <c r="AC88" s="23">
        <v>3.0</v>
      </c>
      <c r="AD88" s="23">
        <v>3.0</v>
      </c>
      <c r="AE88" s="23">
        <v>3.0</v>
      </c>
      <c r="AF88" s="23">
        <v>2.0</v>
      </c>
      <c r="AG88" s="50">
        <f t="shared" si="6"/>
        <v>75</v>
      </c>
      <c r="AH88" s="23">
        <v>2.0</v>
      </c>
      <c r="AI88" s="23">
        <v>3.0</v>
      </c>
      <c r="AJ88" s="23">
        <v>3.0</v>
      </c>
      <c r="AK88" s="23">
        <v>1.0</v>
      </c>
      <c r="AL88" s="49">
        <f t="shared" si="7"/>
        <v>57</v>
      </c>
      <c r="AM88" s="50"/>
      <c r="AN88" s="50"/>
      <c r="AO88" s="50"/>
      <c r="AP88" s="50"/>
      <c r="AQ88" s="49">
        <f t="shared" si="8"/>
        <v>0</v>
      </c>
    </row>
    <row r="89">
      <c r="A89" s="21">
        <f>'INPUT DAFTAR PESERTA'!A87</f>
        <v>84</v>
      </c>
      <c r="B89" s="21">
        <f>'INPUT DAFTAR PESERTA'!B87</f>
        <v>2509046068</v>
      </c>
      <c r="C89" s="22" t="str">
        <f>'INPUT DAFTAR PESERTA'!C87</f>
        <v>Olga Agnes Violeta Simatupang</v>
      </c>
      <c r="D89" s="50"/>
      <c r="E89" s="50"/>
      <c r="F89" s="50"/>
      <c r="G89" s="50"/>
      <c r="H89" s="48">
        <f t="shared" si="1"/>
        <v>0</v>
      </c>
      <c r="I89" s="23">
        <v>2.0</v>
      </c>
      <c r="J89" s="23">
        <v>3.0</v>
      </c>
      <c r="K89" s="23">
        <v>3.0</v>
      </c>
      <c r="L89" s="23">
        <v>1.0</v>
      </c>
      <c r="M89" s="49">
        <f t="shared" si="2"/>
        <v>57</v>
      </c>
      <c r="N89" s="50"/>
      <c r="O89" s="50"/>
      <c r="P89" s="50"/>
      <c r="Q89" s="50"/>
      <c r="R89" s="49">
        <f t="shared" si="3"/>
        <v>0</v>
      </c>
      <c r="S89" s="23">
        <v>0.0</v>
      </c>
      <c r="T89" s="23">
        <v>0.0</v>
      </c>
      <c r="U89" s="23">
        <v>0.0</v>
      </c>
      <c r="V89" s="23">
        <v>0.0</v>
      </c>
      <c r="W89" s="50">
        <f t="shared" si="4"/>
        <v>0</v>
      </c>
      <c r="X89" s="23">
        <v>1.0</v>
      </c>
      <c r="Y89" s="23">
        <v>1.0</v>
      </c>
      <c r="Z89" s="23">
        <v>1.0</v>
      </c>
      <c r="AA89" s="23">
        <v>1.0</v>
      </c>
      <c r="AB89" s="49">
        <f t="shared" si="5"/>
        <v>30</v>
      </c>
      <c r="AC89" s="23">
        <v>3.0</v>
      </c>
      <c r="AD89" s="23">
        <v>3.0</v>
      </c>
      <c r="AE89" s="23">
        <v>3.0</v>
      </c>
      <c r="AF89" s="23">
        <v>2.0</v>
      </c>
      <c r="AG89" s="50">
        <f t="shared" si="6"/>
        <v>75</v>
      </c>
      <c r="AH89" s="23">
        <v>2.0</v>
      </c>
      <c r="AI89" s="23">
        <v>3.0</v>
      </c>
      <c r="AJ89" s="23">
        <v>3.0</v>
      </c>
      <c r="AK89" s="23">
        <v>3.0</v>
      </c>
      <c r="AL89" s="49">
        <f t="shared" si="7"/>
        <v>87</v>
      </c>
      <c r="AM89" s="23">
        <v>2.0</v>
      </c>
      <c r="AN89" s="23">
        <v>3.0</v>
      </c>
      <c r="AO89" s="23">
        <v>3.0</v>
      </c>
      <c r="AP89" s="23">
        <v>1.0</v>
      </c>
      <c r="AQ89" s="49">
        <f t="shared" si="8"/>
        <v>57</v>
      </c>
    </row>
    <row r="90">
      <c r="A90" s="21">
        <f>'INPUT DAFTAR PESERTA'!A88</f>
        <v>85</v>
      </c>
      <c r="B90" s="21">
        <f>'INPUT DAFTAR PESERTA'!B88</f>
        <v>2509046070</v>
      </c>
      <c r="C90" s="22" t="str">
        <f>'INPUT DAFTAR PESERTA'!C88</f>
        <v>Muhammad Ibrahim Habibullah</v>
      </c>
      <c r="D90" s="50"/>
      <c r="E90" s="50"/>
      <c r="F90" s="50"/>
      <c r="G90" s="50"/>
      <c r="H90" s="48">
        <f t="shared" si="1"/>
        <v>0</v>
      </c>
      <c r="I90" s="50"/>
      <c r="J90" s="50"/>
      <c r="K90" s="50"/>
      <c r="L90" s="23">
        <v>1.0</v>
      </c>
      <c r="M90" s="49">
        <f t="shared" si="2"/>
        <v>15</v>
      </c>
      <c r="N90" s="50"/>
      <c r="O90" s="50"/>
      <c r="P90" s="50"/>
      <c r="Q90" s="50"/>
      <c r="R90" s="49">
        <f t="shared" si="3"/>
        <v>0</v>
      </c>
      <c r="S90" s="50"/>
      <c r="T90" s="50"/>
      <c r="U90" s="50"/>
      <c r="V90" s="50"/>
      <c r="W90" s="50">
        <f t="shared" si="4"/>
        <v>0</v>
      </c>
      <c r="X90" s="23">
        <v>1.0</v>
      </c>
      <c r="Y90" s="23">
        <v>1.0</v>
      </c>
      <c r="Z90" s="23">
        <v>1.0</v>
      </c>
      <c r="AA90" s="23">
        <v>1.0</v>
      </c>
      <c r="AB90" s="49">
        <f t="shared" si="5"/>
        <v>30</v>
      </c>
      <c r="AC90" s="50"/>
      <c r="AD90" s="50"/>
      <c r="AE90" s="50"/>
      <c r="AF90" s="50"/>
      <c r="AG90" s="50">
        <f t="shared" si="6"/>
        <v>0</v>
      </c>
      <c r="AH90" s="50"/>
      <c r="AI90" s="50"/>
      <c r="AJ90" s="50"/>
      <c r="AK90" s="50"/>
      <c r="AL90" s="49">
        <f t="shared" si="7"/>
        <v>0</v>
      </c>
      <c r="AM90" s="50"/>
      <c r="AN90" s="50"/>
      <c r="AO90" s="50"/>
      <c r="AP90" s="50"/>
      <c r="AQ90" s="49">
        <f t="shared" si="8"/>
        <v>0</v>
      </c>
    </row>
    <row r="91">
      <c r="A91" s="21">
        <f>'INPUT DAFTAR PESERTA'!A89</f>
        <v>86</v>
      </c>
      <c r="B91" s="21">
        <f>'INPUT DAFTAR PESERTA'!B89</f>
        <v>2509046071</v>
      </c>
      <c r="C91" s="22" t="str">
        <f>'INPUT DAFTAR PESERTA'!C89</f>
        <v>M. Ali Dinar</v>
      </c>
      <c r="D91" s="50"/>
      <c r="E91" s="50"/>
      <c r="F91" s="50"/>
      <c r="G91" s="50"/>
      <c r="H91" s="48">
        <f t="shared" si="1"/>
        <v>0</v>
      </c>
      <c r="I91" s="50"/>
      <c r="J91" s="50"/>
      <c r="K91" s="50"/>
      <c r="L91" s="50"/>
      <c r="M91" s="49">
        <f t="shared" si="2"/>
        <v>0</v>
      </c>
      <c r="N91" s="50"/>
      <c r="O91" s="50"/>
      <c r="P91" s="50"/>
      <c r="Q91" s="50"/>
      <c r="R91" s="49">
        <f t="shared" si="3"/>
        <v>0</v>
      </c>
      <c r="S91" s="50"/>
      <c r="T91" s="50"/>
      <c r="U91" s="50"/>
      <c r="V91" s="50"/>
      <c r="W91" s="50">
        <f t="shared" si="4"/>
        <v>0</v>
      </c>
      <c r="X91" s="23">
        <v>1.0</v>
      </c>
      <c r="Y91" s="23">
        <v>1.0</v>
      </c>
      <c r="Z91" s="23">
        <v>1.0</v>
      </c>
      <c r="AA91" s="23">
        <v>1.0</v>
      </c>
      <c r="AB91" s="49">
        <f t="shared" si="5"/>
        <v>30</v>
      </c>
      <c r="AC91" s="50"/>
      <c r="AD91" s="50"/>
      <c r="AE91" s="50"/>
      <c r="AF91" s="50"/>
      <c r="AG91" s="50">
        <f t="shared" si="6"/>
        <v>0</v>
      </c>
      <c r="AH91" s="50"/>
      <c r="AI91" s="50"/>
      <c r="AJ91" s="50"/>
      <c r="AK91" s="50"/>
      <c r="AL91" s="49">
        <f t="shared" si="7"/>
        <v>0</v>
      </c>
      <c r="AM91" s="50"/>
      <c r="AN91" s="50"/>
      <c r="AO91" s="50"/>
      <c r="AP91" s="50"/>
      <c r="AQ91" s="49">
        <f t="shared" si="8"/>
        <v>0</v>
      </c>
    </row>
    <row r="92">
      <c r="A92" s="21">
        <f>'INPUT DAFTAR PESERTA'!A90</f>
        <v>87</v>
      </c>
      <c r="B92" s="21">
        <f>'INPUT DAFTAR PESERTA'!B90</f>
        <v>2509046072</v>
      </c>
      <c r="C92" s="22" t="str">
        <f>'INPUT DAFTAR PESERTA'!C90</f>
        <v>Julianitha Tabitha Angi</v>
      </c>
      <c r="D92" s="50"/>
      <c r="E92" s="50"/>
      <c r="F92" s="50"/>
      <c r="G92" s="50"/>
      <c r="H92" s="48">
        <f t="shared" si="1"/>
        <v>0</v>
      </c>
      <c r="I92" s="50"/>
      <c r="J92" s="50"/>
      <c r="K92" s="50"/>
      <c r="L92" s="50"/>
      <c r="M92" s="49">
        <f t="shared" si="2"/>
        <v>0</v>
      </c>
      <c r="N92" s="50"/>
      <c r="O92" s="50"/>
      <c r="P92" s="50"/>
      <c r="Q92" s="50"/>
      <c r="R92" s="49">
        <f t="shared" si="3"/>
        <v>0</v>
      </c>
      <c r="S92" s="23">
        <v>2.0</v>
      </c>
      <c r="T92" s="23">
        <v>3.0</v>
      </c>
      <c r="U92" s="23">
        <v>3.0</v>
      </c>
      <c r="V92" s="23">
        <v>2.0</v>
      </c>
      <c r="W92" s="50">
        <f t="shared" si="4"/>
        <v>72</v>
      </c>
      <c r="X92" s="23">
        <v>2.0</v>
      </c>
      <c r="Y92" s="23">
        <v>2.0</v>
      </c>
      <c r="Z92" s="23">
        <v>2.0</v>
      </c>
      <c r="AA92" s="23">
        <v>1.0</v>
      </c>
      <c r="AB92" s="49">
        <f t="shared" si="5"/>
        <v>45</v>
      </c>
      <c r="AC92" s="23">
        <v>3.0</v>
      </c>
      <c r="AD92" s="23">
        <v>2.0</v>
      </c>
      <c r="AE92" s="23">
        <v>2.0</v>
      </c>
      <c r="AF92" s="23">
        <v>2.0</v>
      </c>
      <c r="AG92" s="50">
        <f t="shared" si="6"/>
        <v>63</v>
      </c>
      <c r="AH92" s="23">
        <v>3.0</v>
      </c>
      <c r="AI92" s="23">
        <v>3.0</v>
      </c>
      <c r="AJ92" s="23">
        <v>3.0</v>
      </c>
      <c r="AK92" s="23">
        <v>1.0</v>
      </c>
      <c r="AL92" s="49">
        <f t="shared" si="7"/>
        <v>60</v>
      </c>
      <c r="AM92" s="23">
        <v>0.0</v>
      </c>
      <c r="AN92" s="23">
        <v>0.0</v>
      </c>
      <c r="AO92" s="23">
        <v>0.0</v>
      </c>
      <c r="AP92" s="23">
        <v>0.0</v>
      </c>
      <c r="AQ92" s="49">
        <f t="shared" si="8"/>
        <v>0</v>
      </c>
    </row>
    <row r="93">
      <c r="A93" s="21">
        <f>'INPUT DAFTAR PESERTA'!A91</f>
        <v>88</v>
      </c>
      <c r="B93" s="21">
        <f>'INPUT DAFTAR PESERTA'!B91</f>
        <v>2509046073</v>
      </c>
      <c r="C93" s="22" t="str">
        <f>'INPUT DAFTAR PESERTA'!C91</f>
        <v>Sayyid Ahmad Raihan</v>
      </c>
      <c r="D93" s="50"/>
      <c r="E93" s="50"/>
      <c r="F93" s="50"/>
      <c r="G93" s="50"/>
      <c r="H93" s="48">
        <f t="shared" si="1"/>
        <v>0</v>
      </c>
      <c r="I93" s="50"/>
      <c r="J93" s="50"/>
      <c r="K93" s="50"/>
      <c r="L93" s="50"/>
      <c r="M93" s="49">
        <f t="shared" si="2"/>
        <v>0</v>
      </c>
      <c r="N93" s="50"/>
      <c r="O93" s="50"/>
      <c r="P93" s="50"/>
      <c r="Q93" s="50"/>
      <c r="R93" s="49">
        <f t="shared" si="3"/>
        <v>0</v>
      </c>
      <c r="S93" s="50"/>
      <c r="T93" s="50"/>
      <c r="U93" s="50"/>
      <c r="V93" s="50"/>
      <c r="W93" s="50">
        <f t="shared" si="4"/>
        <v>0</v>
      </c>
      <c r="X93" s="23">
        <v>1.0</v>
      </c>
      <c r="Y93" s="23">
        <v>1.0</v>
      </c>
      <c r="Z93" s="23">
        <v>1.0</v>
      </c>
      <c r="AA93" s="23">
        <v>1.0</v>
      </c>
      <c r="AB93" s="49">
        <f t="shared" si="5"/>
        <v>30</v>
      </c>
      <c r="AC93" s="23">
        <v>3.0</v>
      </c>
      <c r="AD93" s="23">
        <v>2.0</v>
      </c>
      <c r="AE93" s="23">
        <v>2.0</v>
      </c>
      <c r="AF93" s="23">
        <v>2.0</v>
      </c>
      <c r="AG93" s="50">
        <f t="shared" si="6"/>
        <v>63</v>
      </c>
      <c r="AH93" s="50"/>
      <c r="AI93" s="50"/>
      <c r="AJ93" s="50"/>
      <c r="AK93" s="50"/>
      <c r="AL93" s="49">
        <f t="shared" si="7"/>
        <v>0</v>
      </c>
      <c r="AM93" s="50"/>
      <c r="AN93" s="50"/>
      <c r="AO93" s="50"/>
      <c r="AP93" s="50"/>
      <c r="AQ93" s="49">
        <f t="shared" si="8"/>
        <v>0</v>
      </c>
    </row>
    <row r="94">
      <c r="A94" s="21">
        <f>'INPUT DAFTAR PESERTA'!A92</f>
        <v>89</v>
      </c>
      <c r="B94" s="21">
        <f>'INPUT DAFTAR PESERTA'!B92</f>
        <v>2509046074</v>
      </c>
      <c r="C94" s="22" t="str">
        <f>'INPUT DAFTAR PESERTA'!C92</f>
        <v>Junior Agustian Culie</v>
      </c>
      <c r="D94" s="50"/>
      <c r="E94" s="50"/>
      <c r="F94" s="50"/>
      <c r="G94" s="50"/>
      <c r="H94" s="48">
        <f t="shared" si="1"/>
        <v>0</v>
      </c>
      <c r="I94" s="50"/>
      <c r="J94" s="50"/>
      <c r="K94" s="50"/>
      <c r="L94" s="50"/>
      <c r="M94" s="49">
        <f t="shared" si="2"/>
        <v>0</v>
      </c>
      <c r="N94" s="50"/>
      <c r="O94" s="50"/>
      <c r="P94" s="50"/>
      <c r="Q94" s="50"/>
      <c r="R94" s="49">
        <f t="shared" si="3"/>
        <v>0</v>
      </c>
      <c r="S94" s="50"/>
      <c r="T94" s="50"/>
      <c r="U94" s="50"/>
      <c r="V94" s="50"/>
      <c r="W94" s="50">
        <f t="shared" si="4"/>
        <v>0</v>
      </c>
      <c r="X94" s="23">
        <v>1.0</v>
      </c>
      <c r="Y94" s="23">
        <v>1.0</v>
      </c>
      <c r="Z94" s="23">
        <v>1.0</v>
      </c>
      <c r="AA94" s="23">
        <v>1.0</v>
      </c>
      <c r="AB94" s="49">
        <f t="shared" si="5"/>
        <v>30</v>
      </c>
      <c r="AC94" s="23"/>
      <c r="AD94" s="23"/>
      <c r="AE94" s="23"/>
      <c r="AF94" s="23"/>
      <c r="AG94" s="50">
        <f t="shared" si="6"/>
        <v>0</v>
      </c>
      <c r="AH94" s="50"/>
      <c r="AI94" s="50"/>
      <c r="AJ94" s="50"/>
      <c r="AK94" s="50"/>
      <c r="AL94" s="49">
        <f t="shared" si="7"/>
        <v>0</v>
      </c>
      <c r="AM94" s="50"/>
      <c r="AN94" s="50"/>
      <c r="AO94" s="50"/>
      <c r="AP94" s="50"/>
      <c r="AQ94" s="49">
        <f t="shared" si="8"/>
        <v>0</v>
      </c>
    </row>
    <row r="95">
      <c r="A95" s="21">
        <f>'INPUT DAFTAR PESERTA'!A93</f>
        <v>90</v>
      </c>
      <c r="B95" s="21">
        <f>'INPUT DAFTAR PESERTA'!B93</f>
        <v>2509046075</v>
      </c>
      <c r="C95" s="22" t="str">
        <f>'INPUT DAFTAR PESERTA'!C93</f>
        <v>Andi Ahmad Dzaky Palewai Agri</v>
      </c>
      <c r="D95" s="50"/>
      <c r="E95" s="50"/>
      <c r="F95" s="50"/>
      <c r="G95" s="50"/>
      <c r="H95" s="48">
        <f t="shared" si="1"/>
        <v>0</v>
      </c>
      <c r="I95" s="50"/>
      <c r="J95" s="50"/>
      <c r="K95" s="50"/>
      <c r="L95" s="50"/>
      <c r="M95" s="49">
        <f t="shared" si="2"/>
        <v>0</v>
      </c>
      <c r="N95" s="50"/>
      <c r="O95" s="50"/>
      <c r="P95" s="50"/>
      <c r="Q95" s="50"/>
      <c r="R95" s="49">
        <f t="shared" si="3"/>
        <v>0</v>
      </c>
      <c r="S95" s="50"/>
      <c r="T95" s="50"/>
      <c r="U95" s="50"/>
      <c r="V95" s="50"/>
      <c r="W95" s="50">
        <f t="shared" si="4"/>
        <v>0</v>
      </c>
      <c r="X95" s="23">
        <v>1.0</v>
      </c>
      <c r="Y95" s="23">
        <v>1.0</v>
      </c>
      <c r="Z95" s="23">
        <v>1.0</v>
      </c>
      <c r="AA95" s="23">
        <v>1.0</v>
      </c>
      <c r="AB95" s="49">
        <f t="shared" si="5"/>
        <v>30</v>
      </c>
      <c r="AC95" s="50"/>
      <c r="AD95" s="50"/>
      <c r="AE95" s="50"/>
      <c r="AF95" s="50"/>
      <c r="AG95" s="50">
        <f t="shared" si="6"/>
        <v>0</v>
      </c>
      <c r="AH95" s="50"/>
      <c r="AI95" s="50"/>
      <c r="AJ95" s="50"/>
      <c r="AK95" s="50"/>
      <c r="AL95" s="49">
        <f t="shared" si="7"/>
        <v>0</v>
      </c>
      <c r="AM95" s="50"/>
      <c r="AN95" s="50"/>
      <c r="AO95" s="50"/>
      <c r="AP95" s="50"/>
      <c r="AQ95" s="49">
        <f t="shared" si="8"/>
        <v>0</v>
      </c>
    </row>
    <row r="96">
      <c r="A96" s="21">
        <f>'INPUT DAFTAR PESERTA'!A94</f>
        <v>91</v>
      </c>
      <c r="B96" s="21">
        <f>'INPUT DAFTAR PESERTA'!B94</f>
        <v>2509046076</v>
      </c>
      <c r="C96" s="22" t="str">
        <f>'INPUT DAFTAR PESERTA'!C94</f>
        <v>Afif Ahmad Winarno</v>
      </c>
      <c r="D96" s="23">
        <v>2.0</v>
      </c>
      <c r="E96" s="23">
        <v>2.0</v>
      </c>
      <c r="F96" s="23">
        <v>2.0</v>
      </c>
      <c r="G96" s="23">
        <v>1.0</v>
      </c>
      <c r="H96" s="48">
        <f t="shared" si="1"/>
        <v>45</v>
      </c>
      <c r="I96" s="23">
        <v>2.0</v>
      </c>
      <c r="J96" s="23">
        <v>3.0</v>
      </c>
      <c r="K96" s="23">
        <v>3.0</v>
      </c>
      <c r="L96" s="23">
        <v>1.0</v>
      </c>
      <c r="M96" s="49">
        <f t="shared" si="2"/>
        <v>57</v>
      </c>
      <c r="N96" s="23">
        <v>3.0</v>
      </c>
      <c r="O96" s="23">
        <v>3.0</v>
      </c>
      <c r="P96" s="23">
        <v>3.0</v>
      </c>
      <c r="Q96" s="23">
        <v>1.0</v>
      </c>
      <c r="R96" s="49">
        <f t="shared" si="3"/>
        <v>60</v>
      </c>
      <c r="S96" s="23">
        <v>3.0</v>
      </c>
      <c r="T96" s="23">
        <v>3.0</v>
      </c>
      <c r="U96" s="23">
        <v>3.0</v>
      </c>
      <c r="V96" s="23">
        <v>1.0</v>
      </c>
      <c r="W96" s="50">
        <f t="shared" si="4"/>
        <v>60</v>
      </c>
      <c r="X96" s="23">
        <v>2.0</v>
      </c>
      <c r="Y96" s="23">
        <v>3.0</v>
      </c>
      <c r="Z96" s="23">
        <v>3.0</v>
      </c>
      <c r="AA96" s="23">
        <v>1.0</v>
      </c>
      <c r="AB96" s="49">
        <f t="shared" si="5"/>
        <v>57</v>
      </c>
      <c r="AC96" s="23">
        <v>3.0</v>
      </c>
      <c r="AD96" s="23">
        <v>3.0</v>
      </c>
      <c r="AE96" s="23">
        <v>2.0</v>
      </c>
      <c r="AF96" s="23">
        <v>2.0</v>
      </c>
      <c r="AG96" s="50">
        <f t="shared" si="6"/>
        <v>69</v>
      </c>
      <c r="AH96" s="23">
        <v>3.0</v>
      </c>
      <c r="AI96" s="23">
        <v>3.0</v>
      </c>
      <c r="AJ96" s="23">
        <v>3.0</v>
      </c>
      <c r="AK96" s="23">
        <v>1.0</v>
      </c>
      <c r="AL96" s="49">
        <f t="shared" si="7"/>
        <v>60</v>
      </c>
      <c r="AM96" s="23">
        <v>3.0</v>
      </c>
      <c r="AN96" s="23">
        <v>3.0</v>
      </c>
      <c r="AO96" s="23">
        <v>3.0</v>
      </c>
      <c r="AP96" s="23">
        <v>1.0</v>
      </c>
      <c r="AQ96" s="49">
        <f t="shared" si="8"/>
        <v>60</v>
      </c>
    </row>
    <row r="97">
      <c r="A97" s="21">
        <f>'INPUT DAFTAR PESERTA'!A95</f>
        <v>92</v>
      </c>
      <c r="B97" s="21">
        <f>'INPUT DAFTAR PESERTA'!B95</f>
        <v>2509046077</v>
      </c>
      <c r="C97" s="22" t="str">
        <f>'INPUT DAFTAR PESERTA'!C95</f>
        <v>Muhammad Iqbal</v>
      </c>
      <c r="D97" s="50"/>
      <c r="E97" s="50"/>
      <c r="F97" s="50"/>
      <c r="G97" s="50"/>
      <c r="H97" s="48">
        <f t="shared" si="1"/>
        <v>0</v>
      </c>
      <c r="I97" s="50"/>
      <c r="J97" s="50"/>
      <c r="K97" s="50"/>
      <c r="L97" s="50"/>
      <c r="M97" s="49">
        <f t="shared" si="2"/>
        <v>0</v>
      </c>
      <c r="N97" s="50"/>
      <c r="O97" s="50"/>
      <c r="P97" s="50"/>
      <c r="Q97" s="50"/>
      <c r="R97" s="49">
        <f t="shared" si="3"/>
        <v>0</v>
      </c>
      <c r="S97" s="50"/>
      <c r="T97" s="50"/>
      <c r="U97" s="50"/>
      <c r="V97" s="50"/>
      <c r="W97" s="50">
        <f t="shared" si="4"/>
        <v>0</v>
      </c>
      <c r="X97" s="23">
        <v>1.0</v>
      </c>
      <c r="Y97" s="23">
        <v>1.0</v>
      </c>
      <c r="Z97" s="23">
        <v>1.0</v>
      </c>
      <c r="AA97" s="23">
        <v>1.0</v>
      </c>
      <c r="AB97" s="49">
        <f t="shared" si="5"/>
        <v>30</v>
      </c>
      <c r="AC97" s="23">
        <v>3.0</v>
      </c>
      <c r="AD97" s="23">
        <v>2.0</v>
      </c>
      <c r="AE97" s="23">
        <v>2.0</v>
      </c>
      <c r="AF97" s="23">
        <v>2.0</v>
      </c>
      <c r="AG97" s="50">
        <f t="shared" si="6"/>
        <v>63</v>
      </c>
      <c r="AH97" s="23">
        <v>3.0</v>
      </c>
      <c r="AI97" s="23">
        <v>3.0</v>
      </c>
      <c r="AJ97" s="23">
        <v>3.0</v>
      </c>
      <c r="AK97" s="23">
        <v>1.0</v>
      </c>
      <c r="AL97" s="49">
        <f t="shared" si="7"/>
        <v>60</v>
      </c>
      <c r="AM97" s="50"/>
      <c r="AN97" s="50"/>
      <c r="AO97" s="50"/>
      <c r="AP97" s="50"/>
      <c r="AQ97" s="49">
        <f t="shared" si="8"/>
        <v>0</v>
      </c>
    </row>
    <row r="98">
      <c r="A98" s="21">
        <f>'INPUT DAFTAR PESERTA'!A96</f>
        <v>93</v>
      </c>
      <c r="B98" s="21">
        <f>'INPUT DAFTAR PESERTA'!B96</f>
        <v>2509046078</v>
      </c>
      <c r="C98" s="22" t="str">
        <f>'INPUT DAFTAR PESERTA'!C96</f>
        <v>Shodiq Rizyuka Annaufla</v>
      </c>
      <c r="D98" s="50"/>
      <c r="E98" s="50"/>
      <c r="F98" s="50"/>
      <c r="G98" s="50"/>
      <c r="H98" s="48">
        <f t="shared" si="1"/>
        <v>0</v>
      </c>
      <c r="I98" s="50"/>
      <c r="J98" s="50"/>
      <c r="K98" s="50"/>
      <c r="L98" s="50"/>
      <c r="M98" s="49">
        <f t="shared" si="2"/>
        <v>0</v>
      </c>
      <c r="N98" s="50"/>
      <c r="O98" s="50"/>
      <c r="P98" s="50"/>
      <c r="Q98" s="50"/>
      <c r="R98" s="49">
        <f t="shared" si="3"/>
        <v>0</v>
      </c>
      <c r="S98" s="50"/>
      <c r="T98" s="50"/>
      <c r="U98" s="50"/>
      <c r="V98" s="50"/>
      <c r="W98" s="50">
        <f t="shared" si="4"/>
        <v>0</v>
      </c>
      <c r="X98" s="23">
        <v>1.0</v>
      </c>
      <c r="Y98" s="23">
        <v>1.0</v>
      </c>
      <c r="Z98" s="23">
        <v>1.0</v>
      </c>
      <c r="AA98" s="23">
        <v>1.0</v>
      </c>
      <c r="AB98" s="49">
        <f t="shared" si="5"/>
        <v>30</v>
      </c>
      <c r="AC98" s="23">
        <v>3.0</v>
      </c>
      <c r="AD98" s="23">
        <v>2.0</v>
      </c>
      <c r="AE98" s="23">
        <v>2.0</v>
      </c>
      <c r="AF98" s="23">
        <v>2.0</v>
      </c>
      <c r="AG98" s="50">
        <f t="shared" si="6"/>
        <v>63</v>
      </c>
      <c r="AH98" s="50"/>
      <c r="AI98" s="50"/>
      <c r="AJ98" s="50"/>
      <c r="AK98" s="50"/>
      <c r="AL98" s="49">
        <f t="shared" si="7"/>
        <v>0</v>
      </c>
      <c r="AM98" s="50"/>
      <c r="AN98" s="50"/>
      <c r="AO98" s="50"/>
      <c r="AP98" s="50"/>
      <c r="AQ98" s="49">
        <f t="shared" si="8"/>
        <v>0</v>
      </c>
    </row>
    <row r="99">
      <c r="A99" s="21">
        <f>'INPUT DAFTAR PESERTA'!A97</f>
        <v>94</v>
      </c>
      <c r="B99" s="21">
        <f>'INPUT DAFTAR PESERTA'!B97</f>
        <v>2509046079</v>
      </c>
      <c r="C99" s="22" t="str">
        <f>'INPUT DAFTAR PESERTA'!C97</f>
        <v>Muhamad Jailani</v>
      </c>
      <c r="D99" s="50"/>
      <c r="E99" s="50"/>
      <c r="F99" s="50"/>
      <c r="G99" s="50"/>
      <c r="H99" s="48">
        <f t="shared" si="1"/>
        <v>0</v>
      </c>
      <c r="I99" s="50"/>
      <c r="J99" s="50"/>
      <c r="K99" s="50"/>
      <c r="L99" s="50"/>
      <c r="M99" s="49">
        <f t="shared" si="2"/>
        <v>0</v>
      </c>
      <c r="N99" s="50"/>
      <c r="O99" s="50"/>
      <c r="P99" s="50"/>
      <c r="Q99" s="50"/>
      <c r="R99" s="49">
        <f t="shared" si="3"/>
        <v>0</v>
      </c>
      <c r="S99" s="50"/>
      <c r="T99" s="50"/>
      <c r="U99" s="50"/>
      <c r="V99" s="50"/>
      <c r="W99" s="50">
        <f t="shared" si="4"/>
        <v>0</v>
      </c>
      <c r="X99" s="23">
        <v>2.0</v>
      </c>
      <c r="Y99" s="23">
        <v>3.0</v>
      </c>
      <c r="Z99" s="23">
        <v>3.0</v>
      </c>
      <c r="AA99" s="23">
        <v>1.0</v>
      </c>
      <c r="AB99" s="49">
        <f t="shared" si="5"/>
        <v>57</v>
      </c>
      <c r="AC99" s="23">
        <v>3.0</v>
      </c>
      <c r="AD99" s="23">
        <v>2.0</v>
      </c>
      <c r="AE99" s="23">
        <v>2.0</v>
      </c>
      <c r="AF99" s="23">
        <v>2.0</v>
      </c>
      <c r="AG99" s="50">
        <f t="shared" si="6"/>
        <v>63</v>
      </c>
      <c r="AH99" s="50"/>
      <c r="AI99" s="50"/>
      <c r="AJ99" s="50"/>
      <c r="AK99" s="50"/>
      <c r="AL99" s="49">
        <f t="shared" si="7"/>
        <v>0</v>
      </c>
      <c r="AM99" s="50"/>
      <c r="AN99" s="50"/>
      <c r="AO99" s="50"/>
      <c r="AP99" s="50"/>
      <c r="AQ99" s="49">
        <f t="shared" si="8"/>
        <v>0</v>
      </c>
    </row>
    <row r="100">
      <c r="A100" s="35" t="str">
        <f>'INPUT DAFTAR PESERTA'!A98</f>
        <v/>
      </c>
      <c r="B100" s="35" t="str">
        <f>'INPUT DAFTAR PESERTA'!B98</f>
        <v/>
      </c>
      <c r="C100" s="36" t="str">
        <f>'INPUT DAFTAR PESERTA'!C98</f>
        <v/>
      </c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</row>
    <row r="101">
      <c r="A101" s="35" t="str">
        <f>'INPUT DAFTAR PESERTA'!A99</f>
        <v/>
      </c>
      <c r="B101" s="35" t="str">
        <f>'INPUT DAFTAR PESERTA'!B99</f>
        <v/>
      </c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</row>
    <row r="102">
      <c r="A102" s="35" t="str">
        <f>'INPUT DAFTAR PESERTA'!A100</f>
        <v/>
      </c>
      <c r="B102" s="35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</row>
    <row r="103">
      <c r="A103" s="35"/>
      <c r="B103" s="35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</row>
    <row r="104">
      <c r="A104" s="35"/>
      <c r="B104" s="35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</row>
    <row r="105">
      <c r="A105" s="35"/>
      <c r="B105" s="35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</row>
    <row r="106">
      <c r="A106" s="35"/>
      <c r="B106" s="35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</row>
    <row r="107">
      <c r="A107" s="35"/>
      <c r="B107" s="35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</row>
    <row r="108">
      <c r="A108" s="35"/>
      <c r="B108" s="35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</row>
    <row r="109">
      <c r="A109" s="35"/>
      <c r="B109" s="35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</row>
    <row r="110">
      <c r="A110" s="35"/>
      <c r="B110" s="35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</row>
    <row r="111">
      <c r="A111" s="35"/>
      <c r="B111" s="35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</row>
    <row r="112">
      <c r="A112" s="35"/>
      <c r="B112" s="35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</row>
    <row r="113">
      <c r="A113" s="35"/>
      <c r="B113" s="35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</row>
    <row r="114">
      <c r="A114" s="35"/>
      <c r="B114" s="35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</row>
    <row r="115">
      <c r="A115" s="35"/>
      <c r="B115" s="35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</row>
    <row r="116">
      <c r="A116" s="35"/>
      <c r="B116" s="35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</row>
    <row r="117">
      <c r="A117" s="35"/>
      <c r="B117" s="35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</row>
    <row r="118">
      <c r="A118" s="35"/>
      <c r="B118" s="35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</row>
    <row r="119">
      <c r="A119" s="35"/>
      <c r="B119" s="35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</row>
    <row r="120">
      <c r="A120" s="35"/>
      <c r="B120" s="35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</row>
    <row r="121">
      <c r="A121" s="35"/>
      <c r="B121" s="35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</row>
    <row r="122">
      <c r="A122" s="35"/>
      <c r="B122" s="35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</row>
    <row r="123">
      <c r="A123" s="35"/>
      <c r="B123" s="35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</row>
    <row r="124">
      <c r="A124" s="35"/>
      <c r="B124" s="35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</row>
    <row r="125">
      <c r="A125" s="35"/>
      <c r="B125" s="35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</row>
    <row r="126">
      <c r="A126" s="35"/>
      <c r="B126" s="35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</row>
    <row r="127">
      <c r="A127" s="35"/>
      <c r="B127" s="35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</row>
    <row r="128">
      <c r="A128" s="35"/>
      <c r="B128" s="35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</row>
    <row r="129">
      <c r="A129" s="35"/>
      <c r="B129" s="35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</row>
    <row r="130">
      <c r="A130" s="35"/>
      <c r="B130" s="35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</row>
    <row r="131">
      <c r="A131" s="35"/>
      <c r="B131" s="35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</row>
    <row r="132">
      <c r="A132" s="35"/>
      <c r="B132" s="35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</row>
    <row r="133">
      <c r="A133" s="35"/>
      <c r="B133" s="35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</row>
    <row r="134">
      <c r="A134" s="35"/>
      <c r="B134" s="35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</row>
    <row r="135">
      <c r="A135" s="35"/>
      <c r="B135" s="35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</row>
    <row r="136">
      <c r="A136" s="35"/>
      <c r="B136" s="35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</row>
    <row r="137">
      <c r="A137" s="35"/>
      <c r="B137" s="35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</row>
    <row r="138">
      <c r="A138" s="35"/>
      <c r="B138" s="35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</row>
    <row r="139">
      <c r="A139" s="35"/>
      <c r="B139" s="35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</row>
    <row r="140">
      <c r="A140" s="35"/>
      <c r="B140" s="35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</row>
    <row r="141">
      <c r="A141" s="35"/>
      <c r="B141" s="35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</row>
    <row r="142">
      <c r="A142" s="35"/>
      <c r="B142" s="35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</row>
    <row r="143">
      <c r="A143" s="35"/>
      <c r="B143" s="35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</row>
    <row r="144">
      <c r="A144" s="35"/>
      <c r="B144" s="35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</row>
    <row r="145">
      <c r="A145" s="35"/>
      <c r="B145" s="35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</row>
    <row r="146">
      <c r="A146" s="35"/>
      <c r="B146" s="35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</row>
    <row r="147">
      <c r="A147" s="35"/>
      <c r="B147" s="35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</row>
    <row r="148">
      <c r="A148" s="35"/>
      <c r="B148" s="35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</row>
    <row r="149">
      <c r="A149" s="35"/>
      <c r="B149" s="35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</row>
    <row r="150">
      <c r="A150" s="35"/>
      <c r="B150" s="35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</row>
    <row r="151">
      <c r="A151" s="35"/>
      <c r="B151" s="35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</row>
    <row r="152">
      <c r="A152" s="35"/>
      <c r="B152" s="35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</row>
    <row r="153">
      <c r="A153" s="35"/>
      <c r="B153" s="35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</row>
    <row r="154">
      <c r="A154" s="35"/>
      <c r="B154" s="35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</row>
    <row r="155">
      <c r="A155" s="35"/>
      <c r="B155" s="35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</row>
    <row r="156">
      <c r="A156" s="35"/>
      <c r="B156" s="35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</row>
    <row r="157">
      <c r="A157" s="35"/>
      <c r="B157" s="35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</row>
    <row r="158">
      <c r="A158" s="35"/>
      <c r="B158" s="35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</row>
    <row r="159">
      <c r="A159" s="35"/>
      <c r="B159" s="35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</row>
    <row r="160">
      <c r="A160" s="35"/>
      <c r="B160" s="35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</row>
    <row r="161">
      <c r="A161" s="35"/>
      <c r="B161" s="35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</row>
    <row r="162">
      <c r="A162" s="35"/>
      <c r="B162" s="35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</row>
    <row r="163">
      <c r="A163" s="35"/>
      <c r="B163" s="35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</row>
    <row r="164">
      <c r="A164" s="35"/>
      <c r="B164" s="35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</row>
    <row r="165">
      <c r="A165" s="35"/>
      <c r="B165" s="35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</row>
    <row r="166">
      <c r="A166" s="35"/>
      <c r="B166" s="35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</row>
    <row r="167">
      <c r="A167" s="35"/>
      <c r="B167" s="35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</row>
    <row r="168">
      <c r="A168" s="35"/>
      <c r="B168" s="35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</row>
    <row r="169">
      <c r="A169" s="35"/>
      <c r="B169" s="35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</row>
    <row r="170">
      <c r="A170" s="35"/>
      <c r="B170" s="35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</row>
    <row r="171">
      <c r="A171" s="35"/>
      <c r="B171" s="35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</row>
    <row r="172">
      <c r="A172" s="35"/>
      <c r="B172" s="35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</row>
    <row r="173">
      <c r="A173" s="35"/>
      <c r="B173" s="35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</row>
    <row r="174">
      <c r="A174" s="35"/>
      <c r="B174" s="35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</row>
    <row r="175">
      <c r="A175" s="35"/>
      <c r="B175" s="35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</row>
    <row r="176">
      <c r="A176" s="35"/>
      <c r="B176" s="35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</row>
    <row r="177">
      <c r="A177" s="35"/>
      <c r="B177" s="35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</row>
    <row r="178">
      <c r="A178" s="35"/>
      <c r="B178" s="35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</row>
    <row r="179">
      <c r="A179" s="35"/>
      <c r="B179" s="35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</row>
    <row r="180">
      <c r="A180" s="35"/>
      <c r="B180" s="35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</row>
    <row r="181">
      <c r="A181" s="35"/>
      <c r="B181" s="35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</row>
    <row r="182">
      <c r="A182" s="35"/>
      <c r="B182" s="35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</row>
    <row r="183">
      <c r="A183" s="35"/>
      <c r="B183" s="35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</row>
    <row r="184">
      <c r="A184" s="35"/>
      <c r="B184" s="35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</row>
    <row r="185">
      <c r="A185" s="35"/>
      <c r="B185" s="35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</row>
    <row r="186">
      <c r="A186" s="35"/>
      <c r="B186" s="35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</row>
    <row r="187">
      <c r="A187" s="35"/>
      <c r="B187" s="35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</row>
    <row r="188">
      <c r="A188" s="35"/>
      <c r="B188" s="35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</row>
    <row r="189">
      <c r="A189" s="35"/>
      <c r="B189" s="35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</row>
    <row r="190">
      <c r="A190" s="35"/>
      <c r="B190" s="35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</row>
    <row r="191">
      <c r="A191" s="35"/>
      <c r="B191" s="35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</row>
    <row r="192">
      <c r="A192" s="35"/>
      <c r="B192" s="35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</row>
    <row r="193">
      <c r="A193" s="35"/>
      <c r="B193" s="35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</row>
    <row r="194">
      <c r="A194" s="35"/>
      <c r="B194" s="35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</row>
    <row r="195">
      <c r="A195" s="35"/>
      <c r="B195" s="35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</row>
    <row r="196">
      <c r="A196" s="35"/>
      <c r="B196" s="35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</row>
    <row r="197">
      <c r="A197" s="35"/>
      <c r="B197" s="35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</row>
    <row r="198">
      <c r="A198" s="35"/>
      <c r="B198" s="35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</row>
    <row r="199">
      <c r="A199" s="35"/>
      <c r="B199" s="35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</row>
    <row r="200">
      <c r="A200" s="35"/>
      <c r="B200" s="35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</row>
    <row r="201">
      <c r="A201" s="35"/>
      <c r="B201" s="35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</row>
    <row r="202">
      <c r="A202" s="35"/>
      <c r="B202" s="35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</row>
    <row r="203">
      <c r="A203" s="35"/>
      <c r="B203" s="35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</row>
    <row r="204">
      <c r="A204" s="35"/>
      <c r="B204" s="35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</row>
    <row r="205">
      <c r="A205" s="35"/>
      <c r="B205" s="35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</row>
    <row r="206">
      <c r="A206" s="35"/>
      <c r="B206" s="35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</row>
    <row r="207">
      <c r="A207" s="35"/>
      <c r="B207" s="35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</row>
    <row r="208">
      <c r="A208" s="35"/>
      <c r="B208" s="35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</row>
    <row r="209">
      <c r="A209" s="35"/>
      <c r="B209" s="35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</row>
    <row r="210">
      <c r="A210" s="35"/>
      <c r="B210" s="35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</row>
    <row r="211">
      <c r="A211" s="35"/>
      <c r="B211" s="35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</row>
    <row r="212">
      <c r="A212" s="35"/>
      <c r="B212" s="35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</row>
    <row r="213">
      <c r="A213" s="35"/>
      <c r="B213" s="35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</row>
    <row r="214">
      <c r="A214" s="35"/>
      <c r="B214" s="35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</row>
    <row r="215">
      <c r="A215" s="35"/>
      <c r="B215" s="35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</row>
    <row r="216">
      <c r="A216" s="35"/>
      <c r="B216" s="35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</row>
    <row r="217">
      <c r="A217" s="35"/>
      <c r="B217" s="35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</row>
    <row r="218">
      <c r="A218" s="35"/>
      <c r="B218" s="35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</row>
    <row r="219">
      <c r="A219" s="35"/>
      <c r="B219" s="35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</row>
    <row r="220">
      <c r="A220" s="35"/>
      <c r="B220" s="35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</row>
    <row r="221">
      <c r="A221" s="35"/>
      <c r="B221" s="35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</row>
    <row r="222">
      <c r="A222" s="35"/>
      <c r="B222" s="35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</row>
    <row r="223">
      <c r="A223" s="35"/>
      <c r="B223" s="35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</row>
    <row r="224">
      <c r="A224" s="35"/>
      <c r="B224" s="35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</row>
    <row r="225">
      <c r="A225" s="35"/>
      <c r="B225" s="35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</row>
    <row r="226">
      <c r="A226" s="35"/>
      <c r="B226" s="35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</row>
    <row r="227">
      <c r="A227" s="35"/>
      <c r="B227" s="35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</row>
    <row r="228">
      <c r="A228" s="35"/>
      <c r="B228" s="35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</row>
    <row r="229">
      <c r="A229" s="35"/>
      <c r="B229" s="35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</row>
    <row r="230">
      <c r="A230" s="35"/>
      <c r="B230" s="35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</row>
    <row r="231">
      <c r="A231" s="35"/>
      <c r="B231" s="35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</row>
    <row r="232">
      <c r="A232" s="35"/>
      <c r="B232" s="35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</row>
    <row r="233">
      <c r="A233" s="35"/>
      <c r="B233" s="35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</row>
    <row r="234">
      <c r="A234" s="35"/>
      <c r="B234" s="35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</row>
    <row r="235">
      <c r="A235" s="35"/>
      <c r="B235" s="35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</row>
    <row r="236">
      <c r="A236" s="35"/>
      <c r="B236" s="35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</row>
    <row r="237">
      <c r="A237" s="35"/>
      <c r="B237" s="35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</row>
    <row r="238">
      <c r="A238" s="35"/>
      <c r="B238" s="35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</row>
    <row r="239">
      <c r="A239" s="35"/>
      <c r="B239" s="35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</row>
    <row r="240">
      <c r="A240" s="35"/>
      <c r="B240" s="35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</row>
    <row r="241">
      <c r="A241" s="35"/>
      <c r="B241" s="35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</row>
    <row r="242">
      <c r="A242" s="35"/>
      <c r="B242" s="35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</row>
    <row r="243">
      <c r="A243" s="35"/>
      <c r="B243" s="35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</row>
    <row r="244">
      <c r="A244" s="35"/>
      <c r="B244" s="35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</row>
    <row r="245">
      <c r="A245" s="35"/>
      <c r="B245" s="35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</row>
    <row r="246">
      <c r="A246" s="35"/>
      <c r="B246" s="35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</row>
    <row r="247">
      <c r="A247" s="35"/>
      <c r="B247" s="35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</row>
    <row r="248">
      <c r="A248" s="35"/>
      <c r="B248" s="35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</row>
    <row r="249">
      <c r="A249" s="35"/>
      <c r="B249" s="35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</row>
    <row r="250">
      <c r="A250" s="35"/>
      <c r="B250" s="35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</row>
    <row r="251">
      <c r="A251" s="35"/>
      <c r="B251" s="35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</row>
    <row r="252">
      <c r="A252" s="35"/>
      <c r="B252" s="35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</row>
    <row r="253">
      <c r="A253" s="35"/>
      <c r="B253" s="35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</row>
    <row r="254">
      <c r="A254" s="35"/>
      <c r="B254" s="35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</row>
    <row r="255">
      <c r="A255" s="35"/>
      <c r="B255" s="35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</row>
    <row r="256">
      <c r="A256" s="35"/>
      <c r="B256" s="35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</row>
    <row r="257">
      <c r="A257" s="35"/>
      <c r="B257" s="35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</row>
    <row r="258">
      <c r="A258" s="35"/>
      <c r="B258" s="35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</row>
    <row r="259">
      <c r="A259" s="35"/>
      <c r="B259" s="35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</row>
    <row r="260">
      <c r="A260" s="35"/>
      <c r="B260" s="35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</row>
    <row r="261">
      <c r="A261" s="35"/>
      <c r="B261" s="35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</row>
    <row r="262">
      <c r="A262" s="35"/>
      <c r="B262" s="35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</row>
    <row r="263">
      <c r="A263" s="35"/>
      <c r="B263" s="35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</row>
    <row r="264">
      <c r="A264" s="35"/>
      <c r="B264" s="35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</row>
    <row r="265">
      <c r="A265" s="35"/>
      <c r="B265" s="35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</row>
    <row r="266">
      <c r="A266" s="35"/>
      <c r="B266" s="35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</row>
    <row r="267">
      <c r="A267" s="35"/>
      <c r="B267" s="35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</row>
    <row r="268">
      <c r="A268" s="35"/>
      <c r="B268" s="35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</row>
    <row r="269">
      <c r="A269" s="35"/>
      <c r="B269" s="35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</row>
    <row r="270">
      <c r="A270" s="35"/>
      <c r="B270" s="35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</row>
    <row r="271">
      <c r="A271" s="35"/>
      <c r="B271" s="35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</row>
    <row r="272">
      <c r="A272" s="35"/>
      <c r="B272" s="35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</row>
    <row r="273">
      <c r="A273" s="35"/>
      <c r="B273" s="35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</row>
    <row r="274">
      <c r="A274" s="35"/>
      <c r="B274" s="35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</row>
    <row r="275">
      <c r="A275" s="35"/>
      <c r="B275" s="35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</row>
    <row r="276">
      <c r="A276" s="35"/>
      <c r="B276" s="35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</row>
    <row r="277">
      <c r="A277" s="35"/>
      <c r="B277" s="35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</row>
    <row r="278">
      <c r="A278" s="35"/>
      <c r="B278" s="35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</row>
    <row r="279">
      <c r="A279" s="35"/>
      <c r="B279" s="35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</row>
    <row r="280">
      <c r="A280" s="35"/>
      <c r="B280" s="35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</row>
    <row r="281">
      <c r="A281" s="35"/>
      <c r="B281" s="35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</row>
    <row r="282">
      <c r="A282" s="35"/>
      <c r="B282" s="35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</row>
    <row r="283">
      <c r="A283" s="35"/>
      <c r="B283" s="35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</row>
    <row r="284">
      <c r="A284" s="35"/>
      <c r="B284" s="35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</row>
    <row r="285">
      <c r="A285" s="35"/>
      <c r="B285" s="35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</row>
    <row r="286">
      <c r="A286" s="35"/>
      <c r="B286" s="35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</row>
    <row r="287">
      <c r="A287" s="35"/>
      <c r="B287" s="35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</row>
    <row r="288">
      <c r="A288" s="35"/>
      <c r="B288" s="35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</row>
    <row r="289">
      <c r="A289" s="35"/>
      <c r="B289" s="35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</row>
    <row r="290">
      <c r="A290" s="35"/>
      <c r="B290" s="35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</row>
    <row r="291">
      <c r="A291" s="35"/>
      <c r="B291" s="35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</row>
    <row r="292">
      <c r="A292" s="35"/>
      <c r="B292" s="35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</row>
    <row r="293">
      <c r="A293" s="35"/>
      <c r="B293" s="35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</row>
    <row r="294">
      <c r="A294" s="35"/>
      <c r="B294" s="35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</row>
    <row r="295">
      <c r="A295" s="35"/>
      <c r="B295" s="35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</row>
    <row r="296">
      <c r="A296" s="35"/>
      <c r="B296" s="35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</row>
    <row r="297">
      <c r="A297" s="35"/>
      <c r="B297" s="35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</row>
    <row r="298">
      <c r="A298" s="35"/>
      <c r="B298" s="35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</row>
    <row r="299">
      <c r="A299" s="35"/>
      <c r="B299" s="35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</row>
    <row r="300">
      <c r="A300" s="35"/>
      <c r="B300" s="35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</row>
    <row r="301">
      <c r="A301" s="35"/>
      <c r="B301" s="35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</row>
    <row r="302">
      <c r="A302" s="35"/>
      <c r="B302" s="35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</row>
    <row r="303">
      <c r="A303" s="35"/>
      <c r="B303" s="35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</row>
    <row r="304">
      <c r="A304" s="35"/>
      <c r="B304" s="35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</row>
    <row r="305">
      <c r="A305" s="35"/>
      <c r="B305" s="35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</row>
    <row r="306">
      <c r="A306" s="35"/>
      <c r="B306" s="35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</row>
    <row r="307">
      <c r="A307" s="35"/>
      <c r="B307" s="35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</row>
    <row r="308">
      <c r="A308" s="35"/>
      <c r="B308" s="35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</row>
    <row r="309">
      <c r="A309" s="35"/>
      <c r="B309" s="35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</row>
    <row r="310">
      <c r="A310" s="35"/>
      <c r="B310" s="35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</row>
    <row r="311">
      <c r="A311" s="35"/>
      <c r="B311" s="35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</row>
    <row r="312">
      <c r="A312" s="35"/>
      <c r="B312" s="35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</row>
    <row r="313">
      <c r="A313" s="35"/>
      <c r="B313" s="35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</row>
    <row r="314">
      <c r="A314" s="35"/>
      <c r="B314" s="35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</row>
    <row r="315">
      <c r="A315" s="35"/>
      <c r="B315" s="35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</row>
    <row r="316">
      <c r="A316" s="35"/>
      <c r="B316" s="35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</row>
    <row r="317">
      <c r="A317" s="35"/>
      <c r="B317" s="35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</row>
    <row r="318">
      <c r="A318" s="35"/>
      <c r="B318" s="35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</row>
    <row r="319">
      <c r="A319" s="35"/>
      <c r="B319" s="35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</row>
    <row r="320">
      <c r="A320" s="35"/>
      <c r="B320" s="35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</row>
    <row r="321">
      <c r="A321" s="35"/>
      <c r="B321" s="35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</row>
    <row r="322">
      <c r="A322" s="35"/>
      <c r="B322" s="35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</row>
    <row r="323">
      <c r="A323" s="35"/>
      <c r="B323" s="35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</row>
    <row r="324">
      <c r="A324" s="35"/>
      <c r="B324" s="35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</row>
    <row r="325">
      <c r="A325" s="35"/>
      <c r="B325" s="35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</row>
    <row r="326">
      <c r="A326" s="35"/>
      <c r="B326" s="35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</row>
    <row r="327">
      <c r="A327" s="35"/>
      <c r="B327" s="35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</row>
    <row r="328">
      <c r="A328" s="35"/>
      <c r="B328" s="35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</row>
    <row r="329">
      <c r="A329" s="35"/>
      <c r="B329" s="35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</row>
    <row r="330">
      <c r="A330" s="35"/>
      <c r="B330" s="35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</row>
    <row r="331">
      <c r="A331" s="35"/>
      <c r="B331" s="35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</row>
    <row r="332">
      <c r="A332" s="35"/>
      <c r="B332" s="35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</row>
    <row r="333">
      <c r="A333" s="35"/>
      <c r="B333" s="35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</row>
    <row r="334">
      <c r="A334" s="35"/>
      <c r="B334" s="35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</row>
    <row r="335">
      <c r="A335" s="35"/>
      <c r="B335" s="35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</row>
    <row r="336">
      <c r="A336" s="35"/>
      <c r="B336" s="35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</row>
    <row r="337">
      <c r="A337" s="35"/>
      <c r="B337" s="35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</row>
    <row r="338">
      <c r="A338" s="35"/>
      <c r="B338" s="35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</row>
    <row r="339">
      <c r="A339" s="35"/>
      <c r="B339" s="35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</row>
    <row r="340">
      <c r="A340" s="35"/>
      <c r="B340" s="35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</row>
    <row r="341">
      <c r="A341" s="35"/>
      <c r="B341" s="35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</row>
    <row r="342">
      <c r="A342" s="35"/>
      <c r="B342" s="35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</row>
    <row r="343">
      <c r="A343" s="35"/>
      <c r="B343" s="35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</row>
    <row r="344">
      <c r="A344" s="35"/>
      <c r="B344" s="35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</row>
    <row r="345">
      <c r="A345" s="35"/>
      <c r="B345" s="35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</row>
    <row r="346">
      <c r="A346" s="35"/>
      <c r="B346" s="35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</row>
    <row r="347">
      <c r="A347" s="35"/>
      <c r="B347" s="35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</row>
    <row r="348">
      <c r="A348" s="35"/>
      <c r="B348" s="35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</row>
    <row r="349">
      <c r="A349" s="35"/>
      <c r="B349" s="35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</row>
    <row r="350">
      <c r="A350" s="35"/>
      <c r="B350" s="35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</row>
    <row r="351">
      <c r="A351" s="35"/>
      <c r="B351" s="35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</row>
    <row r="352">
      <c r="A352" s="35"/>
      <c r="B352" s="35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</row>
    <row r="353">
      <c r="A353" s="35"/>
      <c r="B353" s="35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</row>
    <row r="354">
      <c r="A354" s="35"/>
      <c r="B354" s="35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</row>
    <row r="355">
      <c r="A355" s="35"/>
      <c r="B355" s="35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</row>
    <row r="356">
      <c r="A356" s="35"/>
      <c r="B356" s="35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</row>
    <row r="357">
      <c r="A357" s="35"/>
      <c r="B357" s="35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</row>
    <row r="358">
      <c r="A358" s="35"/>
      <c r="B358" s="35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</row>
    <row r="359">
      <c r="A359" s="35"/>
      <c r="B359" s="35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</row>
    <row r="360">
      <c r="A360" s="35"/>
      <c r="B360" s="35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</row>
    <row r="361">
      <c r="A361" s="35"/>
      <c r="B361" s="35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</row>
    <row r="362">
      <c r="A362" s="35"/>
      <c r="B362" s="35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</row>
    <row r="363">
      <c r="A363" s="35"/>
      <c r="B363" s="35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</row>
    <row r="364">
      <c r="A364" s="35"/>
      <c r="B364" s="35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</row>
    <row r="365">
      <c r="A365" s="35"/>
      <c r="B365" s="35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</row>
    <row r="366">
      <c r="A366" s="35"/>
      <c r="B366" s="35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</row>
    <row r="367">
      <c r="A367" s="35"/>
      <c r="B367" s="35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</row>
    <row r="368">
      <c r="A368" s="35"/>
      <c r="B368" s="35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</row>
    <row r="369">
      <c r="A369" s="35"/>
      <c r="B369" s="35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</row>
    <row r="370">
      <c r="A370" s="35"/>
      <c r="B370" s="35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</row>
    <row r="371">
      <c r="A371" s="35"/>
      <c r="B371" s="35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</row>
    <row r="372">
      <c r="A372" s="35"/>
      <c r="B372" s="35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</row>
    <row r="373">
      <c r="A373" s="35"/>
      <c r="B373" s="35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</row>
    <row r="374">
      <c r="A374" s="35"/>
      <c r="B374" s="35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</row>
    <row r="375">
      <c r="A375" s="35"/>
      <c r="B375" s="35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</row>
    <row r="376">
      <c r="A376" s="35"/>
      <c r="B376" s="35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</row>
    <row r="377">
      <c r="A377" s="35"/>
      <c r="B377" s="35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</row>
    <row r="378">
      <c r="A378" s="35"/>
      <c r="B378" s="35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</row>
    <row r="379">
      <c r="A379" s="35"/>
      <c r="B379" s="35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</row>
    <row r="380">
      <c r="A380" s="35"/>
      <c r="B380" s="35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</row>
    <row r="381">
      <c r="A381" s="35"/>
      <c r="B381" s="35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</row>
    <row r="382">
      <c r="A382" s="35"/>
      <c r="B382" s="35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</row>
    <row r="383">
      <c r="A383" s="35"/>
      <c r="B383" s="35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</row>
    <row r="384">
      <c r="A384" s="35"/>
      <c r="B384" s="35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</row>
    <row r="385">
      <c r="A385" s="35"/>
      <c r="B385" s="35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</row>
    <row r="386">
      <c r="A386" s="35"/>
      <c r="B386" s="35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</row>
    <row r="387">
      <c r="A387" s="35"/>
      <c r="B387" s="35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</row>
    <row r="388">
      <c r="A388" s="35"/>
      <c r="B388" s="35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</row>
    <row r="389">
      <c r="A389" s="35"/>
      <c r="B389" s="35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</row>
    <row r="390">
      <c r="A390" s="35"/>
      <c r="B390" s="35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</row>
    <row r="391">
      <c r="A391" s="35"/>
      <c r="B391" s="35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</row>
    <row r="392">
      <c r="A392" s="35"/>
      <c r="B392" s="35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</row>
    <row r="393">
      <c r="A393" s="35"/>
      <c r="B393" s="35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</row>
    <row r="394">
      <c r="A394" s="35"/>
      <c r="B394" s="35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</row>
    <row r="395">
      <c r="A395" s="35"/>
      <c r="B395" s="35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</row>
    <row r="396">
      <c r="A396" s="35"/>
      <c r="B396" s="35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</row>
    <row r="397">
      <c r="A397" s="35"/>
      <c r="B397" s="35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</row>
    <row r="398">
      <c r="A398" s="35"/>
      <c r="B398" s="35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</row>
    <row r="399">
      <c r="A399" s="35"/>
      <c r="B399" s="35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</row>
    <row r="400">
      <c r="A400" s="35"/>
      <c r="B400" s="35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</row>
    <row r="401">
      <c r="A401" s="35"/>
      <c r="B401" s="35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</row>
    <row r="402">
      <c r="A402" s="35"/>
      <c r="B402" s="35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</row>
    <row r="403">
      <c r="A403" s="35"/>
      <c r="B403" s="35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</row>
    <row r="404">
      <c r="A404" s="35"/>
      <c r="B404" s="35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</row>
    <row r="405">
      <c r="A405" s="35"/>
      <c r="B405" s="35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</row>
    <row r="406">
      <c r="A406" s="35"/>
      <c r="B406" s="35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</row>
    <row r="407">
      <c r="A407" s="35"/>
      <c r="B407" s="35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</row>
    <row r="408">
      <c r="A408" s="35"/>
      <c r="B408" s="35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</row>
    <row r="409">
      <c r="A409" s="35"/>
      <c r="B409" s="35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</row>
    <row r="410">
      <c r="A410" s="35"/>
      <c r="B410" s="35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</row>
    <row r="411">
      <c r="A411" s="35"/>
      <c r="B411" s="35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</row>
    <row r="412">
      <c r="A412" s="35"/>
      <c r="B412" s="35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</row>
    <row r="413">
      <c r="A413" s="35"/>
      <c r="B413" s="35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</row>
    <row r="414">
      <c r="A414" s="35"/>
      <c r="B414" s="35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</row>
    <row r="415">
      <c r="A415" s="35"/>
      <c r="B415" s="35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</row>
    <row r="416">
      <c r="A416" s="35"/>
      <c r="B416" s="35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</row>
    <row r="417">
      <c r="A417" s="35"/>
      <c r="B417" s="35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</row>
    <row r="418">
      <c r="A418" s="35"/>
      <c r="B418" s="35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</row>
    <row r="419">
      <c r="A419" s="35"/>
      <c r="B419" s="35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</row>
    <row r="420">
      <c r="A420" s="35"/>
      <c r="B420" s="35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</row>
    <row r="421">
      <c r="A421" s="35"/>
      <c r="B421" s="35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</row>
    <row r="422">
      <c r="A422" s="35"/>
      <c r="B422" s="35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</row>
    <row r="423">
      <c r="A423" s="35"/>
      <c r="B423" s="35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</row>
    <row r="424">
      <c r="A424" s="35"/>
      <c r="B424" s="35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</row>
    <row r="425">
      <c r="A425" s="35"/>
      <c r="B425" s="35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</row>
    <row r="426">
      <c r="A426" s="35"/>
      <c r="B426" s="35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</row>
    <row r="427">
      <c r="A427" s="35"/>
      <c r="B427" s="35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</row>
    <row r="428">
      <c r="A428" s="35"/>
      <c r="B428" s="35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</row>
    <row r="429">
      <c r="A429" s="35"/>
      <c r="B429" s="35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</row>
    <row r="430">
      <c r="A430" s="35"/>
      <c r="B430" s="35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</row>
    <row r="431">
      <c r="A431" s="35"/>
      <c r="B431" s="35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</row>
    <row r="432">
      <c r="A432" s="35"/>
      <c r="B432" s="35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</row>
    <row r="433">
      <c r="A433" s="35"/>
      <c r="B433" s="35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</row>
    <row r="434">
      <c r="A434" s="35"/>
      <c r="B434" s="35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</row>
    <row r="435">
      <c r="A435" s="35"/>
      <c r="B435" s="35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</row>
    <row r="436">
      <c r="A436" s="35"/>
      <c r="B436" s="35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</row>
    <row r="437">
      <c r="A437" s="35"/>
      <c r="B437" s="35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</row>
    <row r="438">
      <c r="A438" s="35"/>
      <c r="B438" s="35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</row>
    <row r="439">
      <c r="A439" s="35"/>
      <c r="B439" s="35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</row>
    <row r="440">
      <c r="A440" s="35"/>
      <c r="B440" s="35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</row>
    <row r="441">
      <c r="A441" s="35"/>
      <c r="B441" s="35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</row>
    <row r="442">
      <c r="A442" s="35"/>
      <c r="B442" s="35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</row>
    <row r="443">
      <c r="A443" s="35"/>
      <c r="B443" s="35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</row>
    <row r="444">
      <c r="A444" s="35"/>
      <c r="B444" s="35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</row>
    <row r="445">
      <c r="A445" s="35"/>
      <c r="B445" s="35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</row>
    <row r="446">
      <c r="A446" s="35"/>
      <c r="B446" s="35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</row>
    <row r="447">
      <c r="A447" s="35"/>
      <c r="B447" s="35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</row>
    <row r="448">
      <c r="A448" s="35"/>
      <c r="B448" s="35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</row>
    <row r="449">
      <c r="A449" s="35"/>
      <c r="B449" s="35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</row>
    <row r="450">
      <c r="A450" s="35"/>
      <c r="B450" s="35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</row>
    <row r="451">
      <c r="A451" s="35"/>
      <c r="B451" s="35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</row>
    <row r="452">
      <c r="A452" s="35"/>
      <c r="B452" s="35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</row>
    <row r="453">
      <c r="A453" s="35"/>
      <c r="B453" s="35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</row>
    <row r="454">
      <c r="A454" s="35"/>
      <c r="B454" s="35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</row>
    <row r="455">
      <c r="A455" s="35"/>
      <c r="B455" s="35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</row>
    <row r="456">
      <c r="A456" s="35"/>
      <c r="B456" s="35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</row>
    <row r="457">
      <c r="A457" s="35"/>
      <c r="B457" s="35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</row>
    <row r="458">
      <c r="A458" s="35"/>
      <c r="B458" s="35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</row>
    <row r="459">
      <c r="A459" s="35"/>
      <c r="B459" s="35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</row>
    <row r="460">
      <c r="A460" s="35"/>
      <c r="B460" s="35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</row>
    <row r="461">
      <c r="A461" s="35"/>
      <c r="B461" s="35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</row>
    <row r="462">
      <c r="A462" s="35"/>
      <c r="B462" s="35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</row>
    <row r="463">
      <c r="A463" s="35"/>
      <c r="B463" s="35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</row>
    <row r="464">
      <c r="A464" s="35"/>
      <c r="B464" s="35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</row>
    <row r="465">
      <c r="A465" s="35"/>
      <c r="B465" s="35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</row>
    <row r="466">
      <c r="A466" s="35"/>
      <c r="B466" s="35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</row>
    <row r="467">
      <c r="A467" s="35"/>
      <c r="B467" s="35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</row>
    <row r="468">
      <c r="A468" s="35"/>
      <c r="B468" s="35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</row>
    <row r="469">
      <c r="A469" s="35"/>
      <c r="B469" s="35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</row>
    <row r="470">
      <c r="A470" s="35"/>
      <c r="B470" s="35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</row>
    <row r="471">
      <c r="A471" s="35"/>
      <c r="B471" s="35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</row>
    <row r="472">
      <c r="A472" s="35"/>
      <c r="B472" s="35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</row>
    <row r="473">
      <c r="A473" s="35"/>
      <c r="B473" s="35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</row>
    <row r="474">
      <c r="A474" s="35"/>
      <c r="B474" s="35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</row>
    <row r="475">
      <c r="A475" s="35"/>
      <c r="B475" s="35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</row>
    <row r="476">
      <c r="A476" s="35"/>
      <c r="B476" s="35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</row>
    <row r="477">
      <c r="A477" s="35"/>
      <c r="B477" s="35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</row>
    <row r="478">
      <c r="A478" s="35"/>
      <c r="B478" s="35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</row>
    <row r="479">
      <c r="A479" s="35"/>
      <c r="B479" s="35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</row>
    <row r="480">
      <c r="A480" s="35"/>
      <c r="B480" s="35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</row>
    <row r="481">
      <c r="A481" s="35"/>
      <c r="B481" s="35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</row>
    <row r="482">
      <c r="A482" s="35"/>
      <c r="B482" s="35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</row>
    <row r="483">
      <c r="A483" s="35"/>
      <c r="B483" s="35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</row>
    <row r="484">
      <c r="A484" s="35"/>
      <c r="B484" s="35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</row>
    <row r="485">
      <c r="A485" s="35"/>
      <c r="B485" s="35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</row>
    <row r="486">
      <c r="A486" s="35"/>
      <c r="B486" s="35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</row>
    <row r="487">
      <c r="A487" s="35"/>
      <c r="B487" s="35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</row>
    <row r="488">
      <c r="A488" s="35"/>
      <c r="B488" s="35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</row>
    <row r="489">
      <c r="A489" s="35"/>
      <c r="B489" s="35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</row>
    <row r="490">
      <c r="A490" s="35"/>
      <c r="B490" s="35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</row>
    <row r="491">
      <c r="A491" s="35"/>
      <c r="B491" s="35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</row>
    <row r="492">
      <c r="A492" s="35"/>
      <c r="B492" s="35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</row>
    <row r="493">
      <c r="A493" s="35"/>
      <c r="B493" s="35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</row>
    <row r="494">
      <c r="A494" s="35"/>
      <c r="B494" s="35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</row>
    <row r="495">
      <c r="A495" s="35"/>
      <c r="B495" s="35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</row>
    <row r="496">
      <c r="A496" s="35"/>
      <c r="B496" s="35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</row>
    <row r="497">
      <c r="A497" s="35"/>
      <c r="B497" s="35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</row>
    <row r="498">
      <c r="A498" s="35"/>
      <c r="B498" s="35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</row>
    <row r="499">
      <c r="A499" s="35"/>
      <c r="B499" s="35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</row>
    <row r="500">
      <c r="A500" s="35"/>
      <c r="B500" s="35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</row>
    <row r="501">
      <c r="A501" s="35"/>
      <c r="B501" s="35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</row>
    <row r="502">
      <c r="A502" s="35"/>
      <c r="B502" s="35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</row>
    <row r="503">
      <c r="A503" s="35"/>
      <c r="B503" s="35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</row>
    <row r="504">
      <c r="A504" s="35"/>
      <c r="B504" s="35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</row>
    <row r="505">
      <c r="A505" s="35"/>
      <c r="B505" s="35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</row>
    <row r="506">
      <c r="A506" s="35"/>
      <c r="B506" s="35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</row>
    <row r="507">
      <c r="A507" s="35"/>
      <c r="B507" s="35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</row>
    <row r="508">
      <c r="A508" s="35"/>
      <c r="B508" s="35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</row>
    <row r="509">
      <c r="A509" s="35"/>
      <c r="B509" s="35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</row>
    <row r="510">
      <c r="A510" s="35"/>
      <c r="B510" s="35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</row>
    <row r="511">
      <c r="A511" s="35"/>
      <c r="B511" s="35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</row>
    <row r="512">
      <c r="A512" s="35"/>
      <c r="B512" s="35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</row>
    <row r="513">
      <c r="A513" s="35"/>
      <c r="B513" s="35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</row>
    <row r="514">
      <c r="A514" s="35"/>
      <c r="B514" s="35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</row>
    <row r="515">
      <c r="A515" s="35"/>
      <c r="B515" s="35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</row>
    <row r="516">
      <c r="A516" s="35"/>
      <c r="B516" s="35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</row>
    <row r="517">
      <c r="A517" s="35"/>
      <c r="B517" s="35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</row>
    <row r="518">
      <c r="A518" s="35"/>
      <c r="B518" s="35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</row>
    <row r="519">
      <c r="A519" s="35"/>
      <c r="B519" s="35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</row>
    <row r="520">
      <c r="A520" s="35"/>
      <c r="B520" s="35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</row>
    <row r="521">
      <c r="A521" s="35"/>
      <c r="B521" s="35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</row>
    <row r="522">
      <c r="A522" s="35"/>
      <c r="B522" s="35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</row>
    <row r="523">
      <c r="A523" s="35"/>
      <c r="B523" s="35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</row>
    <row r="524">
      <c r="A524" s="35"/>
      <c r="B524" s="35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</row>
    <row r="525">
      <c r="A525" s="35"/>
      <c r="B525" s="35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</row>
    <row r="526">
      <c r="A526" s="35"/>
      <c r="B526" s="35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</row>
    <row r="527">
      <c r="A527" s="35"/>
      <c r="B527" s="35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</row>
    <row r="528">
      <c r="A528" s="35"/>
      <c r="B528" s="35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</row>
    <row r="529">
      <c r="A529" s="35"/>
      <c r="B529" s="35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</row>
    <row r="530">
      <c r="A530" s="35"/>
      <c r="B530" s="35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</row>
    <row r="531">
      <c r="A531" s="35"/>
      <c r="B531" s="35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</row>
    <row r="532">
      <c r="A532" s="35"/>
      <c r="B532" s="35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</row>
    <row r="533">
      <c r="A533" s="35"/>
      <c r="B533" s="35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</row>
    <row r="534">
      <c r="A534" s="35"/>
      <c r="B534" s="35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</row>
    <row r="535">
      <c r="A535" s="35"/>
      <c r="B535" s="35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</row>
    <row r="536">
      <c r="A536" s="35"/>
      <c r="B536" s="35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</row>
    <row r="537">
      <c r="A537" s="35"/>
      <c r="B537" s="35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</row>
    <row r="538">
      <c r="A538" s="35"/>
      <c r="B538" s="35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</row>
    <row r="539">
      <c r="A539" s="35"/>
      <c r="B539" s="35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</row>
    <row r="540">
      <c r="A540" s="35"/>
      <c r="B540" s="35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</row>
    <row r="541">
      <c r="A541" s="35"/>
      <c r="B541" s="35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</row>
    <row r="542">
      <c r="A542" s="35"/>
      <c r="B542" s="35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</row>
    <row r="543">
      <c r="A543" s="35"/>
      <c r="B543" s="35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</row>
    <row r="544">
      <c r="A544" s="35"/>
      <c r="B544" s="35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</row>
    <row r="545">
      <c r="A545" s="35"/>
      <c r="B545" s="35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</row>
    <row r="546">
      <c r="A546" s="35"/>
      <c r="B546" s="35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</row>
    <row r="547">
      <c r="A547" s="35"/>
      <c r="B547" s="35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</row>
    <row r="548">
      <c r="A548" s="35"/>
      <c r="B548" s="35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</row>
    <row r="549">
      <c r="A549" s="35"/>
      <c r="B549" s="35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</row>
    <row r="550">
      <c r="A550" s="35"/>
      <c r="B550" s="35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</row>
    <row r="551">
      <c r="A551" s="35"/>
      <c r="B551" s="35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</row>
    <row r="552">
      <c r="A552" s="35"/>
      <c r="B552" s="35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</row>
    <row r="553">
      <c r="A553" s="35"/>
      <c r="B553" s="35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</row>
    <row r="554">
      <c r="A554" s="35"/>
      <c r="B554" s="35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</row>
    <row r="555">
      <c r="A555" s="35"/>
      <c r="B555" s="35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</row>
    <row r="556">
      <c r="A556" s="35"/>
      <c r="B556" s="35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</row>
    <row r="557">
      <c r="A557" s="35"/>
      <c r="B557" s="35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</row>
    <row r="558">
      <c r="A558" s="35"/>
      <c r="B558" s="35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</row>
    <row r="559">
      <c r="A559" s="35"/>
      <c r="B559" s="35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</row>
    <row r="560">
      <c r="A560" s="35"/>
      <c r="B560" s="35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</row>
    <row r="561">
      <c r="A561" s="35"/>
      <c r="B561" s="35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</row>
    <row r="562">
      <c r="A562" s="35"/>
      <c r="B562" s="35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</row>
    <row r="563">
      <c r="A563" s="35"/>
      <c r="B563" s="35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</row>
    <row r="564">
      <c r="A564" s="35"/>
      <c r="B564" s="35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</row>
    <row r="565">
      <c r="A565" s="35"/>
      <c r="B565" s="35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</row>
    <row r="566">
      <c r="A566" s="35"/>
      <c r="B566" s="35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</row>
    <row r="567">
      <c r="A567" s="35"/>
      <c r="B567" s="35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</row>
    <row r="568">
      <c r="A568" s="35"/>
      <c r="B568" s="35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</row>
    <row r="569">
      <c r="A569" s="35"/>
      <c r="B569" s="35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</row>
    <row r="570">
      <c r="A570" s="35"/>
      <c r="B570" s="35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</row>
    <row r="571">
      <c r="A571" s="35"/>
      <c r="B571" s="35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</row>
    <row r="572">
      <c r="A572" s="35"/>
      <c r="B572" s="35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</row>
    <row r="573">
      <c r="A573" s="35"/>
      <c r="B573" s="35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</row>
    <row r="574">
      <c r="A574" s="35"/>
      <c r="B574" s="35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</row>
    <row r="575">
      <c r="A575" s="35"/>
      <c r="B575" s="35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</row>
    <row r="576">
      <c r="A576" s="35"/>
      <c r="B576" s="35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</row>
    <row r="577">
      <c r="A577" s="35"/>
      <c r="B577" s="35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</row>
    <row r="578">
      <c r="A578" s="35"/>
      <c r="B578" s="35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</row>
    <row r="579">
      <c r="A579" s="35"/>
      <c r="B579" s="35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</row>
    <row r="580">
      <c r="A580" s="35"/>
      <c r="B580" s="35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</row>
    <row r="581">
      <c r="A581" s="35"/>
      <c r="B581" s="35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</row>
    <row r="582">
      <c r="A582" s="35"/>
      <c r="B582" s="35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</row>
    <row r="583">
      <c r="A583" s="35"/>
      <c r="B583" s="35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</row>
    <row r="584">
      <c r="A584" s="35"/>
      <c r="B584" s="35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</row>
    <row r="585">
      <c r="A585" s="35"/>
      <c r="B585" s="35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</row>
    <row r="586">
      <c r="A586" s="35"/>
      <c r="B586" s="35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</row>
    <row r="587">
      <c r="A587" s="35"/>
      <c r="B587" s="35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</row>
    <row r="588">
      <c r="A588" s="35"/>
      <c r="B588" s="35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</row>
    <row r="589">
      <c r="A589" s="35"/>
      <c r="B589" s="35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</row>
    <row r="590">
      <c r="A590" s="35"/>
      <c r="B590" s="35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</row>
    <row r="591">
      <c r="A591" s="35"/>
      <c r="B591" s="35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</row>
    <row r="592">
      <c r="A592" s="35"/>
      <c r="B592" s="35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</row>
    <row r="593">
      <c r="A593" s="35"/>
      <c r="B593" s="35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</row>
    <row r="594">
      <c r="A594" s="35"/>
      <c r="B594" s="35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</row>
    <row r="595">
      <c r="A595" s="35"/>
      <c r="B595" s="35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</row>
    <row r="596">
      <c r="A596" s="35"/>
      <c r="B596" s="35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</row>
    <row r="597">
      <c r="A597" s="35"/>
      <c r="B597" s="35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</row>
    <row r="598">
      <c r="A598" s="35"/>
      <c r="B598" s="35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</row>
    <row r="599">
      <c r="A599" s="35"/>
      <c r="B599" s="35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</row>
    <row r="600">
      <c r="A600" s="35"/>
      <c r="B600" s="35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</row>
    <row r="601">
      <c r="A601" s="35"/>
      <c r="B601" s="35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</row>
    <row r="602">
      <c r="A602" s="35"/>
      <c r="B602" s="35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</row>
    <row r="603">
      <c r="A603" s="35"/>
      <c r="B603" s="35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</row>
    <row r="604">
      <c r="A604" s="35"/>
      <c r="B604" s="35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</row>
    <row r="605">
      <c r="A605" s="35"/>
      <c r="B605" s="35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</row>
    <row r="606">
      <c r="A606" s="35"/>
      <c r="B606" s="35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</row>
    <row r="607">
      <c r="A607" s="35"/>
      <c r="B607" s="35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</row>
    <row r="608">
      <c r="A608" s="35"/>
      <c r="B608" s="35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</row>
    <row r="609">
      <c r="A609" s="35"/>
      <c r="B609" s="35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</row>
    <row r="610">
      <c r="A610" s="35"/>
      <c r="B610" s="35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</row>
    <row r="611">
      <c r="A611" s="35"/>
      <c r="B611" s="35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</row>
    <row r="612">
      <c r="A612" s="35"/>
      <c r="B612" s="35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</row>
    <row r="613">
      <c r="A613" s="35"/>
      <c r="B613" s="35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</row>
    <row r="614">
      <c r="A614" s="35"/>
      <c r="B614" s="35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</row>
    <row r="615">
      <c r="A615" s="35"/>
      <c r="B615" s="35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</row>
    <row r="616">
      <c r="A616" s="35"/>
      <c r="B616" s="35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</row>
    <row r="617">
      <c r="A617" s="35"/>
      <c r="B617" s="35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</row>
    <row r="618">
      <c r="A618" s="35"/>
      <c r="B618" s="35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</row>
    <row r="619">
      <c r="A619" s="35"/>
      <c r="B619" s="35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</row>
    <row r="620">
      <c r="A620" s="35"/>
      <c r="B620" s="35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</row>
    <row r="621">
      <c r="A621" s="35"/>
      <c r="B621" s="35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</row>
    <row r="622">
      <c r="A622" s="35"/>
      <c r="B622" s="35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</row>
    <row r="623">
      <c r="A623" s="35"/>
      <c r="B623" s="35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</row>
    <row r="624">
      <c r="A624" s="35"/>
      <c r="B624" s="35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</row>
    <row r="625">
      <c r="A625" s="35"/>
      <c r="B625" s="35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</row>
    <row r="626">
      <c r="A626" s="35"/>
      <c r="B626" s="35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</row>
    <row r="627">
      <c r="A627" s="35"/>
      <c r="B627" s="35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</row>
    <row r="628">
      <c r="A628" s="35"/>
      <c r="B628" s="35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</row>
    <row r="629">
      <c r="A629" s="35"/>
      <c r="B629" s="35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</row>
    <row r="630">
      <c r="A630" s="35"/>
      <c r="B630" s="35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</row>
    <row r="631">
      <c r="A631" s="35"/>
      <c r="B631" s="35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</row>
    <row r="632">
      <c r="A632" s="35"/>
      <c r="B632" s="35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</row>
    <row r="633">
      <c r="A633" s="35"/>
      <c r="B633" s="35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</row>
    <row r="634">
      <c r="A634" s="35"/>
      <c r="B634" s="35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</row>
    <row r="635">
      <c r="A635" s="35"/>
      <c r="B635" s="35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</row>
    <row r="636">
      <c r="A636" s="35"/>
      <c r="B636" s="35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</row>
    <row r="637">
      <c r="A637" s="35"/>
      <c r="B637" s="35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</row>
    <row r="638">
      <c r="A638" s="35"/>
      <c r="B638" s="35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</row>
    <row r="639">
      <c r="A639" s="35"/>
      <c r="B639" s="35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</row>
    <row r="640">
      <c r="A640" s="35"/>
      <c r="B640" s="35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</row>
    <row r="641">
      <c r="A641" s="35"/>
      <c r="B641" s="35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</row>
    <row r="642">
      <c r="A642" s="35"/>
      <c r="B642" s="35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</row>
    <row r="643">
      <c r="A643" s="35"/>
      <c r="B643" s="35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</row>
    <row r="644">
      <c r="A644" s="35"/>
      <c r="B644" s="35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</row>
    <row r="645">
      <c r="A645" s="35"/>
      <c r="B645" s="35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</row>
    <row r="646">
      <c r="A646" s="35"/>
      <c r="B646" s="35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</row>
    <row r="647">
      <c r="A647" s="35"/>
      <c r="B647" s="35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</row>
    <row r="648">
      <c r="A648" s="35"/>
      <c r="B648" s="35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</row>
    <row r="649">
      <c r="A649" s="35"/>
      <c r="B649" s="35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</row>
    <row r="650">
      <c r="A650" s="35"/>
      <c r="B650" s="35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</row>
    <row r="651">
      <c r="A651" s="35"/>
      <c r="B651" s="35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</row>
    <row r="652">
      <c r="A652" s="35"/>
      <c r="B652" s="35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</row>
    <row r="653">
      <c r="A653" s="35"/>
      <c r="B653" s="35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</row>
    <row r="654">
      <c r="A654" s="35"/>
      <c r="B654" s="35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</row>
    <row r="655">
      <c r="A655" s="35"/>
      <c r="B655" s="35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</row>
    <row r="656">
      <c r="A656" s="35"/>
      <c r="B656" s="35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</row>
    <row r="657">
      <c r="A657" s="35"/>
      <c r="B657" s="35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</row>
    <row r="658">
      <c r="A658" s="35"/>
      <c r="B658" s="35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</row>
    <row r="659">
      <c r="A659" s="35"/>
      <c r="B659" s="35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</row>
    <row r="660">
      <c r="A660" s="35"/>
      <c r="B660" s="35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</row>
    <row r="661">
      <c r="A661" s="35"/>
      <c r="B661" s="35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</row>
    <row r="662">
      <c r="A662" s="35"/>
      <c r="B662" s="35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</row>
    <row r="663">
      <c r="A663" s="35"/>
      <c r="B663" s="35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</row>
    <row r="664">
      <c r="A664" s="35"/>
      <c r="B664" s="35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</row>
    <row r="665">
      <c r="A665" s="35"/>
      <c r="B665" s="35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</row>
    <row r="666">
      <c r="A666" s="35"/>
      <c r="B666" s="35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</row>
    <row r="667">
      <c r="A667" s="35"/>
      <c r="B667" s="35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</row>
    <row r="668">
      <c r="A668" s="35"/>
      <c r="B668" s="35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</row>
    <row r="669">
      <c r="A669" s="35"/>
      <c r="B669" s="35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</row>
    <row r="670">
      <c r="A670" s="35"/>
      <c r="B670" s="35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</row>
    <row r="671">
      <c r="A671" s="35"/>
      <c r="B671" s="35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</row>
    <row r="672">
      <c r="A672" s="35"/>
      <c r="B672" s="35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</row>
    <row r="673">
      <c r="A673" s="35"/>
      <c r="B673" s="35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</row>
    <row r="674">
      <c r="A674" s="35"/>
      <c r="B674" s="35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</row>
    <row r="675">
      <c r="A675" s="35"/>
      <c r="B675" s="35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</row>
    <row r="676">
      <c r="A676" s="35"/>
      <c r="B676" s="35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</row>
    <row r="677">
      <c r="A677" s="35"/>
      <c r="B677" s="35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</row>
    <row r="678">
      <c r="A678" s="35"/>
      <c r="B678" s="35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</row>
    <row r="679">
      <c r="A679" s="35"/>
      <c r="B679" s="35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</row>
    <row r="680">
      <c r="A680" s="35"/>
      <c r="B680" s="35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</row>
    <row r="681">
      <c r="A681" s="35"/>
      <c r="B681" s="35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</row>
    <row r="682">
      <c r="A682" s="35"/>
      <c r="B682" s="35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</row>
    <row r="683">
      <c r="A683" s="35"/>
      <c r="B683" s="35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</row>
    <row r="684">
      <c r="A684" s="35"/>
      <c r="B684" s="35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</row>
    <row r="685">
      <c r="A685" s="35"/>
      <c r="B685" s="35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</row>
    <row r="686">
      <c r="A686" s="35"/>
      <c r="B686" s="35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</row>
    <row r="687">
      <c r="A687" s="35"/>
      <c r="B687" s="35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</row>
    <row r="688">
      <c r="A688" s="35"/>
      <c r="B688" s="35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</row>
    <row r="689">
      <c r="A689" s="35"/>
      <c r="B689" s="35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</row>
    <row r="690">
      <c r="A690" s="35"/>
      <c r="B690" s="35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</row>
    <row r="691">
      <c r="A691" s="35"/>
      <c r="B691" s="35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</row>
    <row r="692">
      <c r="A692" s="35"/>
      <c r="B692" s="35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</row>
    <row r="693">
      <c r="A693" s="35"/>
      <c r="B693" s="35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</row>
    <row r="694">
      <c r="A694" s="35"/>
      <c r="B694" s="35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</row>
    <row r="695">
      <c r="A695" s="35"/>
      <c r="B695" s="35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</row>
    <row r="696">
      <c r="A696" s="35"/>
      <c r="B696" s="35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</row>
    <row r="697">
      <c r="A697" s="35"/>
      <c r="B697" s="35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</row>
    <row r="698">
      <c r="A698" s="35"/>
      <c r="B698" s="35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</row>
    <row r="699">
      <c r="A699" s="35"/>
      <c r="B699" s="35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</row>
    <row r="700">
      <c r="A700" s="35"/>
      <c r="B700" s="35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</row>
    <row r="701">
      <c r="A701" s="35"/>
      <c r="B701" s="35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</row>
    <row r="702">
      <c r="A702" s="35"/>
      <c r="B702" s="35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</row>
    <row r="703">
      <c r="A703" s="35"/>
      <c r="B703" s="35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</row>
    <row r="704">
      <c r="A704" s="35"/>
      <c r="B704" s="35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</row>
    <row r="705">
      <c r="A705" s="35"/>
      <c r="B705" s="35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</row>
    <row r="706">
      <c r="A706" s="35"/>
      <c r="B706" s="35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</row>
    <row r="707">
      <c r="A707" s="35"/>
      <c r="B707" s="35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</row>
    <row r="708">
      <c r="A708" s="35"/>
      <c r="B708" s="35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</row>
    <row r="709">
      <c r="A709" s="35"/>
      <c r="B709" s="35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</row>
    <row r="710">
      <c r="A710" s="35"/>
      <c r="B710" s="35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</row>
    <row r="711">
      <c r="A711" s="35"/>
      <c r="B711" s="35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</row>
    <row r="712">
      <c r="A712" s="35"/>
      <c r="B712" s="35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</row>
    <row r="713">
      <c r="A713" s="35"/>
      <c r="B713" s="35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</row>
    <row r="714">
      <c r="A714" s="35"/>
      <c r="B714" s="35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</row>
    <row r="715">
      <c r="A715" s="35"/>
      <c r="B715" s="35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</row>
    <row r="716">
      <c r="A716" s="35"/>
      <c r="B716" s="35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</row>
    <row r="717">
      <c r="A717" s="35"/>
      <c r="B717" s="35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</row>
    <row r="718">
      <c r="A718" s="35"/>
      <c r="B718" s="35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</row>
    <row r="719">
      <c r="A719" s="35"/>
      <c r="B719" s="35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</row>
    <row r="720">
      <c r="A720" s="35"/>
      <c r="B720" s="35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</row>
    <row r="721">
      <c r="A721" s="35"/>
      <c r="B721" s="35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</row>
    <row r="722">
      <c r="A722" s="35"/>
      <c r="B722" s="35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</row>
    <row r="723">
      <c r="A723" s="35"/>
      <c r="B723" s="35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</row>
    <row r="724">
      <c r="A724" s="35"/>
      <c r="B724" s="35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</row>
    <row r="725">
      <c r="A725" s="35"/>
      <c r="B725" s="35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</row>
    <row r="726">
      <c r="A726" s="35"/>
      <c r="B726" s="35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</row>
    <row r="727">
      <c r="A727" s="35"/>
      <c r="B727" s="35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</row>
    <row r="728">
      <c r="A728" s="35"/>
      <c r="B728" s="35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</row>
    <row r="729">
      <c r="A729" s="35"/>
      <c r="B729" s="35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</row>
    <row r="730">
      <c r="A730" s="35"/>
      <c r="B730" s="35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</row>
    <row r="731">
      <c r="A731" s="35"/>
      <c r="B731" s="35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</row>
    <row r="732">
      <c r="A732" s="35"/>
      <c r="B732" s="35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</row>
    <row r="733">
      <c r="A733" s="35"/>
      <c r="B733" s="35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</row>
    <row r="734">
      <c r="A734" s="35"/>
      <c r="B734" s="35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</row>
    <row r="735">
      <c r="A735" s="35"/>
      <c r="B735" s="35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</row>
    <row r="736">
      <c r="A736" s="35"/>
      <c r="B736" s="35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</row>
    <row r="737">
      <c r="A737" s="35"/>
      <c r="B737" s="35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</row>
    <row r="738">
      <c r="A738" s="35"/>
      <c r="B738" s="35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</row>
    <row r="739">
      <c r="A739" s="35"/>
      <c r="B739" s="35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</row>
    <row r="740">
      <c r="A740" s="35"/>
      <c r="B740" s="35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</row>
    <row r="741">
      <c r="A741" s="35"/>
      <c r="B741" s="35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</row>
    <row r="742">
      <c r="A742" s="35"/>
      <c r="B742" s="35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</row>
    <row r="743">
      <c r="A743" s="35"/>
      <c r="B743" s="35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</row>
    <row r="744">
      <c r="A744" s="35"/>
      <c r="B744" s="35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</row>
    <row r="745">
      <c r="A745" s="35"/>
      <c r="B745" s="35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</row>
    <row r="746">
      <c r="A746" s="35"/>
      <c r="B746" s="35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</row>
    <row r="747">
      <c r="A747" s="35"/>
      <c r="B747" s="35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</row>
    <row r="748">
      <c r="A748" s="35"/>
      <c r="B748" s="35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</row>
    <row r="749">
      <c r="A749" s="35"/>
      <c r="B749" s="35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</row>
    <row r="750">
      <c r="A750" s="35"/>
      <c r="B750" s="35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</row>
    <row r="751">
      <c r="A751" s="35"/>
      <c r="B751" s="35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</row>
    <row r="752">
      <c r="A752" s="35"/>
      <c r="B752" s="35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</row>
    <row r="753">
      <c r="A753" s="35"/>
      <c r="B753" s="35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</row>
    <row r="754">
      <c r="A754" s="35"/>
      <c r="B754" s="35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</row>
    <row r="755">
      <c r="A755" s="35"/>
      <c r="B755" s="35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</row>
    <row r="756">
      <c r="A756" s="35"/>
      <c r="B756" s="35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</row>
    <row r="757">
      <c r="A757" s="35"/>
      <c r="B757" s="35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</row>
    <row r="758">
      <c r="A758" s="35"/>
      <c r="B758" s="35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</row>
    <row r="759">
      <c r="A759" s="35"/>
      <c r="B759" s="35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</row>
    <row r="760">
      <c r="A760" s="35"/>
      <c r="B760" s="35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</row>
    <row r="761">
      <c r="A761" s="35"/>
      <c r="B761" s="35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</row>
    <row r="762">
      <c r="A762" s="35"/>
      <c r="B762" s="35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</row>
    <row r="763">
      <c r="A763" s="35"/>
      <c r="B763" s="35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</row>
    <row r="764">
      <c r="A764" s="35"/>
      <c r="B764" s="35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</row>
    <row r="765">
      <c r="A765" s="35"/>
      <c r="B765" s="35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</row>
    <row r="766">
      <c r="A766" s="35"/>
      <c r="B766" s="35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</row>
    <row r="767">
      <c r="A767" s="35"/>
      <c r="B767" s="35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</row>
    <row r="768">
      <c r="A768" s="35"/>
      <c r="B768" s="35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</row>
    <row r="769">
      <c r="A769" s="35"/>
      <c r="B769" s="35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</row>
    <row r="770">
      <c r="A770" s="35"/>
      <c r="B770" s="35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</row>
    <row r="771">
      <c r="A771" s="35"/>
      <c r="B771" s="35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</row>
    <row r="772">
      <c r="A772" s="35"/>
      <c r="B772" s="35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</row>
    <row r="773">
      <c r="A773" s="35"/>
      <c r="B773" s="35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</row>
    <row r="774">
      <c r="A774" s="35"/>
      <c r="B774" s="35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</row>
    <row r="775">
      <c r="A775" s="35"/>
      <c r="B775" s="35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</row>
    <row r="776">
      <c r="A776" s="35"/>
      <c r="B776" s="35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</row>
    <row r="777">
      <c r="A777" s="35"/>
      <c r="B777" s="35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</row>
    <row r="778">
      <c r="A778" s="35"/>
      <c r="B778" s="35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</row>
    <row r="779">
      <c r="A779" s="35"/>
      <c r="B779" s="35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</row>
    <row r="780">
      <c r="A780" s="35"/>
      <c r="B780" s="35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</row>
    <row r="781">
      <c r="A781" s="35"/>
      <c r="B781" s="35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</row>
    <row r="782">
      <c r="A782" s="35"/>
      <c r="B782" s="35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</row>
    <row r="783">
      <c r="A783" s="35"/>
      <c r="B783" s="35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</row>
    <row r="784">
      <c r="A784" s="35"/>
      <c r="B784" s="35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</row>
    <row r="785">
      <c r="A785" s="35"/>
      <c r="B785" s="35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</row>
    <row r="786">
      <c r="A786" s="35"/>
      <c r="B786" s="35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</row>
    <row r="787">
      <c r="A787" s="35"/>
      <c r="B787" s="35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</row>
    <row r="788">
      <c r="A788" s="35"/>
      <c r="B788" s="35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</row>
    <row r="789">
      <c r="A789" s="35"/>
      <c r="B789" s="35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</row>
    <row r="790">
      <c r="A790" s="35"/>
      <c r="B790" s="35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</row>
    <row r="791">
      <c r="A791" s="35"/>
      <c r="B791" s="35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</row>
    <row r="792">
      <c r="A792" s="35"/>
      <c r="B792" s="35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</row>
    <row r="793">
      <c r="A793" s="35"/>
      <c r="B793" s="35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</row>
    <row r="794">
      <c r="A794" s="35"/>
      <c r="B794" s="35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</row>
    <row r="795">
      <c r="A795" s="35"/>
      <c r="B795" s="35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</row>
    <row r="796">
      <c r="A796" s="35"/>
      <c r="B796" s="35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</row>
    <row r="797">
      <c r="A797" s="35"/>
      <c r="B797" s="35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</row>
    <row r="798">
      <c r="A798" s="35"/>
      <c r="B798" s="35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</row>
    <row r="799">
      <c r="A799" s="35"/>
      <c r="B799" s="35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</row>
    <row r="800">
      <c r="A800" s="35"/>
      <c r="B800" s="35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</row>
    <row r="801">
      <c r="A801" s="35"/>
      <c r="B801" s="35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</row>
    <row r="802">
      <c r="A802" s="35"/>
      <c r="B802" s="35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</row>
    <row r="803">
      <c r="A803" s="35"/>
      <c r="B803" s="35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</row>
    <row r="804">
      <c r="A804" s="35"/>
      <c r="B804" s="35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</row>
    <row r="805">
      <c r="A805" s="35"/>
      <c r="B805" s="35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</row>
    <row r="806">
      <c r="A806" s="35"/>
      <c r="B806" s="35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</row>
    <row r="807">
      <c r="A807" s="35"/>
      <c r="B807" s="35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</row>
    <row r="808">
      <c r="A808" s="35"/>
      <c r="B808" s="35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</row>
    <row r="809">
      <c r="A809" s="35"/>
      <c r="B809" s="35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</row>
    <row r="810">
      <c r="A810" s="35"/>
      <c r="B810" s="35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</row>
    <row r="811">
      <c r="A811" s="35"/>
      <c r="B811" s="35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</row>
    <row r="812">
      <c r="A812" s="35"/>
      <c r="B812" s="35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</row>
    <row r="813">
      <c r="A813" s="35"/>
      <c r="B813" s="35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</row>
    <row r="814">
      <c r="A814" s="35"/>
      <c r="B814" s="35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</row>
    <row r="815">
      <c r="A815" s="35"/>
      <c r="B815" s="35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</row>
    <row r="816">
      <c r="A816" s="35"/>
      <c r="B816" s="35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</row>
    <row r="817">
      <c r="A817" s="35"/>
      <c r="B817" s="35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</row>
    <row r="818">
      <c r="A818" s="35"/>
      <c r="B818" s="35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</row>
    <row r="819">
      <c r="A819" s="35"/>
      <c r="B819" s="35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</row>
    <row r="820">
      <c r="A820" s="35"/>
      <c r="B820" s="35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</row>
    <row r="821">
      <c r="A821" s="35"/>
      <c r="B821" s="35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</row>
    <row r="822">
      <c r="A822" s="35"/>
      <c r="B822" s="35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</row>
    <row r="823">
      <c r="A823" s="35"/>
      <c r="B823" s="35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</row>
    <row r="824">
      <c r="A824" s="35"/>
      <c r="B824" s="35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</row>
    <row r="825">
      <c r="A825" s="35"/>
      <c r="B825" s="35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</row>
    <row r="826">
      <c r="A826" s="35"/>
      <c r="B826" s="35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</row>
    <row r="827">
      <c r="A827" s="35"/>
      <c r="B827" s="35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</row>
    <row r="828">
      <c r="A828" s="35"/>
      <c r="B828" s="35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</row>
    <row r="829">
      <c r="A829" s="35"/>
      <c r="B829" s="35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</row>
    <row r="830">
      <c r="A830" s="35"/>
      <c r="B830" s="35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</row>
    <row r="831">
      <c r="A831" s="35"/>
      <c r="B831" s="35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</row>
    <row r="832">
      <c r="A832" s="35"/>
      <c r="B832" s="35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</row>
    <row r="833">
      <c r="A833" s="35"/>
      <c r="B833" s="35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</row>
    <row r="834">
      <c r="A834" s="35"/>
      <c r="B834" s="35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</row>
    <row r="835">
      <c r="A835" s="35"/>
      <c r="B835" s="35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</row>
    <row r="836">
      <c r="A836" s="35"/>
      <c r="B836" s="35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</row>
    <row r="837">
      <c r="A837" s="35"/>
      <c r="B837" s="35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</row>
    <row r="838">
      <c r="A838" s="35"/>
      <c r="B838" s="35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</row>
    <row r="839">
      <c r="A839" s="35"/>
      <c r="B839" s="35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</row>
    <row r="840">
      <c r="A840" s="35"/>
      <c r="B840" s="35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</row>
    <row r="841">
      <c r="A841" s="35"/>
      <c r="B841" s="35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</row>
    <row r="842">
      <c r="A842" s="35"/>
      <c r="B842" s="35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</row>
    <row r="843">
      <c r="A843" s="35"/>
      <c r="B843" s="35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</row>
    <row r="844">
      <c r="A844" s="35"/>
      <c r="B844" s="35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</row>
    <row r="845">
      <c r="A845" s="35"/>
      <c r="B845" s="35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</row>
    <row r="846">
      <c r="A846" s="35"/>
      <c r="B846" s="35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</row>
    <row r="847">
      <c r="A847" s="35"/>
      <c r="B847" s="35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</row>
    <row r="848">
      <c r="A848" s="35"/>
      <c r="B848" s="35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</row>
    <row r="849">
      <c r="A849" s="35"/>
      <c r="B849" s="35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</row>
    <row r="850">
      <c r="A850" s="35"/>
      <c r="B850" s="35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</row>
    <row r="851">
      <c r="A851" s="35"/>
      <c r="B851" s="35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</row>
    <row r="852">
      <c r="A852" s="35"/>
      <c r="B852" s="35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</row>
    <row r="853">
      <c r="A853" s="35"/>
      <c r="B853" s="35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</row>
    <row r="854">
      <c r="A854" s="35"/>
      <c r="B854" s="35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</row>
    <row r="855">
      <c r="A855" s="35"/>
      <c r="B855" s="35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</row>
    <row r="856">
      <c r="A856" s="35"/>
      <c r="B856" s="35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</row>
    <row r="857">
      <c r="A857" s="35"/>
      <c r="B857" s="35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</row>
    <row r="858">
      <c r="A858" s="35"/>
      <c r="B858" s="35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</row>
    <row r="859">
      <c r="A859" s="35"/>
      <c r="B859" s="35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</row>
    <row r="860">
      <c r="A860" s="35"/>
      <c r="B860" s="35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</row>
    <row r="861">
      <c r="A861" s="35"/>
      <c r="B861" s="35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</row>
    <row r="862">
      <c r="A862" s="35"/>
      <c r="B862" s="35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</row>
    <row r="863">
      <c r="A863" s="35"/>
      <c r="B863" s="35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</row>
    <row r="864">
      <c r="A864" s="35"/>
      <c r="B864" s="35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</row>
    <row r="865">
      <c r="A865" s="35"/>
      <c r="B865" s="35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</row>
    <row r="866">
      <c r="A866" s="35"/>
      <c r="B866" s="35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</row>
    <row r="867">
      <c r="A867" s="35"/>
      <c r="B867" s="35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</row>
    <row r="868">
      <c r="A868" s="35"/>
      <c r="B868" s="35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</row>
    <row r="869">
      <c r="A869" s="35"/>
      <c r="B869" s="35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</row>
    <row r="870">
      <c r="A870" s="35"/>
      <c r="B870" s="35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</row>
    <row r="871">
      <c r="A871" s="35"/>
      <c r="B871" s="35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</row>
    <row r="872">
      <c r="A872" s="35"/>
      <c r="B872" s="35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</row>
    <row r="873">
      <c r="A873" s="35"/>
      <c r="B873" s="35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</row>
    <row r="874">
      <c r="A874" s="35"/>
      <c r="B874" s="35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</row>
    <row r="875">
      <c r="A875" s="35"/>
      <c r="B875" s="35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</row>
    <row r="876">
      <c r="A876" s="35"/>
      <c r="B876" s="35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</row>
    <row r="877">
      <c r="A877" s="35"/>
      <c r="B877" s="35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</row>
    <row r="878">
      <c r="A878" s="35"/>
      <c r="B878" s="35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</row>
    <row r="879">
      <c r="A879" s="35"/>
      <c r="B879" s="35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</row>
    <row r="880">
      <c r="A880" s="35"/>
      <c r="B880" s="35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</row>
    <row r="881">
      <c r="A881" s="35"/>
      <c r="B881" s="35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</row>
    <row r="882">
      <c r="A882" s="35"/>
      <c r="B882" s="35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</row>
    <row r="883">
      <c r="A883" s="35"/>
      <c r="B883" s="35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</row>
    <row r="884">
      <c r="A884" s="35"/>
      <c r="B884" s="35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</row>
    <row r="885">
      <c r="A885" s="35"/>
      <c r="B885" s="35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</row>
    <row r="886">
      <c r="A886" s="35"/>
      <c r="B886" s="35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</row>
    <row r="887">
      <c r="A887" s="35"/>
      <c r="B887" s="35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</row>
    <row r="888">
      <c r="A888" s="35"/>
      <c r="B888" s="35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</row>
    <row r="889">
      <c r="A889" s="35"/>
      <c r="B889" s="35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</row>
    <row r="890">
      <c r="A890" s="35"/>
      <c r="B890" s="35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</row>
    <row r="891">
      <c r="A891" s="35"/>
      <c r="B891" s="35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</row>
    <row r="892">
      <c r="A892" s="35"/>
      <c r="B892" s="35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</row>
    <row r="893">
      <c r="A893" s="35"/>
      <c r="B893" s="35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</row>
    <row r="894">
      <c r="A894" s="35"/>
      <c r="B894" s="35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</row>
    <row r="895">
      <c r="A895" s="35"/>
      <c r="B895" s="35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</row>
    <row r="896">
      <c r="A896" s="35"/>
      <c r="B896" s="35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</row>
    <row r="897">
      <c r="A897" s="35"/>
      <c r="B897" s="35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</row>
    <row r="898">
      <c r="A898" s="35"/>
      <c r="B898" s="35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</row>
    <row r="899">
      <c r="A899" s="35"/>
      <c r="B899" s="35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</row>
    <row r="900">
      <c r="A900" s="35"/>
      <c r="B900" s="35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</row>
    <row r="901">
      <c r="A901" s="35"/>
      <c r="B901" s="35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</row>
    <row r="902">
      <c r="A902" s="35"/>
      <c r="B902" s="35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</row>
    <row r="903">
      <c r="A903" s="35"/>
      <c r="B903" s="35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</row>
    <row r="904">
      <c r="A904" s="35"/>
      <c r="B904" s="35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</row>
    <row r="905">
      <c r="A905" s="35"/>
      <c r="B905" s="35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</row>
    <row r="906">
      <c r="A906" s="35"/>
      <c r="B906" s="35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</row>
    <row r="907">
      <c r="A907" s="35"/>
      <c r="B907" s="35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</row>
    <row r="908">
      <c r="A908" s="35"/>
      <c r="B908" s="35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</row>
    <row r="909">
      <c r="A909" s="35"/>
      <c r="B909" s="35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</row>
    <row r="910">
      <c r="A910" s="35"/>
      <c r="B910" s="35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</row>
    <row r="911">
      <c r="A911" s="35"/>
      <c r="B911" s="35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</row>
    <row r="912">
      <c r="A912" s="35"/>
      <c r="B912" s="35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</row>
    <row r="913">
      <c r="A913" s="35"/>
      <c r="B913" s="35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</row>
    <row r="914">
      <c r="A914" s="35"/>
      <c r="B914" s="35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</row>
    <row r="915">
      <c r="A915" s="35"/>
      <c r="B915" s="35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</row>
    <row r="916">
      <c r="A916" s="35"/>
      <c r="B916" s="35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</row>
    <row r="917">
      <c r="A917" s="35"/>
      <c r="B917" s="35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</row>
    <row r="918">
      <c r="A918" s="35"/>
      <c r="B918" s="35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</row>
    <row r="919">
      <c r="A919" s="35"/>
      <c r="B919" s="35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</row>
    <row r="920">
      <c r="A920" s="35"/>
      <c r="B920" s="35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</row>
    <row r="921">
      <c r="A921" s="35"/>
      <c r="B921" s="35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</row>
    <row r="922">
      <c r="A922" s="35"/>
      <c r="B922" s="35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</row>
    <row r="923">
      <c r="A923" s="35"/>
      <c r="B923" s="35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</row>
    <row r="924">
      <c r="A924" s="35"/>
      <c r="B924" s="35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</row>
    <row r="925">
      <c r="A925" s="35"/>
      <c r="B925" s="35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</row>
    <row r="926">
      <c r="A926" s="35"/>
      <c r="B926" s="35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</row>
    <row r="927">
      <c r="A927" s="35"/>
      <c r="B927" s="35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</row>
    <row r="928">
      <c r="A928" s="35"/>
      <c r="B928" s="35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</row>
    <row r="929">
      <c r="A929" s="35"/>
      <c r="B929" s="35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</row>
    <row r="930">
      <c r="A930" s="35"/>
      <c r="B930" s="35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</row>
    <row r="931">
      <c r="A931" s="35"/>
      <c r="B931" s="35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</row>
    <row r="932">
      <c r="A932" s="35"/>
      <c r="B932" s="35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</row>
    <row r="933">
      <c r="A933" s="35"/>
      <c r="B933" s="35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</row>
    <row r="934">
      <c r="A934" s="35"/>
      <c r="B934" s="35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</row>
    <row r="935">
      <c r="A935" s="35"/>
      <c r="B935" s="35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</row>
    <row r="936">
      <c r="A936" s="35"/>
      <c r="B936" s="35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</row>
    <row r="937">
      <c r="A937" s="35"/>
      <c r="B937" s="35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</row>
    <row r="938">
      <c r="A938" s="35"/>
      <c r="B938" s="35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</row>
    <row r="939">
      <c r="A939" s="35"/>
      <c r="B939" s="35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</row>
    <row r="940">
      <c r="A940" s="35"/>
      <c r="B940" s="35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</row>
    <row r="941">
      <c r="A941" s="35"/>
      <c r="B941" s="35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</row>
    <row r="942">
      <c r="A942" s="35"/>
      <c r="B942" s="35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</row>
    <row r="943">
      <c r="A943" s="35"/>
      <c r="B943" s="35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</row>
    <row r="944">
      <c r="A944" s="35"/>
      <c r="B944" s="35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</row>
    <row r="945">
      <c r="A945" s="35"/>
      <c r="B945" s="35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</row>
    <row r="946">
      <c r="A946" s="35"/>
      <c r="B946" s="35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</row>
    <row r="947">
      <c r="A947" s="35"/>
      <c r="B947" s="35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</row>
    <row r="948">
      <c r="A948" s="35"/>
      <c r="B948" s="35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</row>
    <row r="949">
      <c r="A949" s="35"/>
      <c r="B949" s="35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</row>
    <row r="950">
      <c r="A950" s="35"/>
      <c r="B950" s="35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</row>
    <row r="951">
      <c r="A951" s="35"/>
      <c r="B951" s="35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</row>
    <row r="952">
      <c r="A952" s="35"/>
      <c r="B952" s="35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</row>
    <row r="953">
      <c r="A953" s="35"/>
      <c r="B953" s="35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</row>
    <row r="954">
      <c r="A954" s="35"/>
      <c r="B954" s="35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</row>
    <row r="955">
      <c r="A955" s="35"/>
      <c r="B955" s="35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</row>
    <row r="956">
      <c r="A956" s="35"/>
      <c r="B956" s="35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</row>
    <row r="957">
      <c r="A957" s="35"/>
      <c r="B957" s="35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</row>
    <row r="958">
      <c r="A958" s="35"/>
      <c r="B958" s="35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</row>
    <row r="959">
      <c r="A959" s="35"/>
      <c r="B959" s="35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</row>
    <row r="960">
      <c r="A960" s="35"/>
      <c r="B960" s="35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</row>
    <row r="961">
      <c r="A961" s="35"/>
      <c r="B961" s="35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</row>
    <row r="962">
      <c r="A962" s="35"/>
      <c r="B962" s="35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</row>
    <row r="963">
      <c r="A963" s="35"/>
      <c r="B963" s="35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</row>
    <row r="964">
      <c r="A964" s="35"/>
      <c r="B964" s="35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</row>
    <row r="965">
      <c r="A965" s="35"/>
      <c r="B965" s="35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</row>
    <row r="966">
      <c r="A966" s="35"/>
      <c r="B966" s="35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</row>
    <row r="967">
      <c r="A967" s="35"/>
      <c r="B967" s="35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</row>
    <row r="968">
      <c r="A968" s="35"/>
      <c r="B968" s="35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</row>
    <row r="969">
      <c r="A969" s="35"/>
      <c r="B969" s="35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</row>
    <row r="970">
      <c r="A970" s="35"/>
      <c r="B970" s="35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</row>
    <row r="971">
      <c r="A971" s="35"/>
      <c r="B971" s="35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</row>
    <row r="972">
      <c r="A972" s="35"/>
      <c r="B972" s="35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</row>
    <row r="973">
      <c r="A973" s="35"/>
      <c r="B973" s="35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</row>
    <row r="974">
      <c r="A974" s="35"/>
      <c r="B974" s="35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</row>
    <row r="975">
      <c r="A975" s="35"/>
      <c r="B975" s="35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</row>
    <row r="976">
      <c r="A976" s="35"/>
      <c r="B976" s="35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</row>
    <row r="977">
      <c r="A977" s="35"/>
      <c r="B977" s="35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</row>
    <row r="978">
      <c r="A978" s="35"/>
      <c r="B978" s="35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</row>
    <row r="979">
      <c r="A979" s="35"/>
      <c r="B979" s="35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</row>
    <row r="980">
      <c r="A980" s="35"/>
      <c r="B980" s="35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</row>
    <row r="981">
      <c r="A981" s="35"/>
      <c r="B981" s="35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</row>
    <row r="982">
      <c r="A982" s="35"/>
      <c r="B982" s="35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</row>
    <row r="983">
      <c r="A983" s="35"/>
      <c r="B983" s="35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</row>
    <row r="984">
      <c r="A984" s="35"/>
      <c r="B984" s="35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</row>
    <row r="985">
      <c r="A985" s="35"/>
      <c r="B985" s="35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</row>
    <row r="986">
      <c r="A986" s="35"/>
      <c r="B986" s="35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</row>
    <row r="987">
      <c r="A987" s="35"/>
      <c r="B987" s="35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</row>
    <row r="988">
      <c r="A988" s="35"/>
      <c r="B988" s="35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</row>
    <row r="989">
      <c r="A989" s="35"/>
      <c r="B989" s="35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</row>
    <row r="990">
      <c r="A990" s="35"/>
      <c r="B990" s="35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</row>
    <row r="991">
      <c r="A991" s="35"/>
      <c r="B991" s="35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</row>
    <row r="992">
      <c r="A992" s="35"/>
      <c r="B992" s="35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</row>
    <row r="993">
      <c r="A993" s="35"/>
      <c r="B993" s="35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</row>
    <row r="994">
      <c r="A994" s="35"/>
      <c r="B994" s="35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</row>
    <row r="995">
      <c r="A995" s="35"/>
      <c r="B995" s="35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</row>
    <row r="996">
      <c r="A996" s="35"/>
      <c r="B996" s="35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</row>
    <row r="997">
      <c r="A997" s="35"/>
      <c r="B997" s="35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</row>
    <row r="998">
      <c r="A998" s="35"/>
      <c r="B998" s="35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</row>
    <row r="999">
      <c r="A999" s="35"/>
      <c r="B999" s="35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</row>
    <row r="1000">
      <c r="A1000" s="35"/>
      <c r="B1000" s="35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</row>
  </sheetData>
  <mergeCells count="11">
    <mergeCell ref="X3:AB3"/>
    <mergeCell ref="AC3:AG3"/>
    <mergeCell ref="AH3:AL3"/>
    <mergeCell ref="AM3:AQ3"/>
    <mergeCell ref="A3:A5"/>
    <mergeCell ref="B3:B5"/>
    <mergeCell ref="C3:C5"/>
    <mergeCell ref="D3:H3"/>
    <mergeCell ref="I3:M3"/>
    <mergeCell ref="N3:R3"/>
    <mergeCell ref="S3:W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75"/>
  <cols>
    <col customWidth="1" min="1" max="1" width="4.5"/>
    <col customWidth="1" min="3" max="3" width="31.25"/>
    <col customWidth="1" min="4" max="40" width="7.63"/>
  </cols>
  <sheetData>
    <row r="1">
      <c r="A1" s="35"/>
      <c r="B1" s="35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52"/>
    </row>
    <row r="2">
      <c r="A2" s="35"/>
      <c r="B2" s="35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52"/>
    </row>
    <row r="3">
      <c r="A3" s="15" t="s">
        <v>136</v>
      </c>
      <c r="B3" s="15" t="s">
        <v>1</v>
      </c>
      <c r="C3" s="15" t="s">
        <v>2</v>
      </c>
      <c r="D3" s="53" t="s">
        <v>137</v>
      </c>
      <c r="E3" s="17"/>
      <c r="F3" s="17"/>
      <c r="G3" s="17"/>
      <c r="H3" s="17"/>
      <c r="I3" s="17"/>
      <c r="J3" s="17"/>
      <c r="K3" s="17"/>
      <c r="L3" s="17"/>
      <c r="M3" s="18"/>
      <c r="N3" s="53" t="s">
        <v>138</v>
      </c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8"/>
      <c r="AF3" s="53" t="s">
        <v>139</v>
      </c>
      <c r="AG3" s="17"/>
      <c r="AH3" s="17"/>
      <c r="AI3" s="17"/>
      <c r="AJ3" s="17"/>
      <c r="AK3" s="17"/>
      <c r="AL3" s="17"/>
      <c r="AM3" s="17"/>
      <c r="AN3" s="18"/>
    </row>
    <row r="4">
      <c r="A4" s="44"/>
      <c r="B4" s="44"/>
      <c r="C4" s="44"/>
      <c r="D4" s="53" t="s">
        <v>140</v>
      </c>
      <c r="E4" s="17"/>
      <c r="F4" s="17"/>
      <c r="G4" s="17"/>
      <c r="H4" s="17"/>
      <c r="I4" s="17"/>
      <c r="J4" s="17"/>
      <c r="K4" s="17"/>
      <c r="L4" s="18"/>
      <c r="M4" s="54" t="s">
        <v>141</v>
      </c>
      <c r="N4" s="53" t="s">
        <v>142</v>
      </c>
      <c r="O4" s="17"/>
      <c r="P4" s="17"/>
      <c r="Q4" s="17"/>
      <c r="R4" s="17"/>
      <c r="S4" s="17"/>
      <c r="T4" s="17"/>
      <c r="U4" s="17"/>
      <c r="V4" s="18"/>
      <c r="W4" s="53" t="s">
        <v>143</v>
      </c>
      <c r="X4" s="17"/>
      <c r="Y4" s="17"/>
      <c r="Z4" s="17"/>
      <c r="AA4" s="17"/>
      <c r="AB4" s="17"/>
      <c r="AC4" s="17"/>
      <c r="AD4" s="17"/>
      <c r="AE4" s="18"/>
      <c r="AF4" s="53" t="s">
        <v>144</v>
      </c>
      <c r="AG4" s="17"/>
      <c r="AH4" s="17"/>
      <c r="AI4" s="17"/>
      <c r="AJ4" s="17"/>
      <c r="AK4" s="17"/>
      <c r="AL4" s="17"/>
      <c r="AM4" s="17"/>
      <c r="AN4" s="18"/>
    </row>
    <row r="5">
      <c r="A5" s="19"/>
      <c r="B5" s="19"/>
      <c r="C5" s="19"/>
      <c r="D5" s="55">
        <v>1.0</v>
      </c>
      <c r="E5" s="55">
        <v>2.0</v>
      </c>
      <c r="F5" s="55">
        <v>3.0</v>
      </c>
      <c r="G5" s="55">
        <v>4.0</v>
      </c>
      <c r="H5" s="55">
        <v>5.0</v>
      </c>
      <c r="I5" s="56">
        <v>6.0</v>
      </c>
      <c r="J5" s="56">
        <v>7.0</v>
      </c>
      <c r="K5" s="56">
        <v>8.0</v>
      </c>
      <c r="L5" s="55" t="s">
        <v>117</v>
      </c>
      <c r="M5" s="55" t="s">
        <v>117</v>
      </c>
      <c r="N5" s="55">
        <v>1.0</v>
      </c>
      <c r="O5" s="55">
        <v>2.0</v>
      </c>
      <c r="P5" s="55">
        <v>3.0</v>
      </c>
      <c r="Q5" s="55">
        <v>4.0</v>
      </c>
      <c r="R5" s="55">
        <v>5.0</v>
      </c>
      <c r="S5" s="56">
        <v>6.0</v>
      </c>
      <c r="T5" s="56">
        <v>7.0</v>
      </c>
      <c r="U5" s="56">
        <v>8.0</v>
      </c>
      <c r="V5" s="55" t="s">
        <v>117</v>
      </c>
      <c r="W5" s="55">
        <v>1.0</v>
      </c>
      <c r="X5" s="55">
        <v>2.0</v>
      </c>
      <c r="Y5" s="55">
        <v>3.0</v>
      </c>
      <c r="Z5" s="55">
        <v>4.0</v>
      </c>
      <c r="AA5" s="55">
        <v>5.0</v>
      </c>
      <c r="AB5" s="56">
        <v>6.0</v>
      </c>
      <c r="AC5" s="56">
        <v>7.0</v>
      </c>
      <c r="AD5" s="56">
        <v>8.0</v>
      </c>
      <c r="AE5" s="55" t="s">
        <v>117</v>
      </c>
      <c r="AF5" s="55">
        <v>1.0</v>
      </c>
      <c r="AG5" s="55">
        <v>2.0</v>
      </c>
      <c r="AH5" s="55">
        <v>3.0</v>
      </c>
      <c r="AI5" s="55">
        <v>4.0</v>
      </c>
      <c r="AJ5" s="56">
        <v>5.0</v>
      </c>
      <c r="AK5" s="56">
        <v>6.0</v>
      </c>
      <c r="AL5" s="56">
        <v>7.0</v>
      </c>
      <c r="AM5" s="56">
        <v>8.0</v>
      </c>
      <c r="AN5" s="57" t="s">
        <v>117</v>
      </c>
    </row>
    <row r="6">
      <c r="A6" s="21">
        <f>'INPUT DAFTAR PESERTA'!A4</f>
        <v>1</v>
      </c>
      <c r="B6" s="21">
        <f>'INPUT DAFTAR PESERTA'!B4</f>
        <v>2109046048</v>
      </c>
      <c r="C6" s="22" t="str">
        <f>'INPUT DAFTAR PESERTA'!C4</f>
        <v>Rafif Fitriansyah Nasution</v>
      </c>
      <c r="D6" s="23">
        <v>100.0</v>
      </c>
      <c r="E6" s="23">
        <v>100.0</v>
      </c>
      <c r="F6" s="23">
        <v>100.0</v>
      </c>
      <c r="G6" s="23">
        <v>100.0</v>
      </c>
      <c r="H6" s="23">
        <v>100.0</v>
      </c>
      <c r="I6" s="23">
        <v>100.0</v>
      </c>
      <c r="J6" s="23">
        <v>100.0</v>
      </c>
      <c r="K6" s="23">
        <v>100.0</v>
      </c>
      <c r="L6" s="48">
        <f t="shared" ref="L6:L99" si="1">(D6+E6+F6+G6+H6+I6+J6+K6)/8</f>
        <v>100</v>
      </c>
      <c r="M6" s="25">
        <f>'PENULISAN LAPORAN'!N5</f>
        <v>75.0625</v>
      </c>
      <c r="N6" s="23">
        <v>0.0</v>
      </c>
      <c r="O6" s="23">
        <v>0.0</v>
      </c>
      <c r="P6" s="23">
        <v>0.0</v>
      </c>
      <c r="Q6" s="23">
        <v>0.0</v>
      </c>
      <c r="R6" s="23">
        <v>0.0</v>
      </c>
      <c r="S6" s="23">
        <v>0.0</v>
      </c>
      <c r="T6" s="23">
        <v>0.0</v>
      </c>
      <c r="U6" s="23">
        <v>0.0</v>
      </c>
      <c r="V6" s="25">
        <f t="shared" ref="V6:V99" si="2">(N6+O6+P6+Q6+R6+S6+T6+U6)/8</f>
        <v>0</v>
      </c>
      <c r="W6" s="23">
        <v>60.0</v>
      </c>
      <c r="X6" s="23">
        <v>30.0</v>
      </c>
      <c r="Y6" s="23">
        <v>70.0</v>
      </c>
      <c r="Z6" s="23">
        <v>70.0</v>
      </c>
      <c r="AA6" s="23">
        <v>30.0</v>
      </c>
      <c r="AB6" s="23">
        <v>60.0</v>
      </c>
      <c r="AC6" s="23">
        <v>30.0</v>
      </c>
      <c r="AD6" s="23">
        <v>30.0</v>
      </c>
      <c r="AE6" s="25">
        <f t="shared" ref="AE6:AE99" si="3">(W6+X6+Y6+Z6+AA6+AB6+AC6+AD6)/8</f>
        <v>47.5</v>
      </c>
      <c r="AF6" s="48">
        <f>'KEMAMPUAN PRAKTIKUM'!H6</f>
        <v>57</v>
      </c>
      <c r="AG6" s="49">
        <f>'KEMAMPUAN PRAKTIKUM'!M6</f>
        <v>75</v>
      </c>
      <c r="AH6" s="49">
        <f>'KEMAMPUAN PRAKTIKUM'!R6</f>
        <v>90</v>
      </c>
      <c r="AI6" s="50">
        <f>'KEMAMPUAN PRAKTIKUM'!W6</f>
        <v>90</v>
      </c>
      <c r="AJ6" s="49">
        <f>'KEMAMPUAN PRAKTIKUM'!AB6</f>
        <v>78</v>
      </c>
      <c r="AK6" s="50">
        <f>'KEMAMPUAN PRAKTIKUM'!AG6</f>
        <v>63</v>
      </c>
      <c r="AL6" s="49">
        <f>'KEMAMPUAN PRAKTIKUM'!AL6</f>
        <v>87</v>
      </c>
      <c r="AM6" s="49">
        <f>'KEMAMPUAN PRAKTIKUM'!AQ6</f>
        <v>57</v>
      </c>
      <c r="AN6" s="25">
        <f t="shared" ref="AN6:AN99" si="4">AVERAGE(AF6:AM6)</f>
        <v>74.625</v>
      </c>
    </row>
    <row r="7">
      <c r="A7" s="21">
        <f>'INPUT DAFTAR PESERTA'!A5</f>
        <v>2</v>
      </c>
      <c r="B7" s="21">
        <f>'INPUT DAFTAR PESERTA'!B5</f>
        <v>2109046053</v>
      </c>
      <c r="C7" s="22" t="str">
        <f>'INPUT DAFTAR PESERTA'!C5</f>
        <v>Muhamaad Rizky Ramdani</v>
      </c>
      <c r="D7" s="23">
        <v>100.0</v>
      </c>
      <c r="E7" s="23">
        <v>100.0</v>
      </c>
      <c r="F7" s="23">
        <v>100.0</v>
      </c>
      <c r="G7" s="23">
        <v>100.0</v>
      </c>
      <c r="H7" s="23">
        <v>100.0</v>
      </c>
      <c r="I7" s="23">
        <v>100.0</v>
      </c>
      <c r="J7" s="23">
        <v>100.0</v>
      </c>
      <c r="K7" s="23">
        <v>100.0</v>
      </c>
      <c r="L7" s="48">
        <f t="shared" si="1"/>
        <v>100</v>
      </c>
      <c r="M7" s="25">
        <f>'PENULISAN LAPORAN'!N6</f>
        <v>63.5</v>
      </c>
      <c r="N7" s="23">
        <v>0.0</v>
      </c>
      <c r="O7" s="23">
        <v>0.0</v>
      </c>
      <c r="P7" s="23">
        <v>0.0</v>
      </c>
      <c r="Q7" s="23">
        <v>0.0</v>
      </c>
      <c r="R7" s="23">
        <v>0.0</v>
      </c>
      <c r="S7" s="23">
        <v>0.0</v>
      </c>
      <c r="T7" s="23">
        <v>0.0</v>
      </c>
      <c r="U7" s="23">
        <v>60.0</v>
      </c>
      <c r="V7" s="25">
        <f t="shared" si="2"/>
        <v>7.5</v>
      </c>
      <c r="W7" s="23">
        <v>60.0</v>
      </c>
      <c r="X7" s="23">
        <v>30.0</v>
      </c>
      <c r="Y7" s="23">
        <v>70.0</v>
      </c>
      <c r="Z7" s="23">
        <v>30.0</v>
      </c>
      <c r="AA7" s="23">
        <v>30.0</v>
      </c>
      <c r="AB7" s="23">
        <v>60.0</v>
      </c>
      <c r="AC7" s="23">
        <v>30.0</v>
      </c>
      <c r="AD7" s="23">
        <v>30.0</v>
      </c>
      <c r="AE7" s="50">
        <f t="shared" si="3"/>
        <v>42.5</v>
      </c>
      <c r="AF7" s="48">
        <f>'KEMAMPUAN PRAKTIKUM'!H7</f>
        <v>81</v>
      </c>
      <c r="AG7" s="49">
        <f>'KEMAMPUAN PRAKTIKUM'!M7</f>
        <v>60</v>
      </c>
      <c r="AH7" s="49">
        <f>'KEMAMPUAN PRAKTIKUM'!R7</f>
        <v>75</v>
      </c>
      <c r="AI7" s="50">
        <f>'KEMAMPUAN PRAKTIKUM'!W7</f>
        <v>90</v>
      </c>
      <c r="AJ7" s="49">
        <f>'KEMAMPUAN PRAKTIKUM'!AB7</f>
        <v>78</v>
      </c>
      <c r="AK7" s="50">
        <f>'KEMAMPUAN PRAKTIKUM'!AG7</f>
        <v>63</v>
      </c>
      <c r="AL7" s="49">
        <f>'KEMAMPUAN PRAKTIKUM'!AL7</f>
        <v>72</v>
      </c>
      <c r="AM7" s="49">
        <f>'KEMAMPUAN PRAKTIKUM'!AQ7</f>
        <v>57</v>
      </c>
      <c r="AN7" s="25">
        <f t="shared" si="4"/>
        <v>72</v>
      </c>
    </row>
    <row r="8">
      <c r="A8" s="21">
        <f>'INPUT DAFTAR PESERTA'!A6</f>
        <v>3</v>
      </c>
      <c r="B8" s="21">
        <f>'INPUT DAFTAR PESERTA'!B6</f>
        <v>2409046015</v>
      </c>
      <c r="C8" s="22" t="str">
        <f>'INPUT DAFTAR PESERTA'!C6</f>
        <v>Nur Fadillah Septadi</v>
      </c>
      <c r="D8" s="23">
        <v>100.0</v>
      </c>
      <c r="E8" s="23">
        <v>100.0</v>
      </c>
      <c r="F8" s="23">
        <v>100.0</v>
      </c>
      <c r="G8" s="23">
        <v>100.0</v>
      </c>
      <c r="H8" s="23">
        <v>100.0</v>
      </c>
      <c r="I8" s="23">
        <v>100.0</v>
      </c>
      <c r="J8" s="23">
        <v>100.0</v>
      </c>
      <c r="K8" s="23">
        <v>100.0</v>
      </c>
      <c r="L8" s="48">
        <f t="shared" si="1"/>
        <v>100</v>
      </c>
      <c r="M8" s="25">
        <f>'PENULISAN LAPORAN'!N7</f>
        <v>66.5625</v>
      </c>
      <c r="N8" s="23">
        <v>62.0</v>
      </c>
      <c r="O8" s="23">
        <v>62.0</v>
      </c>
      <c r="P8" s="23">
        <v>62.0</v>
      </c>
      <c r="Q8" s="23">
        <v>62.0</v>
      </c>
      <c r="R8" s="23">
        <v>62.0</v>
      </c>
      <c r="S8" s="23">
        <v>62.0</v>
      </c>
      <c r="T8" s="23">
        <v>62.0</v>
      </c>
      <c r="U8" s="23">
        <v>62.0</v>
      </c>
      <c r="V8" s="25">
        <f t="shared" si="2"/>
        <v>62</v>
      </c>
      <c r="W8" s="23">
        <v>30.0</v>
      </c>
      <c r="X8" s="23">
        <v>30.0</v>
      </c>
      <c r="Y8" s="23">
        <v>70.0</v>
      </c>
      <c r="Z8" s="23">
        <v>70.0</v>
      </c>
      <c r="AA8" s="23">
        <v>30.0</v>
      </c>
      <c r="AB8" s="23">
        <v>30.0</v>
      </c>
      <c r="AC8" s="23">
        <v>30.0</v>
      </c>
      <c r="AD8" s="23">
        <v>0.0</v>
      </c>
      <c r="AE8" s="50">
        <f t="shared" si="3"/>
        <v>36.25</v>
      </c>
      <c r="AF8" s="48">
        <f>'KEMAMPUAN PRAKTIKUM'!H8</f>
        <v>63</v>
      </c>
      <c r="AG8" s="49">
        <f>'KEMAMPUAN PRAKTIKUM'!M8</f>
        <v>75</v>
      </c>
      <c r="AH8" s="49">
        <f>'KEMAMPUAN PRAKTIKUM'!R8</f>
        <v>90</v>
      </c>
      <c r="AI8" s="50">
        <f>'KEMAMPUAN PRAKTIKUM'!W8</f>
        <v>90</v>
      </c>
      <c r="AJ8" s="49">
        <f>'KEMAMPUAN PRAKTIKUM'!AB8</f>
        <v>87</v>
      </c>
      <c r="AK8" s="50">
        <f>'KEMAMPUAN PRAKTIKUM'!AG8</f>
        <v>60</v>
      </c>
      <c r="AL8" s="49">
        <f>'KEMAMPUAN PRAKTIKUM'!AL8</f>
        <v>72</v>
      </c>
      <c r="AM8" s="49">
        <f>'KEMAMPUAN PRAKTIKUM'!AQ8</f>
        <v>57</v>
      </c>
      <c r="AN8" s="25">
        <f t="shared" si="4"/>
        <v>74.25</v>
      </c>
    </row>
    <row r="9">
      <c r="A9" s="21">
        <f>'INPUT DAFTAR PESERTA'!A7</f>
        <v>4</v>
      </c>
      <c r="B9" s="21">
        <f>'INPUT DAFTAR PESERTA'!B7</f>
        <v>2409046026</v>
      </c>
      <c r="C9" s="22" t="str">
        <f>'INPUT DAFTAR PESERTA'!C7</f>
        <v>Aisha Aqmarina Fathiyya Hawwa</v>
      </c>
      <c r="D9" s="23">
        <v>100.0</v>
      </c>
      <c r="E9" s="23">
        <v>100.0</v>
      </c>
      <c r="F9" s="23">
        <v>100.0</v>
      </c>
      <c r="G9" s="23">
        <v>100.0</v>
      </c>
      <c r="H9" s="23">
        <v>100.0</v>
      </c>
      <c r="I9" s="23">
        <v>100.0</v>
      </c>
      <c r="J9" s="23">
        <v>100.0</v>
      </c>
      <c r="K9" s="23">
        <v>100.0</v>
      </c>
      <c r="L9" s="48">
        <f t="shared" si="1"/>
        <v>100</v>
      </c>
      <c r="M9" s="25">
        <f>'PENULISAN LAPORAN'!N8</f>
        <v>68.6875</v>
      </c>
      <c r="N9" s="23">
        <v>0.0</v>
      </c>
      <c r="O9" s="23">
        <v>0.0</v>
      </c>
      <c r="P9" s="23">
        <v>0.0</v>
      </c>
      <c r="Q9" s="23">
        <v>0.0</v>
      </c>
      <c r="R9" s="23">
        <v>0.0</v>
      </c>
      <c r="S9" s="23">
        <v>0.0</v>
      </c>
      <c r="T9" s="23">
        <v>0.0</v>
      </c>
      <c r="U9" s="23">
        <v>0.0</v>
      </c>
      <c r="V9" s="25">
        <f t="shared" si="2"/>
        <v>0</v>
      </c>
      <c r="W9" s="23">
        <v>30.0</v>
      </c>
      <c r="X9" s="23">
        <v>30.0</v>
      </c>
      <c r="Y9" s="23">
        <v>80.0</v>
      </c>
      <c r="Z9" s="23">
        <v>70.0</v>
      </c>
      <c r="AA9" s="23">
        <v>70.0</v>
      </c>
      <c r="AB9" s="23">
        <v>30.0</v>
      </c>
      <c r="AC9" s="23">
        <v>30.0</v>
      </c>
      <c r="AD9" s="23">
        <v>0.0</v>
      </c>
      <c r="AE9" s="50">
        <f t="shared" si="3"/>
        <v>42.5</v>
      </c>
      <c r="AF9" s="48">
        <f>'KEMAMPUAN PRAKTIKUM'!H9</f>
        <v>78</v>
      </c>
      <c r="AG9" s="49">
        <f>'KEMAMPUAN PRAKTIKUM'!M9</f>
        <v>90</v>
      </c>
      <c r="AH9" s="49">
        <f>'KEMAMPUAN PRAKTIKUM'!R9</f>
        <v>75</v>
      </c>
      <c r="AI9" s="50">
        <f>'KEMAMPUAN PRAKTIKUM'!W9</f>
        <v>75</v>
      </c>
      <c r="AJ9" s="49">
        <f>'KEMAMPUAN PRAKTIKUM'!AB9</f>
        <v>30</v>
      </c>
      <c r="AK9" s="50">
        <f>'KEMAMPUAN PRAKTIKUM'!AG9</f>
        <v>63</v>
      </c>
      <c r="AL9" s="49">
        <f>'KEMAMPUAN PRAKTIKUM'!AL9</f>
        <v>57</v>
      </c>
      <c r="AM9" s="49">
        <f>'KEMAMPUAN PRAKTIKUM'!AQ9</f>
        <v>90</v>
      </c>
      <c r="AN9" s="25">
        <f t="shared" si="4"/>
        <v>69.75</v>
      </c>
    </row>
    <row r="10">
      <c r="A10" s="21">
        <f>'INPUT DAFTAR PESERTA'!A8</f>
        <v>5</v>
      </c>
      <c r="B10" s="21">
        <f>'INPUT DAFTAR PESERTA'!B8</f>
        <v>2409046027</v>
      </c>
      <c r="C10" s="22" t="str">
        <f>'INPUT DAFTAR PESERTA'!C8</f>
        <v>Faykar Alfarisi Armadani</v>
      </c>
      <c r="D10" s="23">
        <v>100.0</v>
      </c>
      <c r="E10" s="23">
        <v>100.0</v>
      </c>
      <c r="F10" s="23">
        <v>100.0</v>
      </c>
      <c r="G10" s="23">
        <v>100.0</v>
      </c>
      <c r="H10" s="23">
        <v>100.0</v>
      </c>
      <c r="I10" s="23">
        <v>100.0</v>
      </c>
      <c r="J10" s="23">
        <v>100.0</v>
      </c>
      <c r="K10" s="23">
        <v>100.0</v>
      </c>
      <c r="L10" s="48">
        <f t="shared" si="1"/>
        <v>100</v>
      </c>
      <c r="M10" s="25">
        <f>'PENULISAN LAPORAN'!N9</f>
        <v>69.5625</v>
      </c>
      <c r="N10" s="23">
        <v>0.0</v>
      </c>
      <c r="O10" s="23">
        <v>0.0</v>
      </c>
      <c r="P10" s="23">
        <v>0.0</v>
      </c>
      <c r="Q10" s="23">
        <v>0.0</v>
      </c>
      <c r="R10" s="23">
        <v>0.0</v>
      </c>
      <c r="S10" s="23">
        <v>0.0</v>
      </c>
      <c r="T10" s="23">
        <v>0.0</v>
      </c>
      <c r="U10" s="23">
        <v>0.0</v>
      </c>
      <c r="V10" s="25">
        <f t="shared" si="2"/>
        <v>0</v>
      </c>
      <c r="W10" s="23">
        <v>70.0</v>
      </c>
      <c r="X10" s="23">
        <v>70.0</v>
      </c>
      <c r="Y10" s="23">
        <v>70.0</v>
      </c>
      <c r="Z10" s="23">
        <v>70.0</v>
      </c>
      <c r="AA10" s="23">
        <v>80.0</v>
      </c>
      <c r="AB10" s="23">
        <v>30.0</v>
      </c>
      <c r="AC10" s="23">
        <v>60.0</v>
      </c>
      <c r="AD10" s="23">
        <v>70.0</v>
      </c>
      <c r="AE10" s="50">
        <f t="shared" si="3"/>
        <v>65</v>
      </c>
      <c r="AF10" s="48">
        <f>'KEMAMPUAN PRAKTIKUM'!H10</f>
        <v>60</v>
      </c>
      <c r="AG10" s="49">
        <f>'KEMAMPUAN PRAKTIKUM'!M10</f>
        <v>75</v>
      </c>
      <c r="AH10" s="49">
        <f>'KEMAMPUAN PRAKTIKUM'!R10</f>
        <v>75</v>
      </c>
      <c r="AI10" s="50">
        <f>'KEMAMPUAN PRAKTIKUM'!W10</f>
        <v>75</v>
      </c>
      <c r="AJ10" s="49">
        <f>'KEMAMPUAN PRAKTIKUM'!AB10</f>
        <v>90</v>
      </c>
      <c r="AK10" s="50">
        <f>'KEMAMPUAN PRAKTIKUM'!AG10</f>
        <v>63</v>
      </c>
      <c r="AL10" s="49">
        <f>'KEMAMPUAN PRAKTIKUM'!AL10</f>
        <v>87</v>
      </c>
      <c r="AM10" s="49">
        <f>'KEMAMPUAN PRAKTIKUM'!AQ10</f>
        <v>60</v>
      </c>
      <c r="AN10" s="25">
        <f t="shared" si="4"/>
        <v>73.125</v>
      </c>
    </row>
    <row r="11">
      <c r="A11" s="21">
        <f>'INPUT DAFTAR PESERTA'!A9</f>
        <v>6</v>
      </c>
      <c r="B11" s="21">
        <f>'INPUT DAFTAR PESERTA'!B9</f>
        <v>2409046034</v>
      </c>
      <c r="C11" s="22" t="str">
        <f>'INPUT DAFTAR PESERTA'!C9</f>
        <v>Annisa Nurdin</v>
      </c>
      <c r="D11" s="23">
        <v>100.0</v>
      </c>
      <c r="E11" s="23">
        <v>100.0</v>
      </c>
      <c r="F11" s="23">
        <v>100.0</v>
      </c>
      <c r="G11" s="23">
        <v>100.0</v>
      </c>
      <c r="H11" s="23">
        <v>100.0</v>
      </c>
      <c r="I11" s="23">
        <v>100.0</v>
      </c>
      <c r="J11" s="50"/>
      <c r="K11" s="23">
        <v>100.0</v>
      </c>
      <c r="L11" s="48">
        <f t="shared" si="1"/>
        <v>87.5</v>
      </c>
      <c r="M11" s="25">
        <f>'PENULISAN LAPORAN'!N10</f>
        <v>66</v>
      </c>
      <c r="N11" s="23">
        <v>0.0</v>
      </c>
      <c r="O11" s="23">
        <v>0.0</v>
      </c>
      <c r="P11" s="23">
        <v>0.0</v>
      </c>
      <c r="Q11" s="23">
        <v>0.0</v>
      </c>
      <c r="R11" s="23">
        <v>0.0</v>
      </c>
      <c r="S11" s="23">
        <v>0.0</v>
      </c>
      <c r="T11" s="23">
        <v>0.0</v>
      </c>
      <c r="U11" s="23">
        <v>0.0</v>
      </c>
      <c r="V11" s="25">
        <f t="shared" si="2"/>
        <v>0</v>
      </c>
      <c r="W11" s="23">
        <v>30.0</v>
      </c>
      <c r="X11" s="23">
        <v>30.0</v>
      </c>
      <c r="Y11" s="23">
        <v>30.0</v>
      </c>
      <c r="Z11" s="23">
        <v>30.0</v>
      </c>
      <c r="AA11" s="23">
        <v>30.0</v>
      </c>
      <c r="AB11" s="23">
        <v>30.0</v>
      </c>
      <c r="AC11" s="23">
        <v>60.0</v>
      </c>
      <c r="AD11" s="23">
        <v>0.0</v>
      </c>
      <c r="AE11" s="50">
        <f t="shared" si="3"/>
        <v>30</v>
      </c>
      <c r="AF11" s="48">
        <f>'KEMAMPUAN PRAKTIKUM'!H11</f>
        <v>60</v>
      </c>
      <c r="AG11" s="49">
        <f>'KEMAMPUAN PRAKTIKUM'!M11</f>
        <v>90</v>
      </c>
      <c r="AH11" s="49">
        <f>'KEMAMPUAN PRAKTIKUM'!R11</f>
        <v>90</v>
      </c>
      <c r="AI11" s="50">
        <f>'KEMAMPUAN PRAKTIKUM'!W11</f>
        <v>90</v>
      </c>
      <c r="AJ11" s="49">
        <f>'KEMAMPUAN PRAKTIKUM'!AB11</f>
        <v>90</v>
      </c>
      <c r="AK11" s="50">
        <f>'KEMAMPUAN PRAKTIKUM'!AG11</f>
        <v>63</v>
      </c>
      <c r="AL11" s="49">
        <f>'KEMAMPUAN PRAKTIKUM'!AL11</f>
        <v>87</v>
      </c>
      <c r="AM11" s="49">
        <f>'KEMAMPUAN PRAKTIKUM'!AQ11</f>
        <v>57</v>
      </c>
      <c r="AN11" s="25">
        <f t="shared" si="4"/>
        <v>78.375</v>
      </c>
    </row>
    <row r="12">
      <c r="A12" s="21">
        <f>'INPUT DAFTAR PESERTA'!A10</f>
        <v>7</v>
      </c>
      <c r="B12" s="21">
        <f>'INPUT DAFTAR PESERTA'!B10</f>
        <v>2409046042</v>
      </c>
      <c r="C12" s="22" t="str">
        <f>'INPUT DAFTAR PESERTA'!C10</f>
        <v>Aflahal Aula</v>
      </c>
      <c r="D12" s="23">
        <v>100.0</v>
      </c>
      <c r="E12" s="23">
        <v>100.0</v>
      </c>
      <c r="F12" s="23">
        <v>100.0</v>
      </c>
      <c r="G12" s="23">
        <v>100.0</v>
      </c>
      <c r="H12" s="23">
        <v>100.0</v>
      </c>
      <c r="I12" s="23">
        <v>100.0</v>
      </c>
      <c r="J12" s="23">
        <v>100.0</v>
      </c>
      <c r="K12" s="23">
        <v>100.0</v>
      </c>
      <c r="L12" s="48">
        <f t="shared" si="1"/>
        <v>100</v>
      </c>
      <c r="M12" s="25">
        <f>'PENULISAN LAPORAN'!N11</f>
        <v>75.3125</v>
      </c>
      <c r="N12" s="23">
        <v>96.0</v>
      </c>
      <c r="O12" s="23">
        <v>96.0</v>
      </c>
      <c r="P12" s="23">
        <v>96.0</v>
      </c>
      <c r="Q12" s="23">
        <v>96.0</v>
      </c>
      <c r="R12" s="23">
        <v>96.0</v>
      </c>
      <c r="S12" s="23">
        <v>96.0</v>
      </c>
      <c r="T12" s="23">
        <v>96.0</v>
      </c>
      <c r="U12" s="23">
        <v>96.0</v>
      </c>
      <c r="V12" s="25">
        <f t="shared" si="2"/>
        <v>96</v>
      </c>
      <c r="W12" s="23">
        <v>30.0</v>
      </c>
      <c r="X12" s="23">
        <v>30.0</v>
      </c>
      <c r="Y12" s="23">
        <v>80.0</v>
      </c>
      <c r="Z12" s="23">
        <v>70.0</v>
      </c>
      <c r="AA12" s="23">
        <v>80.0</v>
      </c>
      <c r="AB12" s="23">
        <v>30.0</v>
      </c>
      <c r="AC12" s="23">
        <v>30.0</v>
      </c>
      <c r="AD12" s="23">
        <v>60.0</v>
      </c>
      <c r="AE12" s="50">
        <f t="shared" si="3"/>
        <v>51.25</v>
      </c>
      <c r="AF12" s="48">
        <f>'KEMAMPUAN PRAKTIKUM'!H12</f>
        <v>60</v>
      </c>
      <c r="AG12" s="49">
        <f>'KEMAMPUAN PRAKTIKUM'!M12</f>
        <v>60</v>
      </c>
      <c r="AH12" s="49">
        <f>'KEMAMPUAN PRAKTIKUM'!R12</f>
        <v>90</v>
      </c>
      <c r="AI12" s="50">
        <f>'KEMAMPUAN PRAKTIKUM'!W12</f>
        <v>90</v>
      </c>
      <c r="AJ12" s="49">
        <f>'KEMAMPUAN PRAKTIKUM'!AB12</f>
        <v>90</v>
      </c>
      <c r="AK12" s="50">
        <f>'KEMAMPUAN PRAKTIKUM'!AG12</f>
        <v>63</v>
      </c>
      <c r="AL12" s="49">
        <f>'KEMAMPUAN PRAKTIKUM'!AL12</f>
        <v>87</v>
      </c>
      <c r="AM12" s="49">
        <f>'KEMAMPUAN PRAKTIKUM'!AQ12</f>
        <v>60</v>
      </c>
      <c r="AN12" s="25">
        <f t="shared" si="4"/>
        <v>75</v>
      </c>
    </row>
    <row r="13">
      <c r="A13" s="21">
        <f>'INPUT DAFTAR PESERTA'!A11</f>
        <v>8</v>
      </c>
      <c r="B13" s="21">
        <f>'INPUT DAFTAR PESERTA'!B11</f>
        <v>2409046045</v>
      </c>
      <c r="C13" s="22" t="str">
        <f>'INPUT DAFTAR PESERTA'!C11</f>
        <v>Jofan Ananda Sulle</v>
      </c>
      <c r="D13" s="23">
        <v>100.0</v>
      </c>
      <c r="E13" s="23">
        <v>100.0</v>
      </c>
      <c r="F13" s="23">
        <v>100.0</v>
      </c>
      <c r="G13" s="23">
        <v>100.0</v>
      </c>
      <c r="H13" s="23">
        <v>100.0</v>
      </c>
      <c r="I13" s="23">
        <v>100.0</v>
      </c>
      <c r="J13" s="23">
        <v>100.0</v>
      </c>
      <c r="K13" s="23">
        <v>100.0</v>
      </c>
      <c r="L13" s="48">
        <f t="shared" si="1"/>
        <v>100</v>
      </c>
      <c r="M13" s="25">
        <f>'PENULISAN LAPORAN'!N12</f>
        <v>73.1875</v>
      </c>
      <c r="N13" s="23">
        <v>0.0</v>
      </c>
      <c r="O13" s="23">
        <v>0.0</v>
      </c>
      <c r="P13" s="23">
        <v>0.0</v>
      </c>
      <c r="Q13" s="23">
        <v>0.0</v>
      </c>
      <c r="R13" s="23">
        <v>0.0</v>
      </c>
      <c r="S13" s="23">
        <v>0.0</v>
      </c>
      <c r="T13" s="23">
        <v>0.0</v>
      </c>
      <c r="U13" s="23">
        <v>0.0</v>
      </c>
      <c r="V13" s="25">
        <f t="shared" si="2"/>
        <v>0</v>
      </c>
      <c r="W13" s="23">
        <v>30.0</v>
      </c>
      <c r="X13" s="23">
        <v>80.0</v>
      </c>
      <c r="Y13" s="23">
        <v>80.0</v>
      </c>
      <c r="Z13" s="23">
        <v>70.0</v>
      </c>
      <c r="AA13" s="23">
        <v>60.0</v>
      </c>
      <c r="AB13" s="23">
        <v>30.0</v>
      </c>
      <c r="AC13" s="23">
        <v>30.0</v>
      </c>
      <c r="AD13" s="23">
        <v>60.0</v>
      </c>
      <c r="AE13" s="50">
        <f t="shared" si="3"/>
        <v>55</v>
      </c>
      <c r="AF13" s="48">
        <f>'KEMAMPUAN PRAKTIKUM'!H13</f>
        <v>60</v>
      </c>
      <c r="AG13" s="49">
        <f>'KEMAMPUAN PRAKTIKUM'!M13</f>
        <v>75</v>
      </c>
      <c r="AH13" s="49">
        <f>'KEMAMPUAN PRAKTIKUM'!R13</f>
        <v>90</v>
      </c>
      <c r="AI13" s="50">
        <f>'KEMAMPUAN PRAKTIKUM'!W13</f>
        <v>90</v>
      </c>
      <c r="AJ13" s="49">
        <f>'KEMAMPUAN PRAKTIKUM'!AB13</f>
        <v>90</v>
      </c>
      <c r="AK13" s="50">
        <f>'KEMAMPUAN PRAKTIKUM'!AG13</f>
        <v>63</v>
      </c>
      <c r="AL13" s="49">
        <f>'KEMAMPUAN PRAKTIKUM'!AL13</f>
        <v>57</v>
      </c>
      <c r="AM13" s="49">
        <f>'KEMAMPUAN PRAKTIKUM'!AQ13</f>
        <v>60</v>
      </c>
      <c r="AN13" s="25">
        <f t="shared" si="4"/>
        <v>73.125</v>
      </c>
    </row>
    <row r="14">
      <c r="A14" s="21">
        <f>'INPUT DAFTAR PESERTA'!A12</f>
        <v>9</v>
      </c>
      <c r="B14" s="21">
        <f>'INPUT DAFTAR PESERTA'!B12</f>
        <v>2409046046</v>
      </c>
      <c r="C14" s="22" t="str">
        <f>'INPUT DAFTAR PESERTA'!C12</f>
        <v>Muhammad Ananda Harisyah Putra</v>
      </c>
      <c r="D14" s="23">
        <v>100.0</v>
      </c>
      <c r="E14" s="23">
        <v>100.0</v>
      </c>
      <c r="F14" s="23">
        <v>100.0</v>
      </c>
      <c r="G14" s="23">
        <v>100.0</v>
      </c>
      <c r="H14" s="23">
        <v>100.0</v>
      </c>
      <c r="I14" s="23">
        <v>100.0</v>
      </c>
      <c r="J14" s="23">
        <v>100.0</v>
      </c>
      <c r="K14" s="23">
        <v>100.0</v>
      </c>
      <c r="L14" s="48">
        <f t="shared" si="1"/>
        <v>100</v>
      </c>
      <c r="M14" s="25">
        <f>'PENULISAN LAPORAN'!N13</f>
        <v>81.1875</v>
      </c>
      <c r="N14" s="23">
        <v>98.0</v>
      </c>
      <c r="O14" s="23">
        <v>98.0</v>
      </c>
      <c r="P14" s="23">
        <v>98.0</v>
      </c>
      <c r="Q14" s="23">
        <v>98.0</v>
      </c>
      <c r="R14" s="23">
        <v>98.0</v>
      </c>
      <c r="S14" s="23">
        <v>98.0</v>
      </c>
      <c r="T14" s="23">
        <v>98.0</v>
      </c>
      <c r="U14" s="23">
        <v>98.0</v>
      </c>
      <c r="V14" s="25">
        <f t="shared" si="2"/>
        <v>98</v>
      </c>
      <c r="W14" s="23">
        <v>70.0</v>
      </c>
      <c r="X14" s="23">
        <v>60.0</v>
      </c>
      <c r="Y14" s="23">
        <v>70.0</v>
      </c>
      <c r="Z14" s="23">
        <v>80.0</v>
      </c>
      <c r="AA14" s="23">
        <v>80.0</v>
      </c>
      <c r="AB14" s="23">
        <v>30.0</v>
      </c>
      <c r="AC14" s="23">
        <v>80.0</v>
      </c>
      <c r="AD14" s="23">
        <v>30.0</v>
      </c>
      <c r="AE14" s="50">
        <f t="shared" si="3"/>
        <v>62.5</v>
      </c>
      <c r="AF14" s="48">
        <f>'KEMAMPUAN PRAKTIKUM'!H14</f>
        <v>90</v>
      </c>
      <c r="AG14" s="49">
        <f>'KEMAMPUAN PRAKTIKUM'!M14</f>
        <v>90</v>
      </c>
      <c r="AH14" s="49">
        <f>'KEMAMPUAN PRAKTIKUM'!R14</f>
        <v>90</v>
      </c>
      <c r="AI14" s="50">
        <f>'KEMAMPUAN PRAKTIKUM'!W14</f>
        <v>90</v>
      </c>
      <c r="AJ14" s="49">
        <f>'KEMAMPUAN PRAKTIKUM'!AB14</f>
        <v>90</v>
      </c>
      <c r="AK14" s="50">
        <f>'KEMAMPUAN PRAKTIKUM'!AG14</f>
        <v>60</v>
      </c>
      <c r="AL14" s="49">
        <f>'KEMAMPUAN PRAKTIKUM'!AL14</f>
        <v>87</v>
      </c>
      <c r="AM14" s="49">
        <f>'KEMAMPUAN PRAKTIKUM'!AQ14</f>
        <v>60</v>
      </c>
      <c r="AN14" s="25">
        <f t="shared" si="4"/>
        <v>82.125</v>
      </c>
    </row>
    <row r="15">
      <c r="A15" s="21">
        <f>'INPUT DAFTAR PESERTA'!A13</f>
        <v>10</v>
      </c>
      <c r="B15" s="21">
        <f>'INPUT DAFTAR PESERTA'!B13</f>
        <v>2409046048</v>
      </c>
      <c r="C15" s="22" t="str">
        <f>'INPUT DAFTAR PESERTA'!C13</f>
        <v>Zaid Iman At-Tamam</v>
      </c>
      <c r="D15" s="23">
        <v>100.0</v>
      </c>
      <c r="E15" s="23">
        <v>100.0</v>
      </c>
      <c r="F15" s="23">
        <v>100.0</v>
      </c>
      <c r="G15" s="23">
        <v>100.0</v>
      </c>
      <c r="H15" s="23">
        <v>100.0</v>
      </c>
      <c r="I15" s="23">
        <v>100.0</v>
      </c>
      <c r="J15" s="23">
        <v>100.0</v>
      </c>
      <c r="K15" s="23">
        <v>100.0</v>
      </c>
      <c r="L15" s="48">
        <f t="shared" si="1"/>
        <v>100</v>
      </c>
      <c r="M15" s="25">
        <f>'PENULISAN LAPORAN'!N14</f>
        <v>63</v>
      </c>
      <c r="N15" s="23">
        <v>48.0</v>
      </c>
      <c r="O15" s="23">
        <v>48.0</v>
      </c>
      <c r="P15" s="23">
        <v>48.0</v>
      </c>
      <c r="Q15" s="23">
        <v>48.0</v>
      </c>
      <c r="R15" s="23">
        <v>48.0</v>
      </c>
      <c r="S15" s="23">
        <v>48.0</v>
      </c>
      <c r="T15" s="23">
        <v>48.0</v>
      </c>
      <c r="U15" s="23">
        <v>48.0</v>
      </c>
      <c r="V15" s="25">
        <f t="shared" si="2"/>
        <v>48</v>
      </c>
      <c r="W15" s="23">
        <v>70.0</v>
      </c>
      <c r="X15" s="23">
        <v>60.0</v>
      </c>
      <c r="Y15" s="23">
        <v>30.0</v>
      </c>
      <c r="Z15" s="23">
        <v>70.0</v>
      </c>
      <c r="AA15" s="23">
        <v>80.0</v>
      </c>
      <c r="AB15" s="23">
        <v>30.0</v>
      </c>
      <c r="AC15" s="23">
        <v>60.0</v>
      </c>
      <c r="AD15" s="23">
        <v>30.0</v>
      </c>
      <c r="AE15" s="50">
        <f t="shared" si="3"/>
        <v>53.75</v>
      </c>
      <c r="AF15" s="48">
        <f>'KEMAMPUAN PRAKTIKUM'!H15</f>
        <v>75</v>
      </c>
      <c r="AG15" s="49">
        <f>'KEMAMPUAN PRAKTIKUM'!M15</f>
        <v>75</v>
      </c>
      <c r="AH15" s="49">
        <f>'KEMAMPUAN PRAKTIKUM'!R15</f>
        <v>75</v>
      </c>
      <c r="AI15" s="50">
        <f>'KEMAMPUAN PRAKTIKUM'!W15</f>
        <v>75</v>
      </c>
      <c r="AJ15" s="49">
        <f>'KEMAMPUAN PRAKTIKUM'!AB15</f>
        <v>90</v>
      </c>
      <c r="AK15" s="50">
        <f>'KEMAMPUAN PRAKTIKUM'!AG15</f>
        <v>60</v>
      </c>
      <c r="AL15" s="49">
        <f>'KEMAMPUAN PRAKTIKUM'!AL15</f>
        <v>72</v>
      </c>
      <c r="AM15" s="49">
        <f>'KEMAMPUAN PRAKTIKUM'!AQ15</f>
        <v>60</v>
      </c>
      <c r="AN15" s="25">
        <f t="shared" si="4"/>
        <v>72.75</v>
      </c>
    </row>
    <row r="16">
      <c r="A16" s="21">
        <f>'INPUT DAFTAR PESERTA'!A14</f>
        <v>11</v>
      </c>
      <c r="B16" s="21">
        <f>'INPUT DAFTAR PESERTA'!B14</f>
        <v>2409046050</v>
      </c>
      <c r="C16" s="22" t="str">
        <f>'INPUT DAFTAR PESERTA'!C14</f>
        <v>Fachri Zia Pasha</v>
      </c>
      <c r="D16" s="23">
        <v>100.0</v>
      </c>
      <c r="E16" s="23">
        <v>100.0</v>
      </c>
      <c r="F16" s="23">
        <v>100.0</v>
      </c>
      <c r="G16" s="23">
        <v>100.0</v>
      </c>
      <c r="H16" s="23">
        <v>100.0</v>
      </c>
      <c r="I16" s="23">
        <v>100.0</v>
      </c>
      <c r="J16" s="23">
        <v>100.0</v>
      </c>
      <c r="K16" s="23">
        <v>100.0</v>
      </c>
      <c r="L16" s="48">
        <f t="shared" si="1"/>
        <v>100</v>
      </c>
      <c r="M16" s="25">
        <f>'PENULISAN LAPORAN'!N15</f>
        <v>75.5</v>
      </c>
      <c r="N16" s="23">
        <v>96.0</v>
      </c>
      <c r="O16" s="23">
        <v>96.0</v>
      </c>
      <c r="P16" s="23">
        <v>96.0</v>
      </c>
      <c r="Q16" s="23">
        <v>96.0</v>
      </c>
      <c r="R16" s="23">
        <v>96.0</v>
      </c>
      <c r="S16" s="23">
        <v>96.0</v>
      </c>
      <c r="T16" s="23">
        <v>96.0</v>
      </c>
      <c r="U16" s="23">
        <v>96.0</v>
      </c>
      <c r="V16" s="25">
        <f t="shared" si="2"/>
        <v>96</v>
      </c>
      <c r="W16" s="23">
        <v>70.0</v>
      </c>
      <c r="X16" s="23">
        <v>70.0</v>
      </c>
      <c r="Y16" s="23">
        <v>80.0</v>
      </c>
      <c r="Z16" s="23">
        <v>70.0</v>
      </c>
      <c r="AA16" s="23">
        <v>80.0</v>
      </c>
      <c r="AB16" s="23">
        <v>30.0</v>
      </c>
      <c r="AC16" s="23">
        <v>60.0</v>
      </c>
      <c r="AD16" s="23">
        <v>70.0</v>
      </c>
      <c r="AE16" s="50">
        <f t="shared" si="3"/>
        <v>66.25</v>
      </c>
      <c r="AF16" s="48">
        <f>'KEMAMPUAN PRAKTIKUM'!H16</f>
        <v>90</v>
      </c>
      <c r="AG16" s="49">
        <f>'KEMAMPUAN PRAKTIKUM'!M16</f>
        <v>90</v>
      </c>
      <c r="AH16" s="49">
        <f>'KEMAMPUAN PRAKTIKUM'!R16</f>
        <v>90</v>
      </c>
      <c r="AI16" s="50">
        <f>'KEMAMPUAN PRAKTIKUM'!W16</f>
        <v>90</v>
      </c>
      <c r="AJ16" s="49">
        <f>'KEMAMPUAN PRAKTIKUM'!AB16</f>
        <v>90</v>
      </c>
      <c r="AK16" s="50">
        <f>'KEMAMPUAN PRAKTIKUM'!AG16</f>
        <v>60</v>
      </c>
      <c r="AL16" s="49">
        <f>'KEMAMPUAN PRAKTIKUM'!AL16</f>
        <v>87</v>
      </c>
      <c r="AM16" s="49">
        <f>'KEMAMPUAN PRAKTIKUM'!AQ16</f>
        <v>75</v>
      </c>
      <c r="AN16" s="25">
        <f t="shared" si="4"/>
        <v>84</v>
      </c>
    </row>
    <row r="17">
      <c r="A17" s="21">
        <f>'INPUT DAFTAR PESERTA'!A15</f>
        <v>12</v>
      </c>
      <c r="B17" s="21">
        <f>'INPUT DAFTAR PESERTA'!B15</f>
        <v>2409046051</v>
      </c>
      <c r="C17" s="22" t="str">
        <f>'INPUT DAFTAR PESERTA'!C15</f>
        <v>Aziffa Reisazalea</v>
      </c>
      <c r="D17" s="23">
        <v>100.0</v>
      </c>
      <c r="E17" s="23">
        <v>100.0</v>
      </c>
      <c r="F17" s="23">
        <v>100.0</v>
      </c>
      <c r="G17" s="23">
        <v>100.0</v>
      </c>
      <c r="H17" s="23">
        <v>100.0</v>
      </c>
      <c r="I17" s="23">
        <v>100.0</v>
      </c>
      <c r="J17" s="23">
        <v>100.0</v>
      </c>
      <c r="K17" s="23">
        <v>100.0</v>
      </c>
      <c r="L17" s="48">
        <f t="shared" si="1"/>
        <v>100</v>
      </c>
      <c r="M17" s="25">
        <f>'PENULISAN LAPORAN'!N16</f>
        <v>83.5625</v>
      </c>
      <c r="N17" s="23">
        <v>94.0</v>
      </c>
      <c r="O17" s="23">
        <v>94.0</v>
      </c>
      <c r="P17" s="23">
        <v>94.0</v>
      </c>
      <c r="Q17" s="23">
        <v>94.0</v>
      </c>
      <c r="R17" s="23">
        <v>94.0</v>
      </c>
      <c r="S17" s="23">
        <v>94.0</v>
      </c>
      <c r="T17" s="23">
        <v>94.0</v>
      </c>
      <c r="U17" s="23">
        <v>94.0</v>
      </c>
      <c r="V17" s="25">
        <f t="shared" si="2"/>
        <v>94</v>
      </c>
      <c r="W17" s="23">
        <v>60.0</v>
      </c>
      <c r="X17" s="23">
        <v>80.0</v>
      </c>
      <c r="Y17" s="23">
        <v>70.0</v>
      </c>
      <c r="Z17" s="23">
        <v>70.0</v>
      </c>
      <c r="AA17" s="23">
        <v>80.0</v>
      </c>
      <c r="AB17" s="23">
        <v>80.0</v>
      </c>
      <c r="AC17" s="23">
        <v>80.0</v>
      </c>
      <c r="AD17" s="23">
        <v>30.0</v>
      </c>
      <c r="AE17" s="50">
        <f t="shared" si="3"/>
        <v>68.75</v>
      </c>
      <c r="AF17" s="48">
        <f>'KEMAMPUAN PRAKTIKUM'!H17</f>
        <v>90</v>
      </c>
      <c r="AG17" s="49">
        <f>'KEMAMPUAN PRAKTIKUM'!M17</f>
        <v>90</v>
      </c>
      <c r="AH17" s="49">
        <f>'KEMAMPUAN PRAKTIKUM'!R17</f>
        <v>90</v>
      </c>
      <c r="AI17" s="50">
        <f>'KEMAMPUAN PRAKTIKUM'!W17</f>
        <v>90</v>
      </c>
      <c r="AJ17" s="49">
        <f>'KEMAMPUAN PRAKTIKUM'!AB17</f>
        <v>90</v>
      </c>
      <c r="AK17" s="50">
        <f>'KEMAMPUAN PRAKTIKUM'!AG17</f>
        <v>60</v>
      </c>
      <c r="AL17" s="49">
        <f>'KEMAMPUAN PRAKTIKUM'!AL17</f>
        <v>87</v>
      </c>
      <c r="AM17" s="49">
        <f>'KEMAMPUAN PRAKTIKUM'!AQ17</f>
        <v>75</v>
      </c>
      <c r="AN17" s="25">
        <f t="shared" si="4"/>
        <v>84</v>
      </c>
    </row>
    <row r="18">
      <c r="A18" s="21">
        <f>'INPUT DAFTAR PESERTA'!A16</f>
        <v>13</v>
      </c>
      <c r="B18" s="21">
        <f>'INPUT DAFTAR PESERTA'!B16</f>
        <v>2409046054</v>
      </c>
      <c r="C18" s="22" t="str">
        <f>'INPUT DAFTAR PESERTA'!C16</f>
        <v>Suci Andra Pramitha</v>
      </c>
      <c r="D18" s="23">
        <v>100.0</v>
      </c>
      <c r="E18" s="23">
        <v>100.0</v>
      </c>
      <c r="F18" s="23">
        <v>100.0</v>
      </c>
      <c r="G18" s="23">
        <v>100.0</v>
      </c>
      <c r="H18" s="23">
        <v>100.0</v>
      </c>
      <c r="I18" s="23">
        <v>100.0</v>
      </c>
      <c r="J18" s="23">
        <v>100.0</v>
      </c>
      <c r="K18" s="23">
        <v>100.0</v>
      </c>
      <c r="L18" s="48">
        <f t="shared" si="1"/>
        <v>100</v>
      </c>
      <c r="M18" s="25">
        <f>'PENULISAN LAPORAN'!N17</f>
        <v>51.625</v>
      </c>
      <c r="N18" s="23">
        <v>0.0</v>
      </c>
      <c r="O18" s="23">
        <v>0.0</v>
      </c>
      <c r="P18" s="23">
        <v>0.0</v>
      </c>
      <c r="Q18" s="23">
        <v>0.0</v>
      </c>
      <c r="R18" s="23">
        <v>0.0</v>
      </c>
      <c r="S18" s="23">
        <v>0.0</v>
      </c>
      <c r="T18" s="23">
        <v>0.0</v>
      </c>
      <c r="U18" s="23">
        <v>0.0</v>
      </c>
      <c r="V18" s="25">
        <f t="shared" si="2"/>
        <v>0</v>
      </c>
      <c r="W18" s="23">
        <v>30.0</v>
      </c>
      <c r="X18" s="23">
        <v>30.0</v>
      </c>
      <c r="Y18" s="23">
        <v>30.0</v>
      </c>
      <c r="Z18" s="23">
        <v>30.0</v>
      </c>
      <c r="AA18" s="23">
        <v>30.0</v>
      </c>
      <c r="AB18" s="23">
        <v>30.0</v>
      </c>
      <c r="AC18" s="23">
        <v>60.0</v>
      </c>
      <c r="AD18" s="23">
        <v>30.0</v>
      </c>
      <c r="AE18" s="50">
        <f t="shared" si="3"/>
        <v>33.75</v>
      </c>
      <c r="AF18" s="48">
        <f>'KEMAMPUAN PRAKTIKUM'!H18</f>
        <v>87</v>
      </c>
      <c r="AG18" s="49">
        <f>'KEMAMPUAN PRAKTIKUM'!M18</f>
        <v>60</v>
      </c>
      <c r="AH18" s="49">
        <f>'KEMAMPUAN PRAKTIKUM'!R18</f>
        <v>60</v>
      </c>
      <c r="AI18" s="50">
        <f>'KEMAMPUAN PRAKTIKUM'!W18</f>
        <v>90</v>
      </c>
      <c r="AJ18" s="49">
        <f>'KEMAMPUAN PRAKTIKUM'!AB18</f>
        <v>60</v>
      </c>
      <c r="AK18" s="50">
        <f>'KEMAMPUAN PRAKTIKUM'!AG18</f>
        <v>75</v>
      </c>
      <c r="AL18" s="49">
        <f>'KEMAMPUAN PRAKTIKUM'!AL18</f>
        <v>87</v>
      </c>
      <c r="AM18" s="49">
        <f>'KEMAMPUAN PRAKTIKUM'!AQ18</f>
        <v>57</v>
      </c>
      <c r="AN18" s="25">
        <f t="shared" si="4"/>
        <v>72</v>
      </c>
    </row>
    <row r="19">
      <c r="A19" s="21">
        <f>'INPUT DAFTAR PESERTA'!A17</f>
        <v>14</v>
      </c>
      <c r="B19" s="21">
        <f>'INPUT DAFTAR PESERTA'!B17</f>
        <v>2409046056</v>
      </c>
      <c r="C19" s="22" t="str">
        <f>'INPUT DAFTAR PESERTA'!C17</f>
        <v>Reira Praditha</v>
      </c>
      <c r="D19" s="23">
        <v>100.0</v>
      </c>
      <c r="E19" s="23">
        <v>100.0</v>
      </c>
      <c r="F19" s="23">
        <v>100.0</v>
      </c>
      <c r="G19" s="23">
        <v>100.0</v>
      </c>
      <c r="H19" s="23">
        <v>100.0</v>
      </c>
      <c r="I19" s="23">
        <v>100.0</v>
      </c>
      <c r="J19" s="23">
        <v>100.0</v>
      </c>
      <c r="K19" s="23">
        <v>100.0</v>
      </c>
      <c r="L19" s="48">
        <f t="shared" si="1"/>
        <v>100</v>
      </c>
      <c r="M19" s="25">
        <f>'PENULISAN LAPORAN'!N18</f>
        <v>77.0625</v>
      </c>
      <c r="N19" s="23">
        <v>92.0</v>
      </c>
      <c r="O19" s="23">
        <v>92.0</v>
      </c>
      <c r="P19" s="23">
        <v>92.0</v>
      </c>
      <c r="Q19" s="23">
        <v>92.0</v>
      </c>
      <c r="R19" s="23">
        <v>92.0</v>
      </c>
      <c r="S19" s="23">
        <v>92.0</v>
      </c>
      <c r="T19" s="23">
        <v>92.0</v>
      </c>
      <c r="U19" s="23">
        <v>92.0</v>
      </c>
      <c r="V19" s="25">
        <f t="shared" si="2"/>
        <v>92</v>
      </c>
      <c r="W19" s="23">
        <v>30.0</v>
      </c>
      <c r="X19" s="23">
        <v>60.0</v>
      </c>
      <c r="Y19" s="23">
        <v>70.0</v>
      </c>
      <c r="Z19" s="23">
        <v>80.0</v>
      </c>
      <c r="AA19" s="23">
        <v>80.0</v>
      </c>
      <c r="AB19" s="23">
        <v>70.0</v>
      </c>
      <c r="AC19" s="23">
        <v>30.0</v>
      </c>
      <c r="AD19" s="23">
        <v>60.0</v>
      </c>
      <c r="AE19" s="50">
        <f t="shared" si="3"/>
        <v>60</v>
      </c>
      <c r="AF19" s="48">
        <f>'KEMAMPUAN PRAKTIKUM'!H19</f>
        <v>81</v>
      </c>
      <c r="AG19" s="49">
        <f>'KEMAMPUAN PRAKTIKUM'!M19</f>
        <v>90</v>
      </c>
      <c r="AH19" s="49">
        <f>'KEMAMPUAN PRAKTIKUM'!R19</f>
        <v>75</v>
      </c>
      <c r="AI19" s="50">
        <f>'KEMAMPUAN PRAKTIKUM'!W19</f>
        <v>90</v>
      </c>
      <c r="AJ19" s="49">
        <f>'KEMAMPUAN PRAKTIKUM'!AB19</f>
        <v>90</v>
      </c>
      <c r="AK19" s="50">
        <f>'KEMAMPUAN PRAKTIKUM'!AG19</f>
        <v>75</v>
      </c>
      <c r="AL19" s="49">
        <f>'KEMAMPUAN PRAKTIKUM'!AL19</f>
        <v>57</v>
      </c>
      <c r="AM19" s="49">
        <f>'KEMAMPUAN PRAKTIKUM'!AQ19</f>
        <v>75</v>
      </c>
      <c r="AN19" s="25">
        <f t="shared" si="4"/>
        <v>79.125</v>
      </c>
    </row>
    <row r="20">
      <c r="A20" s="21">
        <f>'INPUT DAFTAR PESERTA'!A18</f>
        <v>15</v>
      </c>
      <c r="B20" s="21">
        <f>'INPUT DAFTAR PESERTA'!B18</f>
        <v>2409046060</v>
      </c>
      <c r="C20" s="22" t="str">
        <f>'INPUT DAFTAR PESERTA'!C18</f>
        <v>Ainaya Salsabila</v>
      </c>
      <c r="D20" s="23">
        <v>100.0</v>
      </c>
      <c r="E20" s="23">
        <v>100.0</v>
      </c>
      <c r="F20" s="23">
        <v>100.0</v>
      </c>
      <c r="G20" s="23">
        <v>100.0</v>
      </c>
      <c r="H20" s="23">
        <v>100.0</v>
      </c>
      <c r="I20" s="23">
        <v>100.0</v>
      </c>
      <c r="J20" s="23">
        <v>100.0</v>
      </c>
      <c r="K20" s="23">
        <v>100.0</v>
      </c>
      <c r="L20" s="48">
        <f t="shared" si="1"/>
        <v>100</v>
      </c>
      <c r="M20" s="25">
        <f>'PENULISAN LAPORAN'!N19</f>
        <v>83.9375</v>
      </c>
      <c r="N20" s="23">
        <v>98.0</v>
      </c>
      <c r="O20" s="23">
        <v>98.0</v>
      </c>
      <c r="P20" s="23">
        <v>98.0</v>
      </c>
      <c r="Q20" s="23">
        <v>98.0</v>
      </c>
      <c r="R20" s="23">
        <v>98.0</v>
      </c>
      <c r="S20" s="23">
        <v>98.0</v>
      </c>
      <c r="T20" s="23">
        <v>98.0</v>
      </c>
      <c r="U20" s="23">
        <v>98.0</v>
      </c>
      <c r="V20" s="25">
        <f t="shared" si="2"/>
        <v>98</v>
      </c>
      <c r="W20" s="23">
        <v>70.0</v>
      </c>
      <c r="X20" s="23">
        <v>60.0</v>
      </c>
      <c r="Y20" s="23">
        <v>80.0</v>
      </c>
      <c r="Z20" s="23">
        <v>80.0</v>
      </c>
      <c r="AA20" s="23">
        <v>70.0</v>
      </c>
      <c r="AB20" s="23">
        <v>70.0</v>
      </c>
      <c r="AC20" s="23">
        <v>80.0</v>
      </c>
      <c r="AD20" s="23">
        <v>30.0</v>
      </c>
      <c r="AE20" s="50">
        <f t="shared" si="3"/>
        <v>67.5</v>
      </c>
      <c r="AF20" s="48">
        <f>'KEMAMPUAN PRAKTIKUM'!H20</f>
        <v>81</v>
      </c>
      <c r="AG20" s="49">
        <f>'KEMAMPUAN PRAKTIKUM'!M20</f>
        <v>90</v>
      </c>
      <c r="AH20" s="49">
        <f>'KEMAMPUAN PRAKTIKUM'!R20</f>
        <v>87</v>
      </c>
      <c r="AI20" s="50">
        <f>'KEMAMPUAN PRAKTIKUM'!W20</f>
        <v>90</v>
      </c>
      <c r="AJ20" s="49">
        <f>'KEMAMPUAN PRAKTIKUM'!AB20</f>
        <v>90</v>
      </c>
      <c r="AK20" s="50">
        <f>'KEMAMPUAN PRAKTIKUM'!AG20</f>
        <v>75</v>
      </c>
      <c r="AL20" s="49">
        <f>'KEMAMPUAN PRAKTIKUM'!AL20</f>
        <v>87</v>
      </c>
      <c r="AM20" s="49">
        <f>'KEMAMPUAN PRAKTIKUM'!AQ20</f>
        <v>60</v>
      </c>
      <c r="AN20" s="25">
        <f t="shared" si="4"/>
        <v>82.5</v>
      </c>
    </row>
    <row r="21">
      <c r="A21" s="21">
        <f>'INPUT DAFTAR PESERTA'!A19</f>
        <v>16</v>
      </c>
      <c r="B21" s="21">
        <f>'INPUT DAFTAR PESERTA'!B19</f>
        <v>2504096069</v>
      </c>
      <c r="C21" s="58" t="str">
        <f>'INPUT DAFTAR PESERTA'!C19</f>
        <v>Hafidz Ihsan Izzuddin</v>
      </c>
      <c r="D21" s="23">
        <v>100.0</v>
      </c>
      <c r="E21" s="50"/>
      <c r="F21" s="23">
        <v>100.0</v>
      </c>
      <c r="G21" s="50"/>
      <c r="H21" s="23">
        <v>100.0</v>
      </c>
      <c r="I21" s="23">
        <v>100.0</v>
      </c>
      <c r="J21" s="50"/>
      <c r="K21" s="23">
        <v>100.0</v>
      </c>
      <c r="L21" s="48">
        <f t="shared" si="1"/>
        <v>62.5</v>
      </c>
      <c r="M21" s="25">
        <f>'PENULISAN LAPORAN'!N20</f>
        <v>9.125</v>
      </c>
      <c r="N21" s="23">
        <v>94.0</v>
      </c>
      <c r="O21" s="23">
        <v>94.0</v>
      </c>
      <c r="P21" s="23">
        <v>94.0</v>
      </c>
      <c r="Q21" s="23">
        <v>94.0</v>
      </c>
      <c r="R21" s="23">
        <v>94.0</v>
      </c>
      <c r="S21" s="23">
        <v>94.0</v>
      </c>
      <c r="T21" s="23">
        <v>94.0</v>
      </c>
      <c r="U21" s="23">
        <v>94.0</v>
      </c>
      <c r="V21" s="25">
        <f t="shared" si="2"/>
        <v>94</v>
      </c>
      <c r="W21" s="23"/>
      <c r="X21" s="50"/>
      <c r="Y21" s="50"/>
      <c r="Z21" s="50"/>
      <c r="AA21" s="23">
        <v>0.0</v>
      </c>
      <c r="AB21" s="50"/>
      <c r="AC21" s="23"/>
      <c r="AD21" s="50"/>
      <c r="AE21" s="50">
        <f t="shared" si="3"/>
        <v>0</v>
      </c>
      <c r="AF21" s="48">
        <f>'KEMAMPUAN PRAKTIKUM'!H21</f>
        <v>75</v>
      </c>
      <c r="AG21" s="49">
        <f>'KEMAMPUAN PRAKTIKUM'!M21</f>
        <v>30</v>
      </c>
      <c r="AH21" s="49">
        <f>'KEMAMPUAN PRAKTIKUM'!R21</f>
        <v>54</v>
      </c>
      <c r="AI21" s="50">
        <f>'KEMAMPUAN PRAKTIKUM'!W21</f>
        <v>0</v>
      </c>
      <c r="AJ21" s="49">
        <f>'KEMAMPUAN PRAKTIKUM'!AB21</f>
        <v>30</v>
      </c>
      <c r="AK21" s="50">
        <f>'KEMAMPUAN PRAKTIKUM'!AG21</f>
        <v>75</v>
      </c>
      <c r="AL21" s="49">
        <f>'KEMAMPUAN PRAKTIKUM'!AL21</f>
        <v>57</v>
      </c>
      <c r="AM21" s="49">
        <f>'KEMAMPUAN PRAKTIKUM'!AQ21</f>
        <v>0</v>
      </c>
      <c r="AN21" s="25">
        <f t="shared" si="4"/>
        <v>40.125</v>
      </c>
    </row>
    <row r="22">
      <c r="A22" s="21">
        <f>'INPUT DAFTAR PESERTA'!A20</f>
        <v>17</v>
      </c>
      <c r="B22" s="21">
        <f>'INPUT DAFTAR PESERTA'!B20</f>
        <v>2509046001</v>
      </c>
      <c r="C22" s="22" t="str">
        <f>'INPUT DAFTAR PESERTA'!C20</f>
        <v>Nurman Dwi Prasetyo</v>
      </c>
      <c r="D22" s="23">
        <v>100.0</v>
      </c>
      <c r="E22" s="23">
        <v>100.0</v>
      </c>
      <c r="F22" s="23">
        <v>100.0</v>
      </c>
      <c r="G22" s="23">
        <v>100.0</v>
      </c>
      <c r="H22" s="23">
        <v>100.0</v>
      </c>
      <c r="I22" s="23">
        <v>100.0</v>
      </c>
      <c r="J22" s="23">
        <v>100.0</v>
      </c>
      <c r="K22" s="23">
        <v>100.0</v>
      </c>
      <c r="L22" s="48">
        <f t="shared" si="1"/>
        <v>100</v>
      </c>
      <c r="M22" s="25">
        <f>'PENULISAN LAPORAN'!N21</f>
        <v>55.875</v>
      </c>
      <c r="N22" s="23">
        <v>88.0</v>
      </c>
      <c r="O22" s="23">
        <v>88.0</v>
      </c>
      <c r="P22" s="23">
        <v>88.0</v>
      </c>
      <c r="Q22" s="23">
        <v>88.0</v>
      </c>
      <c r="R22" s="23">
        <v>88.0</v>
      </c>
      <c r="S22" s="23">
        <v>88.0</v>
      </c>
      <c r="T22" s="23">
        <v>88.0</v>
      </c>
      <c r="U22" s="23">
        <v>88.0</v>
      </c>
      <c r="V22" s="25">
        <f t="shared" si="2"/>
        <v>88</v>
      </c>
      <c r="W22" s="23">
        <v>60.0</v>
      </c>
      <c r="X22" s="23">
        <v>70.0</v>
      </c>
      <c r="Y22" s="23">
        <v>70.0</v>
      </c>
      <c r="Z22" s="23">
        <v>70.0</v>
      </c>
      <c r="AA22" s="23">
        <v>70.0</v>
      </c>
      <c r="AB22" s="23">
        <v>70.0</v>
      </c>
      <c r="AC22" s="23">
        <v>30.0</v>
      </c>
      <c r="AD22" s="23">
        <v>60.0</v>
      </c>
      <c r="AE22" s="50">
        <f t="shared" si="3"/>
        <v>62.5</v>
      </c>
      <c r="AF22" s="48">
        <f>'KEMAMPUAN PRAKTIKUM'!H22</f>
        <v>60</v>
      </c>
      <c r="AG22" s="49">
        <f>'KEMAMPUAN PRAKTIKUM'!M22</f>
        <v>75</v>
      </c>
      <c r="AH22" s="49">
        <f>'KEMAMPUAN PRAKTIKUM'!R22</f>
        <v>60</v>
      </c>
      <c r="AI22" s="50">
        <f>'KEMAMPUAN PRAKTIKUM'!W22</f>
        <v>90</v>
      </c>
      <c r="AJ22" s="49">
        <f>'KEMAMPUAN PRAKTIKUM'!AB22</f>
        <v>60</v>
      </c>
      <c r="AK22" s="50">
        <f>'KEMAMPUAN PRAKTIKUM'!AG22</f>
        <v>75</v>
      </c>
      <c r="AL22" s="49">
        <f>'KEMAMPUAN PRAKTIKUM'!AL22</f>
        <v>57</v>
      </c>
      <c r="AM22" s="49">
        <f>'KEMAMPUAN PRAKTIKUM'!AQ22</f>
        <v>60</v>
      </c>
      <c r="AN22" s="25">
        <f t="shared" si="4"/>
        <v>67.125</v>
      </c>
    </row>
    <row r="23">
      <c r="A23" s="21">
        <f>'INPUT DAFTAR PESERTA'!A21</f>
        <v>18</v>
      </c>
      <c r="B23" s="21">
        <f>'INPUT DAFTAR PESERTA'!B21</f>
        <v>2509046002</v>
      </c>
      <c r="C23" s="22" t="str">
        <f>'INPUT DAFTAR PESERTA'!C21</f>
        <v>Farid Akmal</v>
      </c>
      <c r="D23" s="23">
        <v>100.0</v>
      </c>
      <c r="E23" s="23">
        <v>100.0</v>
      </c>
      <c r="F23" s="23">
        <v>100.0</v>
      </c>
      <c r="G23" s="23">
        <v>100.0</v>
      </c>
      <c r="H23" s="23">
        <v>100.0</v>
      </c>
      <c r="I23" s="23">
        <v>100.0</v>
      </c>
      <c r="J23" s="23">
        <v>100.0</v>
      </c>
      <c r="K23" s="23">
        <v>100.0</v>
      </c>
      <c r="L23" s="48">
        <f t="shared" si="1"/>
        <v>100</v>
      </c>
      <c r="M23" s="25">
        <f>'PENULISAN LAPORAN'!N22</f>
        <v>76.75</v>
      </c>
      <c r="N23" s="23">
        <v>96.0</v>
      </c>
      <c r="O23" s="23">
        <v>96.0</v>
      </c>
      <c r="P23" s="23">
        <v>96.0</v>
      </c>
      <c r="Q23" s="23">
        <v>96.0</v>
      </c>
      <c r="R23" s="23">
        <v>96.0</v>
      </c>
      <c r="S23" s="23">
        <v>96.0</v>
      </c>
      <c r="T23" s="23">
        <v>96.0</v>
      </c>
      <c r="U23" s="23">
        <v>96.0</v>
      </c>
      <c r="V23" s="25">
        <f t="shared" si="2"/>
        <v>96</v>
      </c>
      <c r="W23" s="23">
        <v>80.0</v>
      </c>
      <c r="X23" s="23">
        <v>70.0</v>
      </c>
      <c r="Y23" s="23">
        <v>80.0</v>
      </c>
      <c r="Z23" s="23">
        <v>80.0</v>
      </c>
      <c r="AA23" s="23">
        <v>70.0</v>
      </c>
      <c r="AB23" s="23">
        <v>80.0</v>
      </c>
      <c r="AC23" s="23">
        <v>80.0</v>
      </c>
      <c r="AD23" s="23">
        <v>60.0</v>
      </c>
      <c r="AE23" s="50">
        <f t="shared" si="3"/>
        <v>75</v>
      </c>
      <c r="AF23" s="48">
        <f>'KEMAMPUAN PRAKTIKUM'!H23</f>
        <v>75</v>
      </c>
      <c r="AG23" s="49">
        <f>'KEMAMPUAN PRAKTIKUM'!M23</f>
        <v>75</v>
      </c>
      <c r="AH23" s="49">
        <f>'KEMAMPUAN PRAKTIKUM'!R23</f>
        <v>66</v>
      </c>
      <c r="AI23" s="50">
        <f>'KEMAMPUAN PRAKTIKUM'!W23</f>
        <v>75</v>
      </c>
      <c r="AJ23" s="49">
        <f>'KEMAMPUAN PRAKTIKUM'!AB23</f>
        <v>60</v>
      </c>
      <c r="AK23" s="50">
        <f>'KEMAMPUAN PRAKTIKUM'!AG23</f>
        <v>75</v>
      </c>
      <c r="AL23" s="49">
        <f>'KEMAMPUAN PRAKTIKUM'!AL23</f>
        <v>72</v>
      </c>
      <c r="AM23" s="49">
        <f>'KEMAMPUAN PRAKTIKUM'!AQ23</f>
        <v>90</v>
      </c>
      <c r="AN23" s="25">
        <f t="shared" si="4"/>
        <v>73.5</v>
      </c>
    </row>
    <row r="24">
      <c r="A24" s="21">
        <f>'INPUT DAFTAR PESERTA'!A22</f>
        <v>19</v>
      </c>
      <c r="B24" s="21">
        <f>'INPUT DAFTAR PESERTA'!B22</f>
        <v>2509046003</v>
      </c>
      <c r="C24" s="22" t="str">
        <f>'INPUT DAFTAR PESERTA'!C22</f>
        <v>Azzahra Tusitha</v>
      </c>
      <c r="D24" s="23">
        <v>100.0</v>
      </c>
      <c r="E24" s="23">
        <v>100.0</v>
      </c>
      <c r="F24" s="23">
        <v>100.0</v>
      </c>
      <c r="G24" s="23">
        <v>100.0</v>
      </c>
      <c r="H24" s="23">
        <v>100.0</v>
      </c>
      <c r="I24" s="23">
        <v>100.0</v>
      </c>
      <c r="J24" s="23">
        <v>100.0</v>
      </c>
      <c r="K24" s="23">
        <v>100.0</v>
      </c>
      <c r="L24" s="48">
        <f t="shared" si="1"/>
        <v>100</v>
      </c>
      <c r="M24" s="25">
        <f>'PENULISAN LAPORAN'!N23</f>
        <v>82.5</v>
      </c>
      <c r="N24" s="23">
        <v>76.0</v>
      </c>
      <c r="O24" s="23">
        <v>76.0</v>
      </c>
      <c r="P24" s="23">
        <v>76.0</v>
      </c>
      <c r="Q24" s="23">
        <v>76.0</v>
      </c>
      <c r="R24" s="23">
        <v>76.0</v>
      </c>
      <c r="S24" s="23">
        <v>76.0</v>
      </c>
      <c r="T24" s="23">
        <v>76.0</v>
      </c>
      <c r="U24" s="23">
        <v>76.0</v>
      </c>
      <c r="V24" s="25">
        <f t="shared" si="2"/>
        <v>76</v>
      </c>
      <c r="W24" s="23">
        <v>70.0</v>
      </c>
      <c r="X24" s="23">
        <v>80.0</v>
      </c>
      <c r="Y24" s="23">
        <v>80.0</v>
      </c>
      <c r="Z24" s="23">
        <v>70.0</v>
      </c>
      <c r="AA24" s="23">
        <v>70.0</v>
      </c>
      <c r="AB24" s="23">
        <v>80.0</v>
      </c>
      <c r="AC24" s="23">
        <v>70.0</v>
      </c>
      <c r="AD24" s="23">
        <v>70.0</v>
      </c>
      <c r="AE24" s="50">
        <f t="shared" si="3"/>
        <v>73.75</v>
      </c>
      <c r="AF24" s="48">
        <f>'KEMAMPUAN PRAKTIKUM'!H24</f>
        <v>75</v>
      </c>
      <c r="AG24" s="49">
        <f>'KEMAMPUAN PRAKTIKUM'!M24</f>
        <v>90</v>
      </c>
      <c r="AH24" s="49">
        <f>'KEMAMPUAN PRAKTIKUM'!R24</f>
        <v>90</v>
      </c>
      <c r="AI24" s="50">
        <f>'KEMAMPUAN PRAKTIKUM'!W24</f>
        <v>90</v>
      </c>
      <c r="AJ24" s="49">
        <f>'KEMAMPUAN PRAKTIKUM'!AB24</f>
        <v>60</v>
      </c>
      <c r="AK24" s="50">
        <f>'KEMAMPUAN PRAKTIKUM'!AG24</f>
        <v>90</v>
      </c>
      <c r="AL24" s="49">
        <f>'KEMAMPUAN PRAKTIKUM'!AL24</f>
        <v>87</v>
      </c>
      <c r="AM24" s="49">
        <f>'KEMAMPUAN PRAKTIKUM'!AQ24</f>
        <v>90</v>
      </c>
      <c r="AN24" s="25">
        <f t="shared" si="4"/>
        <v>84</v>
      </c>
    </row>
    <row r="25">
      <c r="A25" s="21">
        <f>'INPUT DAFTAR PESERTA'!A23</f>
        <v>20</v>
      </c>
      <c r="B25" s="21">
        <f>'INPUT DAFTAR PESERTA'!B23</f>
        <v>2509046004</v>
      </c>
      <c r="C25" s="22" t="str">
        <f>'INPUT DAFTAR PESERTA'!C23</f>
        <v>Ahmadia Syarifah Lauradinta</v>
      </c>
      <c r="D25" s="23">
        <v>100.0</v>
      </c>
      <c r="E25" s="23">
        <v>100.0</v>
      </c>
      <c r="F25" s="23">
        <v>100.0</v>
      </c>
      <c r="G25" s="23">
        <v>100.0</v>
      </c>
      <c r="H25" s="23">
        <v>100.0</v>
      </c>
      <c r="I25" s="23">
        <v>100.0</v>
      </c>
      <c r="J25" s="23">
        <v>100.0</v>
      </c>
      <c r="K25" s="23">
        <v>100.0</v>
      </c>
      <c r="L25" s="48">
        <f t="shared" si="1"/>
        <v>100</v>
      </c>
      <c r="M25" s="25">
        <f>'PENULISAN LAPORAN'!N24</f>
        <v>55.8125</v>
      </c>
      <c r="N25" s="23">
        <v>88.0</v>
      </c>
      <c r="O25" s="23">
        <v>88.0</v>
      </c>
      <c r="P25" s="23">
        <v>88.0</v>
      </c>
      <c r="Q25" s="23">
        <v>88.0</v>
      </c>
      <c r="R25" s="23">
        <v>88.0</v>
      </c>
      <c r="S25" s="23">
        <v>88.0</v>
      </c>
      <c r="T25" s="23">
        <v>88.0</v>
      </c>
      <c r="U25" s="23">
        <v>88.0</v>
      </c>
      <c r="V25" s="25">
        <f t="shared" si="2"/>
        <v>88</v>
      </c>
      <c r="W25" s="23">
        <v>60.0</v>
      </c>
      <c r="X25" s="23">
        <v>70.0</v>
      </c>
      <c r="Y25" s="23">
        <v>70.0</v>
      </c>
      <c r="Z25" s="23">
        <v>70.0</v>
      </c>
      <c r="AA25" s="23">
        <v>70.0</v>
      </c>
      <c r="AB25" s="23">
        <v>70.0</v>
      </c>
      <c r="AC25" s="23">
        <v>30.0</v>
      </c>
      <c r="AD25" s="23">
        <v>70.0</v>
      </c>
      <c r="AE25" s="50">
        <f t="shared" si="3"/>
        <v>63.75</v>
      </c>
      <c r="AF25" s="48">
        <f>'KEMAMPUAN PRAKTIKUM'!H25</f>
        <v>54</v>
      </c>
      <c r="AG25" s="49">
        <f>'KEMAMPUAN PRAKTIKUM'!M25</f>
        <v>81</v>
      </c>
      <c r="AH25" s="49">
        <f>'KEMAMPUAN PRAKTIKUM'!R25</f>
        <v>90</v>
      </c>
      <c r="AI25" s="50">
        <f>'KEMAMPUAN PRAKTIKUM'!W25</f>
        <v>45</v>
      </c>
      <c r="AJ25" s="49">
        <f>'KEMAMPUAN PRAKTIKUM'!AB25</f>
        <v>90</v>
      </c>
      <c r="AK25" s="50">
        <f>'KEMAMPUAN PRAKTIKUM'!AG25</f>
        <v>75</v>
      </c>
      <c r="AL25" s="49">
        <f>'KEMAMPUAN PRAKTIKUM'!AL25</f>
        <v>57</v>
      </c>
      <c r="AM25" s="49">
        <f>'KEMAMPUAN PRAKTIKUM'!AQ25</f>
        <v>60</v>
      </c>
      <c r="AN25" s="25">
        <f t="shared" si="4"/>
        <v>69</v>
      </c>
    </row>
    <row r="26">
      <c r="A26" s="21">
        <f>'INPUT DAFTAR PESERTA'!A24</f>
        <v>21</v>
      </c>
      <c r="B26" s="21">
        <f>'INPUT DAFTAR PESERTA'!B24</f>
        <v>2509046005</v>
      </c>
      <c r="C26" s="22" t="str">
        <f>'INPUT DAFTAR PESERTA'!C24</f>
        <v>Seysa Puji Annura</v>
      </c>
      <c r="D26" s="23">
        <v>100.0</v>
      </c>
      <c r="E26" s="23">
        <v>100.0</v>
      </c>
      <c r="F26" s="23">
        <v>100.0</v>
      </c>
      <c r="G26" s="23">
        <v>100.0</v>
      </c>
      <c r="H26" s="23">
        <v>100.0</v>
      </c>
      <c r="I26" s="23">
        <v>100.0</v>
      </c>
      <c r="J26" s="23">
        <v>100.0</v>
      </c>
      <c r="K26" s="23">
        <v>100.0</v>
      </c>
      <c r="L26" s="48">
        <f t="shared" si="1"/>
        <v>100</v>
      </c>
      <c r="M26" s="25">
        <f>'PENULISAN LAPORAN'!N25</f>
        <v>44.09375</v>
      </c>
      <c r="N26" s="23">
        <v>46.0</v>
      </c>
      <c r="O26" s="23">
        <v>46.0</v>
      </c>
      <c r="P26" s="23">
        <v>46.0</v>
      </c>
      <c r="Q26" s="23">
        <v>46.0</v>
      </c>
      <c r="R26" s="23">
        <v>46.0</v>
      </c>
      <c r="S26" s="23">
        <v>46.0</v>
      </c>
      <c r="T26" s="23">
        <v>46.0</v>
      </c>
      <c r="U26" s="23">
        <v>46.0</v>
      </c>
      <c r="V26" s="25">
        <f t="shared" si="2"/>
        <v>46</v>
      </c>
      <c r="W26" s="23">
        <v>70.0</v>
      </c>
      <c r="X26" s="23">
        <v>30.0</v>
      </c>
      <c r="Y26" s="23">
        <v>80.0</v>
      </c>
      <c r="Z26" s="23">
        <v>70.0</v>
      </c>
      <c r="AA26" s="23">
        <v>70.0</v>
      </c>
      <c r="AB26" s="23">
        <v>60.0</v>
      </c>
      <c r="AC26" s="23">
        <v>30.0</v>
      </c>
      <c r="AD26" s="23">
        <v>30.0</v>
      </c>
      <c r="AE26" s="50">
        <f t="shared" si="3"/>
        <v>55</v>
      </c>
      <c r="AF26" s="48">
        <f>'KEMAMPUAN PRAKTIKUM'!H26</f>
        <v>54</v>
      </c>
      <c r="AG26" s="49">
        <f>'KEMAMPUAN PRAKTIKUM'!M26</f>
        <v>51</v>
      </c>
      <c r="AH26" s="49">
        <f>'KEMAMPUAN PRAKTIKUM'!R26</f>
        <v>60</v>
      </c>
      <c r="AI26" s="50">
        <f>'KEMAMPUAN PRAKTIKUM'!W26</f>
        <v>60</v>
      </c>
      <c r="AJ26" s="49">
        <f>'KEMAMPUAN PRAKTIKUM'!AB26</f>
        <v>45</v>
      </c>
      <c r="AK26" s="50">
        <f>'KEMAMPUAN PRAKTIKUM'!AG26</f>
        <v>90</v>
      </c>
      <c r="AL26" s="49">
        <f>'KEMAMPUAN PRAKTIKUM'!AL26</f>
        <v>57</v>
      </c>
      <c r="AM26" s="49">
        <f>'KEMAMPUAN PRAKTIKUM'!AQ26</f>
        <v>45</v>
      </c>
      <c r="AN26" s="25">
        <f t="shared" si="4"/>
        <v>57.75</v>
      </c>
    </row>
    <row r="27">
      <c r="A27" s="21">
        <f>'INPUT DAFTAR PESERTA'!A25</f>
        <v>22</v>
      </c>
      <c r="B27" s="21">
        <f>'INPUT DAFTAR PESERTA'!B25</f>
        <v>2509046006</v>
      </c>
      <c r="C27" s="22" t="str">
        <f>'INPUT DAFTAR PESERTA'!C25</f>
        <v>Gita Ramadhani Supriyadi</v>
      </c>
      <c r="D27" s="50"/>
      <c r="E27" s="50"/>
      <c r="F27" s="50"/>
      <c r="G27" s="50"/>
      <c r="H27" s="23">
        <v>100.0</v>
      </c>
      <c r="I27" s="23">
        <v>100.0</v>
      </c>
      <c r="J27" s="23">
        <v>100.0</v>
      </c>
      <c r="K27" s="23">
        <v>100.0</v>
      </c>
      <c r="L27" s="48">
        <f t="shared" si="1"/>
        <v>50</v>
      </c>
      <c r="M27" s="25">
        <f>'PENULISAN LAPORAN'!N26</f>
        <v>0</v>
      </c>
      <c r="N27" s="23">
        <v>0.0</v>
      </c>
      <c r="O27" s="23">
        <v>0.0</v>
      </c>
      <c r="P27" s="23">
        <v>0.0</v>
      </c>
      <c r="Q27" s="23">
        <v>0.0</v>
      </c>
      <c r="R27" s="23">
        <v>0.0</v>
      </c>
      <c r="S27" s="23">
        <v>0.0</v>
      </c>
      <c r="T27" s="23">
        <v>0.0</v>
      </c>
      <c r="U27" s="23">
        <v>0.0</v>
      </c>
      <c r="V27" s="25">
        <f t="shared" si="2"/>
        <v>0</v>
      </c>
      <c r="W27" s="23"/>
      <c r="X27" s="23"/>
      <c r="Y27" s="50"/>
      <c r="Z27" s="50"/>
      <c r="AA27" s="23">
        <v>0.0</v>
      </c>
      <c r="AB27" s="50"/>
      <c r="AC27" s="23"/>
      <c r="AD27" s="50"/>
      <c r="AE27" s="50">
        <f t="shared" si="3"/>
        <v>0</v>
      </c>
      <c r="AF27" s="48">
        <f>'KEMAMPUAN PRAKTIKUM'!H27</f>
        <v>0</v>
      </c>
      <c r="AG27" s="49">
        <f>'KEMAMPUAN PRAKTIKUM'!M27</f>
        <v>30</v>
      </c>
      <c r="AH27" s="49">
        <f>'KEMAMPUAN PRAKTIKUM'!R27</f>
        <v>0</v>
      </c>
      <c r="AI27" s="50">
        <f>'KEMAMPUAN PRAKTIKUM'!W27</f>
        <v>0</v>
      </c>
      <c r="AJ27" s="49">
        <f>'KEMAMPUAN PRAKTIKUM'!AB27</f>
        <v>30</v>
      </c>
      <c r="AK27" s="50">
        <f>'KEMAMPUAN PRAKTIKUM'!AG27</f>
        <v>0</v>
      </c>
      <c r="AL27" s="49">
        <f>'KEMAMPUAN PRAKTIKUM'!AL27</f>
        <v>0</v>
      </c>
      <c r="AM27" s="49">
        <f>'KEMAMPUAN PRAKTIKUM'!AQ27</f>
        <v>0</v>
      </c>
      <c r="AN27" s="25">
        <f t="shared" si="4"/>
        <v>7.5</v>
      </c>
    </row>
    <row r="28">
      <c r="A28" s="21">
        <f>'INPUT DAFTAR PESERTA'!A26</f>
        <v>23</v>
      </c>
      <c r="B28" s="21">
        <f>'INPUT DAFTAR PESERTA'!B26</f>
        <v>2509046007</v>
      </c>
      <c r="C28" s="22" t="str">
        <f>'INPUT DAFTAR PESERTA'!C26</f>
        <v>Fabio Cannavaro Sinaga</v>
      </c>
      <c r="D28" s="23">
        <v>100.0</v>
      </c>
      <c r="E28" s="23">
        <v>100.0</v>
      </c>
      <c r="F28" s="23">
        <v>100.0</v>
      </c>
      <c r="G28" s="23">
        <v>100.0</v>
      </c>
      <c r="H28" s="23">
        <v>100.0</v>
      </c>
      <c r="I28" s="23">
        <v>100.0</v>
      </c>
      <c r="J28" s="23">
        <v>100.0</v>
      </c>
      <c r="K28" s="23">
        <v>100.0</v>
      </c>
      <c r="L28" s="48">
        <f t="shared" si="1"/>
        <v>100</v>
      </c>
      <c r="M28" s="25">
        <f>'PENULISAN LAPORAN'!N27</f>
        <v>75.9375</v>
      </c>
      <c r="N28" s="23">
        <v>0.0</v>
      </c>
      <c r="O28" s="23">
        <v>0.0</v>
      </c>
      <c r="P28" s="23">
        <v>0.0</v>
      </c>
      <c r="Q28" s="23">
        <v>0.0</v>
      </c>
      <c r="R28" s="23">
        <v>0.0</v>
      </c>
      <c r="S28" s="23">
        <v>0.0</v>
      </c>
      <c r="T28" s="23">
        <v>0.0</v>
      </c>
      <c r="U28" s="23">
        <v>0.0</v>
      </c>
      <c r="V28" s="25">
        <f t="shared" si="2"/>
        <v>0</v>
      </c>
      <c r="W28" s="23">
        <v>30.0</v>
      </c>
      <c r="X28" s="23">
        <v>70.0</v>
      </c>
      <c r="Y28" s="23">
        <v>70.0</v>
      </c>
      <c r="Z28" s="23">
        <v>70.0</v>
      </c>
      <c r="AA28" s="23">
        <v>70.0</v>
      </c>
      <c r="AB28" s="23">
        <v>70.0</v>
      </c>
      <c r="AC28" s="23">
        <v>70.0</v>
      </c>
      <c r="AD28" s="23">
        <v>80.0</v>
      </c>
      <c r="AE28" s="50">
        <f t="shared" si="3"/>
        <v>66.25</v>
      </c>
      <c r="AF28" s="48">
        <f>'KEMAMPUAN PRAKTIKUM'!H28</f>
        <v>90</v>
      </c>
      <c r="AG28" s="49">
        <f>'KEMAMPUAN PRAKTIKUM'!M28</f>
        <v>69</v>
      </c>
      <c r="AH28" s="49">
        <f>'KEMAMPUAN PRAKTIKUM'!R28</f>
        <v>90</v>
      </c>
      <c r="AI28" s="50">
        <f>'KEMAMPUAN PRAKTIKUM'!W28</f>
        <v>90</v>
      </c>
      <c r="AJ28" s="49">
        <f>'KEMAMPUAN PRAKTIKUM'!AB28</f>
        <v>75</v>
      </c>
      <c r="AK28" s="50">
        <f>'KEMAMPUAN PRAKTIKUM'!AG28</f>
        <v>75</v>
      </c>
      <c r="AL28" s="49">
        <f>'KEMAMPUAN PRAKTIKUM'!AL28</f>
        <v>72</v>
      </c>
      <c r="AM28" s="49">
        <f>'KEMAMPUAN PRAKTIKUM'!AQ28</f>
        <v>60</v>
      </c>
      <c r="AN28" s="25">
        <f t="shared" si="4"/>
        <v>77.625</v>
      </c>
    </row>
    <row r="29">
      <c r="A29" s="21">
        <f>'INPUT DAFTAR PESERTA'!A27</f>
        <v>24</v>
      </c>
      <c r="B29" s="21">
        <f>'INPUT DAFTAR PESERTA'!B27</f>
        <v>2509046008</v>
      </c>
      <c r="C29" s="22" t="str">
        <f>'INPUT DAFTAR PESERTA'!C27</f>
        <v>Hayatun Nisa</v>
      </c>
      <c r="D29" s="23">
        <v>100.0</v>
      </c>
      <c r="E29" s="23">
        <v>100.0</v>
      </c>
      <c r="F29" s="23">
        <v>100.0</v>
      </c>
      <c r="G29" s="23">
        <v>100.0</v>
      </c>
      <c r="H29" s="23">
        <v>100.0</v>
      </c>
      <c r="I29" s="23">
        <v>100.0</v>
      </c>
      <c r="J29" s="23">
        <v>100.0</v>
      </c>
      <c r="K29" s="23">
        <v>100.0</v>
      </c>
      <c r="L29" s="48">
        <f t="shared" si="1"/>
        <v>100</v>
      </c>
      <c r="M29" s="25">
        <f>'PENULISAN LAPORAN'!N28</f>
        <v>58.625</v>
      </c>
      <c r="N29" s="23">
        <v>96.0</v>
      </c>
      <c r="O29" s="23">
        <v>96.0</v>
      </c>
      <c r="P29" s="23">
        <v>96.0</v>
      </c>
      <c r="Q29" s="23">
        <v>96.0</v>
      </c>
      <c r="R29" s="23">
        <v>96.0</v>
      </c>
      <c r="S29" s="23">
        <v>96.0</v>
      </c>
      <c r="T29" s="23">
        <v>96.0</v>
      </c>
      <c r="U29" s="23">
        <v>96.0</v>
      </c>
      <c r="V29" s="25">
        <f t="shared" si="2"/>
        <v>96</v>
      </c>
      <c r="W29" s="23">
        <v>30.0</v>
      </c>
      <c r="X29" s="23">
        <v>70.0</v>
      </c>
      <c r="Y29" s="23">
        <v>80.0</v>
      </c>
      <c r="Z29" s="23">
        <v>70.0</v>
      </c>
      <c r="AA29" s="23">
        <v>70.0</v>
      </c>
      <c r="AB29" s="23">
        <v>30.0</v>
      </c>
      <c r="AC29" s="23">
        <v>60.0</v>
      </c>
      <c r="AD29" s="23">
        <v>80.0</v>
      </c>
      <c r="AE29" s="50">
        <f t="shared" si="3"/>
        <v>61.25</v>
      </c>
      <c r="AF29" s="48">
        <f>'KEMAMPUAN PRAKTIKUM'!H29</f>
        <v>75</v>
      </c>
      <c r="AG29" s="49">
        <f>'KEMAMPUAN PRAKTIKUM'!M29</f>
        <v>60</v>
      </c>
      <c r="AH29" s="49">
        <f>'KEMAMPUAN PRAKTIKUM'!R29</f>
        <v>75</v>
      </c>
      <c r="AI29" s="50">
        <f>'KEMAMPUAN PRAKTIKUM'!W29</f>
        <v>60</v>
      </c>
      <c r="AJ29" s="49">
        <f>'KEMAMPUAN PRAKTIKUM'!AB29</f>
        <v>75</v>
      </c>
      <c r="AK29" s="50">
        <f>'KEMAMPUAN PRAKTIKUM'!AG29</f>
        <v>63</v>
      </c>
      <c r="AL29" s="49">
        <f>'KEMAMPUAN PRAKTIKUM'!AL29</f>
        <v>57</v>
      </c>
      <c r="AM29" s="49">
        <f>'KEMAMPUAN PRAKTIKUM'!AQ29</f>
        <v>60</v>
      </c>
      <c r="AN29" s="25">
        <f t="shared" si="4"/>
        <v>65.625</v>
      </c>
    </row>
    <row r="30">
      <c r="A30" s="21">
        <f>'INPUT DAFTAR PESERTA'!A28</f>
        <v>25</v>
      </c>
      <c r="B30" s="21">
        <f>'INPUT DAFTAR PESERTA'!B28</f>
        <v>2509046009</v>
      </c>
      <c r="C30" s="22" t="str">
        <f>'INPUT DAFTAR PESERTA'!C28</f>
        <v>Khalilah Denissa Ardia Cahyani</v>
      </c>
      <c r="D30" s="23">
        <v>100.0</v>
      </c>
      <c r="E30" s="23">
        <v>100.0</v>
      </c>
      <c r="F30" s="23">
        <v>100.0</v>
      </c>
      <c r="G30" s="23">
        <v>80.0</v>
      </c>
      <c r="H30" s="23">
        <v>90.0</v>
      </c>
      <c r="I30" s="23">
        <v>100.0</v>
      </c>
      <c r="J30" s="23">
        <v>100.0</v>
      </c>
      <c r="K30" s="23">
        <v>100.0</v>
      </c>
      <c r="L30" s="48">
        <f t="shared" si="1"/>
        <v>96.25</v>
      </c>
      <c r="M30" s="25">
        <f>'PENULISAN LAPORAN'!N29</f>
        <v>36.875</v>
      </c>
      <c r="N30" s="23">
        <v>90.0</v>
      </c>
      <c r="O30" s="23">
        <v>90.0</v>
      </c>
      <c r="P30" s="23">
        <v>90.0</v>
      </c>
      <c r="Q30" s="23">
        <v>90.0</v>
      </c>
      <c r="R30" s="23">
        <v>90.0</v>
      </c>
      <c r="S30" s="23">
        <v>90.0</v>
      </c>
      <c r="T30" s="23">
        <v>90.0</v>
      </c>
      <c r="U30" s="23">
        <v>90.0</v>
      </c>
      <c r="V30" s="25">
        <f t="shared" si="2"/>
        <v>90</v>
      </c>
      <c r="W30" s="23">
        <v>30.0</v>
      </c>
      <c r="X30" s="23">
        <v>30.0</v>
      </c>
      <c r="Y30" s="23">
        <v>80.0</v>
      </c>
      <c r="Z30" s="23">
        <v>30.0</v>
      </c>
      <c r="AA30" s="23">
        <v>30.0</v>
      </c>
      <c r="AB30" s="23">
        <v>30.0</v>
      </c>
      <c r="AC30" s="23">
        <v>30.0</v>
      </c>
      <c r="AD30" s="23">
        <v>30.0</v>
      </c>
      <c r="AE30" s="50">
        <f t="shared" si="3"/>
        <v>36.25</v>
      </c>
      <c r="AF30" s="48">
        <f>'KEMAMPUAN PRAKTIKUM'!H30</f>
        <v>75</v>
      </c>
      <c r="AG30" s="49">
        <f>'KEMAMPUAN PRAKTIKUM'!M30</f>
        <v>60</v>
      </c>
      <c r="AH30" s="49">
        <f>'KEMAMPUAN PRAKTIKUM'!R30</f>
        <v>75</v>
      </c>
      <c r="AI30" s="50">
        <f>'KEMAMPUAN PRAKTIKUM'!W30</f>
        <v>72</v>
      </c>
      <c r="AJ30" s="49">
        <f>'KEMAMPUAN PRAKTIKUM'!AB30</f>
        <v>72</v>
      </c>
      <c r="AK30" s="50">
        <f>'KEMAMPUAN PRAKTIKUM'!AG30</f>
        <v>63</v>
      </c>
      <c r="AL30" s="49">
        <f>'KEMAMPUAN PRAKTIKUM'!AL30</f>
        <v>57</v>
      </c>
      <c r="AM30" s="49">
        <f>'KEMAMPUAN PRAKTIKUM'!AQ30</f>
        <v>0</v>
      </c>
      <c r="AN30" s="25">
        <f t="shared" si="4"/>
        <v>59.25</v>
      </c>
    </row>
    <row r="31">
      <c r="A31" s="21">
        <f>'INPUT DAFTAR PESERTA'!A29</f>
        <v>26</v>
      </c>
      <c r="B31" s="21">
        <f>'INPUT DAFTAR PESERTA'!B29</f>
        <v>2509046010</v>
      </c>
      <c r="C31" s="22" t="str">
        <f>'INPUT DAFTAR PESERTA'!C29</f>
        <v>Athila Nadya Zalikha</v>
      </c>
      <c r="D31" s="23">
        <v>100.0</v>
      </c>
      <c r="E31" s="50"/>
      <c r="F31" s="50"/>
      <c r="G31" s="50"/>
      <c r="H31" s="23">
        <v>100.0</v>
      </c>
      <c r="I31" s="23">
        <v>100.0</v>
      </c>
      <c r="J31" s="23">
        <v>100.0</v>
      </c>
      <c r="K31" s="23">
        <v>100.0</v>
      </c>
      <c r="L31" s="48">
        <f t="shared" si="1"/>
        <v>62.5</v>
      </c>
      <c r="M31" s="25">
        <f>'PENULISAN LAPORAN'!N30</f>
        <v>10.5625</v>
      </c>
      <c r="N31" s="23">
        <v>62.0</v>
      </c>
      <c r="O31" s="23">
        <v>62.0</v>
      </c>
      <c r="P31" s="23">
        <v>62.0</v>
      </c>
      <c r="Q31" s="23">
        <v>62.0</v>
      </c>
      <c r="R31" s="23">
        <v>62.0</v>
      </c>
      <c r="S31" s="23">
        <v>62.0</v>
      </c>
      <c r="T31" s="23">
        <v>62.0</v>
      </c>
      <c r="U31" s="23">
        <v>62.0</v>
      </c>
      <c r="V31" s="25">
        <f t="shared" si="2"/>
        <v>62</v>
      </c>
      <c r="W31" s="23">
        <v>30.0</v>
      </c>
      <c r="X31" s="23">
        <v>30.0</v>
      </c>
      <c r="Y31" s="23">
        <v>0.0</v>
      </c>
      <c r="Z31" s="23">
        <v>0.0</v>
      </c>
      <c r="AA31" s="23">
        <v>0.0</v>
      </c>
      <c r="AB31" s="23">
        <v>0.0</v>
      </c>
      <c r="AC31" s="23">
        <v>0.0</v>
      </c>
      <c r="AD31" s="23">
        <v>0.0</v>
      </c>
      <c r="AE31" s="50">
        <f t="shared" si="3"/>
        <v>7.5</v>
      </c>
      <c r="AF31" s="48">
        <f>'KEMAMPUAN PRAKTIKUM'!H31</f>
        <v>75</v>
      </c>
      <c r="AG31" s="49">
        <f>'KEMAMPUAN PRAKTIKUM'!M31</f>
        <v>30</v>
      </c>
      <c r="AH31" s="49">
        <f>'KEMAMPUAN PRAKTIKUM'!R31</f>
        <v>0</v>
      </c>
      <c r="AI31" s="50">
        <f>'KEMAMPUAN PRAKTIKUM'!W31</f>
        <v>0</v>
      </c>
      <c r="AJ31" s="49">
        <f>'KEMAMPUAN PRAKTIKUM'!AB31</f>
        <v>75</v>
      </c>
      <c r="AK31" s="50">
        <f>'KEMAMPUAN PRAKTIKUM'!AG31</f>
        <v>63</v>
      </c>
      <c r="AL31" s="49">
        <f>'KEMAMPUAN PRAKTIKUM'!AL31</f>
        <v>57</v>
      </c>
      <c r="AM31" s="49">
        <f>'KEMAMPUAN PRAKTIKUM'!AQ31</f>
        <v>0</v>
      </c>
      <c r="AN31" s="25">
        <f t="shared" si="4"/>
        <v>37.5</v>
      </c>
    </row>
    <row r="32">
      <c r="A32" s="21">
        <f>'INPUT DAFTAR PESERTA'!A30</f>
        <v>27</v>
      </c>
      <c r="B32" s="21">
        <f>'INPUT DAFTAR PESERTA'!B30</f>
        <v>2509046011</v>
      </c>
      <c r="C32" s="22" t="str">
        <f>'INPUT DAFTAR PESERTA'!C30</f>
        <v>Aditya Pratama</v>
      </c>
      <c r="D32" s="23">
        <v>100.0</v>
      </c>
      <c r="E32" s="23">
        <v>100.0</v>
      </c>
      <c r="F32" s="23">
        <v>100.0</v>
      </c>
      <c r="G32" s="50"/>
      <c r="H32" s="23">
        <v>100.0</v>
      </c>
      <c r="I32" s="23">
        <v>100.0</v>
      </c>
      <c r="J32" s="23">
        <v>100.0</v>
      </c>
      <c r="K32" s="23">
        <v>100.0</v>
      </c>
      <c r="L32" s="48">
        <f t="shared" si="1"/>
        <v>87.5</v>
      </c>
      <c r="M32" s="25">
        <f>'PENULISAN LAPORAN'!N31</f>
        <v>4.6875</v>
      </c>
      <c r="N32" s="23">
        <v>98.0</v>
      </c>
      <c r="O32" s="23">
        <v>98.0</v>
      </c>
      <c r="P32" s="23">
        <v>98.0</v>
      </c>
      <c r="Q32" s="23">
        <v>98.0</v>
      </c>
      <c r="R32" s="23">
        <v>98.0</v>
      </c>
      <c r="S32" s="23">
        <v>98.0</v>
      </c>
      <c r="T32" s="23">
        <v>98.0</v>
      </c>
      <c r="U32" s="23">
        <v>98.0</v>
      </c>
      <c r="V32" s="25">
        <f t="shared" si="2"/>
        <v>98</v>
      </c>
      <c r="W32" s="23">
        <v>30.0</v>
      </c>
      <c r="X32" s="23">
        <v>30.0</v>
      </c>
      <c r="Y32" s="23">
        <v>0.0</v>
      </c>
      <c r="Z32" s="23">
        <v>0.0</v>
      </c>
      <c r="AA32" s="23">
        <v>0.0</v>
      </c>
      <c r="AB32" s="23">
        <v>0.0</v>
      </c>
      <c r="AC32" s="23">
        <v>0.0</v>
      </c>
      <c r="AD32" s="23">
        <v>0.0</v>
      </c>
      <c r="AE32" s="50">
        <f t="shared" si="3"/>
        <v>7.5</v>
      </c>
      <c r="AF32" s="48">
        <f>'KEMAMPUAN PRAKTIKUM'!H32</f>
        <v>75</v>
      </c>
      <c r="AG32" s="49">
        <f>'KEMAMPUAN PRAKTIKUM'!M32</f>
        <v>60</v>
      </c>
      <c r="AH32" s="49">
        <f>'KEMAMPUAN PRAKTIKUM'!R32</f>
        <v>0</v>
      </c>
      <c r="AI32" s="50">
        <f>'KEMAMPUAN PRAKTIKUM'!W32</f>
        <v>0</v>
      </c>
      <c r="AJ32" s="49">
        <f>'KEMAMPUAN PRAKTIKUM'!AB32</f>
        <v>30</v>
      </c>
      <c r="AK32" s="50">
        <f>'KEMAMPUAN PRAKTIKUM'!AG32</f>
        <v>0</v>
      </c>
      <c r="AL32" s="49">
        <f>'KEMAMPUAN PRAKTIKUM'!AL32</f>
        <v>57</v>
      </c>
      <c r="AM32" s="49">
        <f>'KEMAMPUAN PRAKTIKUM'!AQ32</f>
        <v>0</v>
      </c>
      <c r="AN32" s="25">
        <f t="shared" si="4"/>
        <v>27.75</v>
      </c>
    </row>
    <row r="33">
      <c r="A33" s="21">
        <f>'INPUT DAFTAR PESERTA'!A31</f>
        <v>28</v>
      </c>
      <c r="B33" s="21">
        <f>'INPUT DAFTAR PESERTA'!B31</f>
        <v>2509046012</v>
      </c>
      <c r="C33" s="22" t="str">
        <f>'INPUT DAFTAR PESERTA'!C31</f>
        <v>Atiiqah Permata Hati</v>
      </c>
      <c r="D33" s="23">
        <v>100.0</v>
      </c>
      <c r="E33" s="23">
        <v>100.0</v>
      </c>
      <c r="F33" s="23">
        <v>100.0</v>
      </c>
      <c r="G33" s="23">
        <v>100.0</v>
      </c>
      <c r="H33" s="23">
        <v>100.0</v>
      </c>
      <c r="I33" s="23">
        <v>100.0</v>
      </c>
      <c r="J33" s="23">
        <v>100.0</v>
      </c>
      <c r="K33" s="23">
        <v>100.0</v>
      </c>
      <c r="L33" s="48">
        <f t="shared" si="1"/>
        <v>100</v>
      </c>
      <c r="M33" s="25">
        <f>'PENULISAN LAPORAN'!N32</f>
        <v>43.625</v>
      </c>
      <c r="N33" s="23">
        <v>94.0</v>
      </c>
      <c r="O33" s="23">
        <v>94.0</v>
      </c>
      <c r="P33" s="23">
        <v>94.0</v>
      </c>
      <c r="Q33" s="23">
        <v>94.0</v>
      </c>
      <c r="R33" s="23">
        <v>94.0</v>
      </c>
      <c r="S33" s="23">
        <v>94.0</v>
      </c>
      <c r="T33" s="23">
        <v>94.0</v>
      </c>
      <c r="U33" s="23">
        <v>94.0</v>
      </c>
      <c r="V33" s="25">
        <f t="shared" si="2"/>
        <v>94</v>
      </c>
      <c r="W33" s="23">
        <v>70.0</v>
      </c>
      <c r="X33" s="23">
        <v>0.0</v>
      </c>
      <c r="Y33" s="23">
        <v>30.0</v>
      </c>
      <c r="Z33" s="23">
        <v>70.0</v>
      </c>
      <c r="AA33" s="23">
        <v>30.0</v>
      </c>
      <c r="AB33" s="23">
        <v>30.0</v>
      </c>
      <c r="AC33" s="23">
        <v>60.0</v>
      </c>
      <c r="AD33" s="23">
        <v>30.0</v>
      </c>
      <c r="AE33" s="50">
        <f t="shared" si="3"/>
        <v>40</v>
      </c>
      <c r="AF33" s="48">
        <f>'KEMAMPUAN PRAKTIKUM'!H33</f>
        <v>60</v>
      </c>
      <c r="AG33" s="49">
        <f>'KEMAMPUAN PRAKTIKUM'!M33</f>
        <v>45</v>
      </c>
      <c r="AH33" s="49">
        <f>'KEMAMPUAN PRAKTIKUM'!R33</f>
        <v>57</v>
      </c>
      <c r="AI33" s="50">
        <f>'KEMAMPUAN PRAKTIKUM'!W33</f>
        <v>60</v>
      </c>
      <c r="AJ33" s="49">
        <f>'KEMAMPUAN PRAKTIKUM'!AB33</f>
        <v>54</v>
      </c>
      <c r="AK33" s="50">
        <f>'KEMAMPUAN PRAKTIKUM'!AG33</f>
        <v>63</v>
      </c>
      <c r="AL33" s="49">
        <f>'KEMAMPUAN PRAKTIKUM'!AL33</f>
        <v>57</v>
      </c>
      <c r="AM33" s="49">
        <f>'KEMAMPUAN PRAKTIKUM'!AQ33</f>
        <v>60</v>
      </c>
      <c r="AN33" s="25">
        <f t="shared" si="4"/>
        <v>57</v>
      </c>
    </row>
    <row r="34">
      <c r="A34" s="21">
        <f>'INPUT DAFTAR PESERTA'!A32</f>
        <v>29</v>
      </c>
      <c r="B34" s="21">
        <f>'INPUT DAFTAR PESERTA'!B32</f>
        <v>2509046013</v>
      </c>
      <c r="C34" s="22" t="str">
        <f>'INPUT DAFTAR PESERTA'!C32</f>
        <v>Yolanda Denis Aprilia</v>
      </c>
      <c r="D34" s="23">
        <v>100.0</v>
      </c>
      <c r="E34" s="23">
        <v>100.0</v>
      </c>
      <c r="F34" s="23">
        <v>100.0</v>
      </c>
      <c r="G34" s="23">
        <v>100.0</v>
      </c>
      <c r="H34" s="23">
        <v>100.0</v>
      </c>
      <c r="I34" s="23">
        <v>100.0</v>
      </c>
      <c r="J34" s="23">
        <v>100.0</v>
      </c>
      <c r="K34" s="23">
        <v>100.0</v>
      </c>
      <c r="L34" s="48">
        <f t="shared" si="1"/>
        <v>100</v>
      </c>
      <c r="M34" s="25">
        <f>'PENULISAN LAPORAN'!N33</f>
        <v>54.9375</v>
      </c>
      <c r="N34" s="23">
        <v>0.0</v>
      </c>
      <c r="O34" s="23">
        <v>0.0</v>
      </c>
      <c r="P34" s="23">
        <v>0.0</v>
      </c>
      <c r="Q34" s="23">
        <v>0.0</v>
      </c>
      <c r="R34" s="23">
        <v>0.0</v>
      </c>
      <c r="S34" s="23">
        <v>0.0</v>
      </c>
      <c r="T34" s="23">
        <v>0.0</v>
      </c>
      <c r="U34" s="23">
        <v>0.0</v>
      </c>
      <c r="V34" s="25">
        <f t="shared" si="2"/>
        <v>0</v>
      </c>
      <c r="W34" s="23">
        <v>70.0</v>
      </c>
      <c r="X34" s="23">
        <v>30.0</v>
      </c>
      <c r="Y34" s="23">
        <v>80.0</v>
      </c>
      <c r="Z34" s="23">
        <v>70.0</v>
      </c>
      <c r="AA34" s="23">
        <v>70.0</v>
      </c>
      <c r="AB34" s="23">
        <v>30.0</v>
      </c>
      <c r="AC34" s="23">
        <v>60.0</v>
      </c>
      <c r="AD34" s="23">
        <v>30.0</v>
      </c>
      <c r="AE34" s="50">
        <f t="shared" si="3"/>
        <v>55</v>
      </c>
      <c r="AF34" s="48">
        <f>'KEMAMPUAN PRAKTIKUM'!H34</f>
        <v>75</v>
      </c>
      <c r="AG34" s="49">
        <f>'KEMAMPUAN PRAKTIKUM'!M34</f>
        <v>45</v>
      </c>
      <c r="AH34" s="49">
        <f>'KEMAMPUAN PRAKTIKUM'!R34</f>
        <v>75</v>
      </c>
      <c r="AI34" s="50">
        <f>'KEMAMPUAN PRAKTIKUM'!W34</f>
        <v>60</v>
      </c>
      <c r="AJ34" s="49">
        <f>'KEMAMPUAN PRAKTIKUM'!AB34</f>
        <v>54</v>
      </c>
      <c r="AK34" s="50">
        <f>'KEMAMPUAN PRAKTIKUM'!AG34</f>
        <v>63</v>
      </c>
      <c r="AL34" s="49">
        <f>'KEMAMPUAN PRAKTIKUM'!AL34</f>
        <v>57</v>
      </c>
      <c r="AM34" s="49">
        <f>'KEMAMPUAN PRAKTIKUM'!AQ34</f>
        <v>60</v>
      </c>
      <c r="AN34" s="25">
        <f t="shared" si="4"/>
        <v>61.125</v>
      </c>
    </row>
    <row r="35">
      <c r="A35" s="21">
        <f>'INPUT DAFTAR PESERTA'!A33</f>
        <v>30</v>
      </c>
      <c r="B35" s="21">
        <f>'INPUT DAFTAR PESERTA'!B33</f>
        <v>2509046014</v>
      </c>
      <c r="C35" s="22" t="str">
        <f>'INPUT DAFTAR PESERTA'!C33</f>
        <v>Farah Najma</v>
      </c>
      <c r="D35" s="23">
        <v>100.0</v>
      </c>
      <c r="E35" s="23">
        <v>100.0</v>
      </c>
      <c r="F35" s="23">
        <v>100.0</v>
      </c>
      <c r="G35" s="23">
        <v>100.0</v>
      </c>
      <c r="H35" s="23">
        <v>100.0</v>
      </c>
      <c r="I35" s="23">
        <v>100.0</v>
      </c>
      <c r="J35" s="23">
        <v>100.0</v>
      </c>
      <c r="K35" s="23">
        <v>100.0</v>
      </c>
      <c r="L35" s="48">
        <f t="shared" si="1"/>
        <v>100</v>
      </c>
      <c r="M35" s="25">
        <f>'PENULISAN LAPORAN'!N34</f>
        <v>39</v>
      </c>
      <c r="N35" s="23">
        <v>100.0</v>
      </c>
      <c r="O35" s="23">
        <v>100.0</v>
      </c>
      <c r="P35" s="23">
        <v>100.0</v>
      </c>
      <c r="Q35" s="23">
        <v>100.0</v>
      </c>
      <c r="R35" s="23">
        <v>100.0</v>
      </c>
      <c r="S35" s="23">
        <v>100.0</v>
      </c>
      <c r="T35" s="23">
        <v>100.0</v>
      </c>
      <c r="U35" s="23">
        <v>100.0</v>
      </c>
      <c r="V35" s="25">
        <f t="shared" si="2"/>
        <v>100</v>
      </c>
      <c r="W35" s="23">
        <v>70.0</v>
      </c>
      <c r="X35" s="23">
        <v>60.0</v>
      </c>
      <c r="Y35" s="23">
        <v>0.0</v>
      </c>
      <c r="Z35" s="23">
        <v>30.0</v>
      </c>
      <c r="AA35" s="23">
        <v>70.0</v>
      </c>
      <c r="AB35" s="23">
        <v>30.0</v>
      </c>
      <c r="AC35" s="23">
        <v>30.0</v>
      </c>
      <c r="AD35" s="23">
        <v>70.0</v>
      </c>
      <c r="AE35" s="50">
        <f t="shared" si="3"/>
        <v>45</v>
      </c>
      <c r="AF35" s="48">
        <f>'KEMAMPUAN PRAKTIKUM'!H35</f>
        <v>75</v>
      </c>
      <c r="AG35" s="49">
        <f>'KEMAMPUAN PRAKTIKUM'!M35</f>
        <v>45</v>
      </c>
      <c r="AH35" s="49">
        <f>'KEMAMPUAN PRAKTIKUM'!R35</f>
        <v>57</v>
      </c>
      <c r="AI35" s="50">
        <f>'KEMAMPUAN PRAKTIKUM'!W35</f>
        <v>60</v>
      </c>
      <c r="AJ35" s="49">
        <f>'KEMAMPUAN PRAKTIKUM'!AB35</f>
        <v>60</v>
      </c>
      <c r="AK35" s="50">
        <f>'KEMAMPUAN PRAKTIKUM'!AG35</f>
        <v>63</v>
      </c>
      <c r="AL35" s="49">
        <f>'KEMAMPUAN PRAKTIKUM'!AL35</f>
        <v>57</v>
      </c>
      <c r="AM35" s="49">
        <f>'KEMAMPUAN PRAKTIKUM'!AQ35</f>
        <v>60</v>
      </c>
      <c r="AN35" s="25">
        <f t="shared" si="4"/>
        <v>59.625</v>
      </c>
    </row>
    <row r="36">
      <c r="A36" s="21">
        <f>'INPUT DAFTAR PESERTA'!A34</f>
        <v>31</v>
      </c>
      <c r="B36" s="21">
        <f>'INPUT DAFTAR PESERTA'!B34</f>
        <v>2509046015</v>
      </c>
      <c r="C36" s="22" t="str">
        <f>'INPUT DAFTAR PESERTA'!C34</f>
        <v>Muhammad Abdul Mu'in</v>
      </c>
      <c r="D36" s="23">
        <v>100.0</v>
      </c>
      <c r="E36" s="23">
        <v>100.0</v>
      </c>
      <c r="F36" s="23">
        <v>100.0</v>
      </c>
      <c r="G36" s="23">
        <v>100.0</v>
      </c>
      <c r="H36" s="23">
        <v>100.0</v>
      </c>
      <c r="I36" s="23">
        <v>100.0</v>
      </c>
      <c r="J36" s="23">
        <v>100.0</v>
      </c>
      <c r="K36" s="23">
        <v>100.0</v>
      </c>
      <c r="L36" s="48">
        <f t="shared" si="1"/>
        <v>100</v>
      </c>
      <c r="M36" s="25">
        <f>'PENULISAN LAPORAN'!N35</f>
        <v>59.0625</v>
      </c>
      <c r="N36" s="23">
        <v>98.0</v>
      </c>
      <c r="O36" s="23">
        <v>98.0</v>
      </c>
      <c r="P36" s="23">
        <v>98.0</v>
      </c>
      <c r="Q36" s="23">
        <v>98.0</v>
      </c>
      <c r="R36" s="23">
        <v>98.0</v>
      </c>
      <c r="S36" s="23">
        <v>98.0</v>
      </c>
      <c r="T36" s="23">
        <v>98.0</v>
      </c>
      <c r="U36" s="23">
        <v>98.0</v>
      </c>
      <c r="V36" s="25">
        <f t="shared" si="2"/>
        <v>98</v>
      </c>
      <c r="W36" s="23">
        <v>70.0</v>
      </c>
      <c r="X36" s="23">
        <v>30.0</v>
      </c>
      <c r="Y36" s="23">
        <v>80.0</v>
      </c>
      <c r="Z36" s="23">
        <v>70.0</v>
      </c>
      <c r="AA36" s="23">
        <v>70.0</v>
      </c>
      <c r="AB36" s="23">
        <v>30.0</v>
      </c>
      <c r="AC36" s="23">
        <v>60.0</v>
      </c>
      <c r="AD36" s="23">
        <v>70.0</v>
      </c>
      <c r="AE36" s="50">
        <f t="shared" si="3"/>
        <v>60</v>
      </c>
      <c r="AF36" s="48">
        <f>'KEMAMPUAN PRAKTIKUM'!H36</f>
        <v>66</v>
      </c>
      <c r="AG36" s="49">
        <f>'KEMAMPUAN PRAKTIKUM'!M36</f>
        <v>45</v>
      </c>
      <c r="AH36" s="49">
        <f>'KEMAMPUAN PRAKTIKUM'!R36</f>
        <v>60</v>
      </c>
      <c r="AI36" s="50">
        <f>'KEMAMPUAN PRAKTIKUM'!W36</f>
        <v>60</v>
      </c>
      <c r="AJ36" s="49">
        <f>'KEMAMPUAN PRAKTIKUM'!AB36</f>
        <v>60</v>
      </c>
      <c r="AK36" s="50">
        <f>'KEMAMPUAN PRAKTIKUM'!AG36</f>
        <v>63</v>
      </c>
      <c r="AL36" s="49">
        <f>'KEMAMPUAN PRAKTIKUM'!AL36</f>
        <v>60</v>
      </c>
      <c r="AM36" s="49">
        <f>'KEMAMPUAN PRAKTIKUM'!AQ36</f>
        <v>60</v>
      </c>
      <c r="AN36" s="25">
        <f t="shared" si="4"/>
        <v>59.25</v>
      </c>
    </row>
    <row r="37">
      <c r="A37" s="21">
        <f>'INPUT DAFTAR PESERTA'!A35</f>
        <v>32</v>
      </c>
      <c r="B37" s="21">
        <f>'INPUT DAFTAR PESERTA'!B35</f>
        <v>2509046016</v>
      </c>
      <c r="C37" s="22" t="str">
        <f>'INPUT DAFTAR PESERTA'!C35</f>
        <v>Muhammad Rofiq Al-Hakim</v>
      </c>
      <c r="D37" s="23">
        <v>100.0</v>
      </c>
      <c r="E37" s="50"/>
      <c r="F37" s="23">
        <v>100.0</v>
      </c>
      <c r="G37" s="23">
        <v>100.0</v>
      </c>
      <c r="H37" s="23">
        <v>95.0</v>
      </c>
      <c r="I37" s="23">
        <v>100.0</v>
      </c>
      <c r="J37" s="23">
        <v>100.0</v>
      </c>
      <c r="K37" s="23">
        <v>100.0</v>
      </c>
      <c r="L37" s="48">
        <f t="shared" si="1"/>
        <v>86.875</v>
      </c>
      <c r="M37" s="25">
        <f>'PENULISAN LAPORAN'!N36</f>
        <v>15.05625</v>
      </c>
      <c r="N37" s="23">
        <v>94.0</v>
      </c>
      <c r="O37" s="23">
        <v>94.0</v>
      </c>
      <c r="P37" s="23">
        <v>94.0</v>
      </c>
      <c r="Q37" s="23">
        <v>94.0</v>
      </c>
      <c r="R37" s="23">
        <v>94.0</v>
      </c>
      <c r="S37" s="23">
        <v>94.0</v>
      </c>
      <c r="T37" s="23">
        <v>94.0</v>
      </c>
      <c r="U37" s="23">
        <v>94.0</v>
      </c>
      <c r="V37" s="25">
        <f t="shared" si="2"/>
        <v>94</v>
      </c>
      <c r="W37" s="23">
        <v>30.0</v>
      </c>
      <c r="X37" s="50"/>
      <c r="Y37" s="50"/>
      <c r="Z37" s="50"/>
      <c r="AA37" s="23">
        <v>0.0</v>
      </c>
      <c r="AB37" s="50"/>
      <c r="AC37" s="23"/>
      <c r="AD37" s="50"/>
      <c r="AE37" s="50">
        <f t="shared" si="3"/>
        <v>3.75</v>
      </c>
      <c r="AF37" s="48">
        <f>'KEMAMPUAN PRAKTIKUM'!H37</f>
        <v>78</v>
      </c>
      <c r="AG37" s="49">
        <f>'KEMAMPUAN PRAKTIKUM'!M37</f>
        <v>30</v>
      </c>
      <c r="AH37" s="49">
        <f>'KEMAMPUAN PRAKTIKUM'!R37</f>
        <v>0</v>
      </c>
      <c r="AI37" s="50">
        <f>'KEMAMPUAN PRAKTIKUM'!W37</f>
        <v>60</v>
      </c>
      <c r="AJ37" s="49">
        <f>'KEMAMPUAN PRAKTIKUM'!AB37</f>
        <v>78</v>
      </c>
      <c r="AK37" s="50">
        <f>'KEMAMPUAN PRAKTIKUM'!AG37</f>
        <v>63</v>
      </c>
      <c r="AL37" s="49">
        <f>'KEMAMPUAN PRAKTIKUM'!AL37</f>
        <v>87</v>
      </c>
      <c r="AM37" s="49">
        <f>'KEMAMPUAN PRAKTIKUM'!AQ37</f>
        <v>57</v>
      </c>
      <c r="AN37" s="25">
        <f t="shared" si="4"/>
        <v>56.625</v>
      </c>
    </row>
    <row r="38">
      <c r="A38" s="21">
        <f>'INPUT DAFTAR PESERTA'!A36</f>
        <v>33</v>
      </c>
      <c r="B38" s="21">
        <f>'INPUT DAFTAR PESERTA'!B36</f>
        <v>2509046017</v>
      </c>
      <c r="C38" s="22" t="str">
        <f>'INPUT DAFTAR PESERTA'!C36</f>
        <v>Nadia Eka Pratiwi</v>
      </c>
      <c r="D38" s="23">
        <v>100.0</v>
      </c>
      <c r="E38" s="23">
        <v>100.0</v>
      </c>
      <c r="F38" s="23">
        <v>100.0</v>
      </c>
      <c r="G38" s="23">
        <v>100.0</v>
      </c>
      <c r="H38" s="23">
        <v>100.0</v>
      </c>
      <c r="I38" s="23">
        <v>100.0</v>
      </c>
      <c r="J38" s="23">
        <v>100.0</v>
      </c>
      <c r="K38" s="23">
        <v>100.0</v>
      </c>
      <c r="L38" s="48">
        <f t="shared" si="1"/>
        <v>100</v>
      </c>
      <c r="M38" s="25">
        <f>'PENULISAN LAPORAN'!N37</f>
        <v>76.375</v>
      </c>
      <c r="N38" s="23">
        <v>84.0</v>
      </c>
      <c r="O38" s="23">
        <v>84.0</v>
      </c>
      <c r="P38" s="23">
        <v>84.0</v>
      </c>
      <c r="Q38" s="23">
        <v>84.0</v>
      </c>
      <c r="R38" s="23">
        <v>84.0</v>
      </c>
      <c r="S38" s="23">
        <v>84.0</v>
      </c>
      <c r="T38" s="23">
        <v>84.0</v>
      </c>
      <c r="U38" s="23">
        <v>84.0</v>
      </c>
      <c r="V38" s="25">
        <f t="shared" si="2"/>
        <v>84</v>
      </c>
      <c r="W38" s="23">
        <v>70.0</v>
      </c>
      <c r="X38" s="23">
        <v>80.0</v>
      </c>
      <c r="Y38" s="23">
        <v>80.0</v>
      </c>
      <c r="Z38" s="23">
        <v>70.0</v>
      </c>
      <c r="AA38" s="23">
        <v>70.0</v>
      </c>
      <c r="AB38" s="23">
        <v>80.0</v>
      </c>
      <c r="AC38" s="23">
        <v>80.0</v>
      </c>
      <c r="AD38" s="23">
        <v>80.0</v>
      </c>
      <c r="AE38" s="50">
        <f t="shared" si="3"/>
        <v>76.25</v>
      </c>
      <c r="AF38" s="48">
        <f>'KEMAMPUAN PRAKTIKUM'!H38</f>
        <v>90</v>
      </c>
      <c r="AG38" s="49">
        <f>'KEMAMPUAN PRAKTIKUM'!M38</f>
        <v>30</v>
      </c>
      <c r="AH38" s="49">
        <f>'KEMAMPUAN PRAKTIKUM'!R38</f>
        <v>75</v>
      </c>
      <c r="AI38" s="50">
        <f>'KEMAMPUAN PRAKTIKUM'!W38</f>
        <v>75</v>
      </c>
      <c r="AJ38" s="49">
        <f>'KEMAMPUAN PRAKTIKUM'!AB38</f>
        <v>84</v>
      </c>
      <c r="AK38" s="50">
        <f>'KEMAMPUAN PRAKTIKUM'!AG38</f>
        <v>63</v>
      </c>
      <c r="AL38" s="49">
        <f>'KEMAMPUAN PRAKTIKUM'!AL38</f>
        <v>87</v>
      </c>
      <c r="AM38" s="49">
        <f>'KEMAMPUAN PRAKTIKUM'!AQ38</f>
        <v>87</v>
      </c>
      <c r="AN38" s="25">
        <f t="shared" si="4"/>
        <v>73.875</v>
      </c>
    </row>
    <row r="39">
      <c r="A39" s="21">
        <f>'INPUT DAFTAR PESERTA'!A37</f>
        <v>34</v>
      </c>
      <c r="B39" s="21">
        <f>'INPUT DAFTAR PESERTA'!B37</f>
        <v>2509046018</v>
      </c>
      <c r="C39" s="22" t="str">
        <f>'INPUT DAFTAR PESERTA'!C37</f>
        <v>Rayhana Erda Affiyah</v>
      </c>
      <c r="D39" s="23">
        <v>100.0</v>
      </c>
      <c r="E39" s="23">
        <v>100.0</v>
      </c>
      <c r="F39" s="23">
        <v>100.0</v>
      </c>
      <c r="G39" s="23">
        <v>100.0</v>
      </c>
      <c r="H39" s="23">
        <v>100.0</v>
      </c>
      <c r="I39" s="23">
        <v>100.0</v>
      </c>
      <c r="J39" s="23">
        <v>100.0</v>
      </c>
      <c r="K39" s="23">
        <v>100.0</v>
      </c>
      <c r="L39" s="48">
        <f t="shared" si="1"/>
        <v>100</v>
      </c>
      <c r="M39" s="25">
        <f>'PENULISAN LAPORAN'!N38</f>
        <v>78.53125</v>
      </c>
      <c r="N39" s="23">
        <v>70.0</v>
      </c>
      <c r="O39" s="23">
        <v>70.0</v>
      </c>
      <c r="P39" s="23">
        <v>70.0</v>
      </c>
      <c r="Q39" s="23">
        <v>70.0</v>
      </c>
      <c r="R39" s="23">
        <v>70.0</v>
      </c>
      <c r="S39" s="23">
        <v>70.0</v>
      </c>
      <c r="T39" s="23">
        <v>70.0</v>
      </c>
      <c r="U39" s="23">
        <v>70.0</v>
      </c>
      <c r="V39" s="25">
        <f t="shared" si="2"/>
        <v>70</v>
      </c>
      <c r="W39" s="23">
        <v>70.0</v>
      </c>
      <c r="X39" s="23">
        <v>70.0</v>
      </c>
      <c r="Y39" s="23">
        <v>70.0</v>
      </c>
      <c r="Z39" s="23">
        <v>70.0</v>
      </c>
      <c r="AA39" s="23">
        <v>70.0</v>
      </c>
      <c r="AB39" s="23">
        <v>80.0</v>
      </c>
      <c r="AC39" s="23">
        <v>70.0</v>
      </c>
      <c r="AD39" s="23">
        <v>80.0</v>
      </c>
      <c r="AE39" s="50">
        <f t="shared" si="3"/>
        <v>72.5</v>
      </c>
      <c r="AF39" s="48">
        <f>'KEMAMPUAN PRAKTIKUM'!H39</f>
        <v>72</v>
      </c>
      <c r="AG39" s="49">
        <f>'KEMAMPUAN PRAKTIKUM'!M39</f>
        <v>30</v>
      </c>
      <c r="AH39" s="49">
        <f>'KEMAMPUAN PRAKTIKUM'!R39</f>
        <v>90</v>
      </c>
      <c r="AI39" s="50">
        <f>'KEMAMPUAN PRAKTIKUM'!W39</f>
        <v>90</v>
      </c>
      <c r="AJ39" s="49">
        <f>'KEMAMPUAN PRAKTIKUM'!AB39</f>
        <v>84</v>
      </c>
      <c r="AK39" s="50">
        <f>'KEMAMPUAN PRAKTIKUM'!AG39</f>
        <v>63</v>
      </c>
      <c r="AL39" s="49">
        <f>'KEMAMPUAN PRAKTIKUM'!AL39</f>
        <v>87</v>
      </c>
      <c r="AM39" s="49">
        <f>'KEMAMPUAN PRAKTIKUM'!AQ39</f>
        <v>72</v>
      </c>
      <c r="AN39" s="25">
        <f t="shared" si="4"/>
        <v>73.5</v>
      </c>
    </row>
    <row r="40">
      <c r="A40" s="21">
        <f>'INPUT DAFTAR PESERTA'!A38</f>
        <v>35</v>
      </c>
      <c r="B40" s="21">
        <f>'INPUT DAFTAR PESERTA'!B38</f>
        <v>2509046019</v>
      </c>
      <c r="C40" s="22" t="str">
        <f>'INPUT DAFTAR PESERTA'!C38</f>
        <v>Astrina Nadhiroh Illiyin</v>
      </c>
      <c r="D40" s="23">
        <v>100.0</v>
      </c>
      <c r="E40" s="23">
        <v>100.0</v>
      </c>
      <c r="F40" s="23">
        <v>100.0</v>
      </c>
      <c r="G40" s="23">
        <v>100.0</v>
      </c>
      <c r="H40" s="23">
        <v>100.0</v>
      </c>
      <c r="I40" s="23">
        <v>100.0</v>
      </c>
      <c r="J40" s="23">
        <v>100.0</v>
      </c>
      <c r="K40" s="23">
        <v>100.0</v>
      </c>
      <c r="L40" s="48">
        <f t="shared" si="1"/>
        <v>100</v>
      </c>
      <c r="M40" s="25">
        <f>'PENULISAN LAPORAN'!N39</f>
        <v>71.375</v>
      </c>
      <c r="N40" s="23">
        <v>100.0</v>
      </c>
      <c r="O40" s="23">
        <v>100.0</v>
      </c>
      <c r="P40" s="23">
        <v>100.0</v>
      </c>
      <c r="Q40" s="23">
        <v>100.0</v>
      </c>
      <c r="R40" s="23">
        <v>100.0</v>
      </c>
      <c r="S40" s="23">
        <v>100.0</v>
      </c>
      <c r="T40" s="23">
        <v>100.0</v>
      </c>
      <c r="U40" s="23">
        <v>100.0</v>
      </c>
      <c r="V40" s="25">
        <f t="shared" si="2"/>
        <v>100</v>
      </c>
      <c r="W40" s="23">
        <v>70.0</v>
      </c>
      <c r="X40" s="23">
        <v>60.0</v>
      </c>
      <c r="Y40" s="23">
        <v>70.0</v>
      </c>
      <c r="Z40" s="23">
        <v>70.0</v>
      </c>
      <c r="AA40" s="23">
        <v>70.0</v>
      </c>
      <c r="AB40" s="23">
        <v>70.0</v>
      </c>
      <c r="AC40" s="23">
        <v>80.0</v>
      </c>
      <c r="AD40" s="23">
        <v>30.0</v>
      </c>
      <c r="AE40" s="50">
        <f t="shared" si="3"/>
        <v>65</v>
      </c>
      <c r="AF40" s="48">
        <f>'KEMAMPUAN PRAKTIKUM'!H40</f>
        <v>75</v>
      </c>
      <c r="AG40" s="49">
        <f>'KEMAMPUAN PRAKTIKUM'!M40</f>
        <v>30</v>
      </c>
      <c r="AH40" s="49">
        <f>'KEMAMPUAN PRAKTIKUM'!R40</f>
        <v>90</v>
      </c>
      <c r="AI40" s="50">
        <f>'KEMAMPUAN PRAKTIKUM'!W40</f>
        <v>90</v>
      </c>
      <c r="AJ40" s="49">
        <f>'KEMAMPUAN PRAKTIKUM'!AB40</f>
        <v>84</v>
      </c>
      <c r="AK40" s="50">
        <f>'KEMAMPUAN PRAKTIKUM'!AG40</f>
        <v>63</v>
      </c>
      <c r="AL40" s="49">
        <f>'KEMAMPUAN PRAKTIKUM'!AL40</f>
        <v>87</v>
      </c>
      <c r="AM40" s="49">
        <f>'KEMAMPUAN PRAKTIKUM'!AQ40</f>
        <v>64.5</v>
      </c>
      <c r="AN40" s="25">
        <f t="shared" si="4"/>
        <v>72.9375</v>
      </c>
    </row>
    <row r="41">
      <c r="A41" s="21">
        <f>'INPUT DAFTAR PESERTA'!A39</f>
        <v>36</v>
      </c>
      <c r="B41" s="21">
        <f>'INPUT DAFTAR PESERTA'!B39</f>
        <v>2509046020</v>
      </c>
      <c r="C41" s="22" t="str">
        <f>'INPUT DAFTAR PESERTA'!C39</f>
        <v>Muhammad Davindia Akmaluza</v>
      </c>
      <c r="D41" s="23">
        <v>100.0</v>
      </c>
      <c r="E41" s="50"/>
      <c r="F41" s="50"/>
      <c r="G41" s="50"/>
      <c r="H41" s="23">
        <v>100.0</v>
      </c>
      <c r="I41" s="23">
        <v>100.0</v>
      </c>
      <c r="J41" s="23">
        <v>100.0</v>
      </c>
      <c r="K41" s="23">
        <v>100.0</v>
      </c>
      <c r="L41" s="48">
        <f t="shared" si="1"/>
        <v>62.5</v>
      </c>
      <c r="M41" s="25">
        <f>'PENULISAN LAPORAN'!N40</f>
        <v>3</v>
      </c>
      <c r="N41" s="23">
        <v>0.0</v>
      </c>
      <c r="O41" s="23">
        <v>0.0</v>
      </c>
      <c r="P41" s="23">
        <v>0.0</v>
      </c>
      <c r="Q41" s="23">
        <v>0.0</v>
      </c>
      <c r="R41" s="23">
        <v>0.0</v>
      </c>
      <c r="S41" s="23">
        <v>0.0</v>
      </c>
      <c r="T41" s="23">
        <v>0.0</v>
      </c>
      <c r="U41" s="23">
        <v>0.0</v>
      </c>
      <c r="V41" s="25">
        <f t="shared" si="2"/>
        <v>0</v>
      </c>
      <c r="W41" s="23">
        <v>30.0</v>
      </c>
      <c r="X41" s="23"/>
      <c r="Y41" s="50"/>
      <c r="Z41" s="50"/>
      <c r="AA41" s="23">
        <v>0.0</v>
      </c>
      <c r="AB41" s="50"/>
      <c r="AC41" s="23"/>
      <c r="AD41" s="50"/>
      <c r="AE41" s="50">
        <f t="shared" si="3"/>
        <v>3.75</v>
      </c>
      <c r="AF41" s="48">
        <f>'KEMAMPUAN PRAKTIKUM'!H41</f>
        <v>60</v>
      </c>
      <c r="AG41" s="49">
        <f>'KEMAMPUAN PRAKTIKUM'!M41</f>
        <v>30</v>
      </c>
      <c r="AH41" s="49">
        <f>'KEMAMPUAN PRAKTIKUM'!R41</f>
        <v>0</v>
      </c>
      <c r="AI41" s="50">
        <f>'KEMAMPUAN PRAKTIKUM'!W41</f>
        <v>0</v>
      </c>
      <c r="AJ41" s="49">
        <f>'KEMAMPUAN PRAKTIKUM'!AB41</f>
        <v>30</v>
      </c>
      <c r="AK41" s="50">
        <f>'KEMAMPUAN PRAKTIKUM'!AG41</f>
        <v>63</v>
      </c>
      <c r="AL41" s="49">
        <f>'KEMAMPUAN PRAKTIKUM'!AL41</f>
        <v>57</v>
      </c>
      <c r="AM41" s="49">
        <f>'KEMAMPUAN PRAKTIKUM'!AQ41</f>
        <v>0</v>
      </c>
      <c r="AN41" s="25">
        <f t="shared" si="4"/>
        <v>30</v>
      </c>
    </row>
    <row r="42">
      <c r="A42" s="21">
        <f>'INPUT DAFTAR PESERTA'!A40</f>
        <v>37</v>
      </c>
      <c r="B42" s="21">
        <f>'INPUT DAFTAR PESERTA'!B40</f>
        <v>2509046021</v>
      </c>
      <c r="C42" s="22" t="str">
        <f>'INPUT DAFTAR PESERTA'!C40</f>
        <v>Muhammad Naufal Sabilillah</v>
      </c>
      <c r="D42" s="23">
        <v>100.0</v>
      </c>
      <c r="E42" s="23">
        <v>100.0</v>
      </c>
      <c r="F42" s="23">
        <v>100.0</v>
      </c>
      <c r="G42" s="23">
        <v>80.0</v>
      </c>
      <c r="H42" s="23">
        <v>100.0</v>
      </c>
      <c r="I42" s="23">
        <v>100.0</v>
      </c>
      <c r="J42" s="23">
        <v>100.0</v>
      </c>
      <c r="K42" s="23">
        <v>100.0</v>
      </c>
      <c r="L42" s="48">
        <f t="shared" si="1"/>
        <v>97.5</v>
      </c>
      <c r="M42" s="25">
        <f>'PENULISAN LAPORAN'!N41</f>
        <v>84.8125</v>
      </c>
      <c r="N42" s="23">
        <v>94.0</v>
      </c>
      <c r="O42" s="23">
        <v>94.0</v>
      </c>
      <c r="P42" s="23">
        <v>94.0</v>
      </c>
      <c r="Q42" s="23">
        <v>94.0</v>
      </c>
      <c r="R42" s="23">
        <v>94.0</v>
      </c>
      <c r="S42" s="23">
        <v>94.0</v>
      </c>
      <c r="T42" s="23">
        <v>94.0</v>
      </c>
      <c r="U42" s="23">
        <v>94.0</v>
      </c>
      <c r="V42" s="25">
        <f t="shared" si="2"/>
        <v>94</v>
      </c>
      <c r="W42" s="23">
        <v>80.0</v>
      </c>
      <c r="X42" s="23">
        <v>70.0</v>
      </c>
      <c r="Y42" s="23">
        <v>70.0</v>
      </c>
      <c r="Z42" s="23">
        <v>70.0</v>
      </c>
      <c r="AA42" s="23">
        <v>70.0</v>
      </c>
      <c r="AB42" s="23">
        <v>80.0</v>
      </c>
      <c r="AC42" s="23">
        <v>80.0</v>
      </c>
      <c r="AD42" s="23">
        <v>70.0</v>
      </c>
      <c r="AE42" s="50">
        <f t="shared" si="3"/>
        <v>73.75</v>
      </c>
      <c r="AF42" s="48">
        <f>'KEMAMPUAN PRAKTIKUM'!H42</f>
        <v>75</v>
      </c>
      <c r="AG42" s="49">
        <f>'KEMAMPUAN PRAKTIKUM'!M42</f>
        <v>45</v>
      </c>
      <c r="AH42" s="49">
        <f>'KEMAMPUAN PRAKTIKUM'!R42</f>
        <v>90</v>
      </c>
      <c r="AI42" s="50">
        <f>'KEMAMPUAN PRAKTIKUM'!W42</f>
        <v>90</v>
      </c>
      <c r="AJ42" s="49">
        <f>'KEMAMPUAN PRAKTIKUM'!AB42</f>
        <v>90</v>
      </c>
      <c r="AK42" s="50">
        <f>'KEMAMPUAN PRAKTIKUM'!AG42</f>
        <v>63</v>
      </c>
      <c r="AL42" s="49">
        <f>'KEMAMPUAN PRAKTIKUM'!AL42</f>
        <v>87</v>
      </c>
      <c r="AM42" s="49">
        <f>'KEMAMPUAN PRAKTIKUM'!AQ42</f>
        <v>72</v>
      </c>
      <c r="AN42" s="25">
        <f t="shared" si="4"/>
        <v>76.5</v>
      </c>
    </row>
    <row r="43">
      <c r="A43" s="21">
        <f>'INPUT DAFTAR PESERTA'!A41</f>
        <v>38</v>
      </c>
      <c r="B43" s="21">
        <f>'INPUT DAFTAR PESERTA'!B41</f>
        <v>2509046022</v>
      </c>
      <c r="C43" s="22" t="str">
        <f>'INPUT DAFTAR PESERTA'!C41</f>
        <v>Miranda Nur Salsabila</v>
      </c>
      <c r="D43" s="23">
        <v>100.0</v>
      </c>
      <c r="E43" s="23">
        <v>100.0</v>
      </c>
      <c r="F43" s="23">
        <v>100.0</v>
      </c>
      <c r="G43" s="23">
        <v>100.0</v>
      </c>
      <c r="H43" s="23">
        <v>100.0</v>
      </c>
      <c r="I43" s="23">
        <v>100.0</v>
      </c>
      <c r="J43" s="23">
        <v>100.0</v>
      </c>
      <c r="K43" s="23">
        <v>100.0</v>
      </c>
      <c r="L43" s="48">
        <f t="shared" si="1"/>
        <v>100</v>
      </c>
      <c r="M43" s="25">
        <f>'PENULISAN LAPORAN'!N42</f>
        <v>66.425</v>
      </c>
      <c r="N43" s="23">
        <v>84.0</v>
      </c>
      <c r="O43" s="23">
        <v>84.0</v>
      </c>
      <c r="P43" s="23">
        <v>84.0</v>
      </c>
      <c r="Q43" s="23">
        <v>84.0</v>
      </c>
      <c r="R43" s="23">
        <v>84.0</v>
      </c>
      <c r="S43" s="23">
        <v>84.0</v>
      </c>
      <c r="T43" s="23">
        <v>84.0</v>
      </c>
      <c r="U43" s="23">
        <v>84.0</v>
      </c>
      <c r="V43" s="25">
        <f t="shared" si="2"/>
        <v>84</v>
      </c>
      <c r="W43" s="23">
        <v>70.0</v>
      </c>
      <c r="X43" s="23">
        <v>70.0</v>
      </c>
      <c r="Y43" s="23">
        <v>80.0</v>
      </c>
      <c r="Z43" s="23">
        <v>70.0</v>
      </c>
      <c r="AA43" s="23">
        <v>80.0</v>
      </c>
      <c r="AB43" s="23">
        <v>70.0</v>
      </c>
      <c r="AC43" s="23">
        <v>80.0</v>
      </c>
      <c r="AD43" s="23">
        <v>80.0</v>
      </c>
      <c r="AE43" s="50">
        <f t="shared" si="3"/>
        <v>75</v>
      </c>
      <c r="AF43" s="48">
        <f>'KEMAMPUAN PRAKTIKUM'!H43</f>
        <v>72</v>
      </c>
      <c r="AG43" s="49">
        <f>'KEMAMPUAN PRAKTIKUM'!M43</f>
        <v>45</v>
      </c>
      <c r="AH43" s="49">
        <f>'KEMAMPUAN PRAKTIKUM'!R43</f>
        <v>60</v>
      </c>
      <c r="AI43" s="50">
        <f>'KEMAMPUAN PRAKTIKUM'!W43</f>
        <v>60</v>
      </c>
      <c r="AJ43" s="49">
        <f>'KEMAMPUAN PRAKTIKUM'!AB43</f>
        <v>75</v>
      </c>
      <c r="AK43" s="50">
        <f>'KEMAMPUAN PRAKTIKUM'!AG43</f>
        <v>63</v>
      </c>
      <c r="AL43" s="49">
        <f>'KEMAMPUAN PRAKTIKUM'!AL43</f>
        <v>87</v>
      </c>
      <c r="AM43" s="49">
        <f>'KEMAMPUAN PRAKTIKUM'!AQ43</f>
        <v>57</v>
      </c>
      <c r="AN43" s="25">
        <f t="shared" si="4"/>
        <v>64.875</v>
      </c>
    </row>
    <row r="44">
      <c r="A44" s="21">
        <f>'INPUT DAFTAR PESERTA'!A42</f>
        <v>39</v>
      </c>
      <c r="B44" s="21">
        <f>'INPUT DAFTAR PESERTA'!B42</f>
        <v>2509046023</v>
      </c>
      <c r="C44" s="22" t="str">
        <f>'INPUT DAFTAR PESERTA'!C42</f>
        <v>Dinar Rahmatheta</v>
      </c>
      <c r="D44" s="23">
        <v>100.0</v>
      </c>
      <c r="E44" s="23">
        <v>100.0</v>
      </c>
      <c r="F44" s="23">
        <v>100.0</v>
      </c>
      <c r="G44" s="23">
        <v>100.0</v>
      </c>
      <c r="H44" s="23">
        <v>100.0</v>
      </c>
      <c r="I44" s="23">
        <v>100.0</v>
      </c>
      <c r="J44" s="23">
        <v>100.0</v>
      </c>
      <c r="K44" s="23">
        <v>100.0</v>
      </c>
      <c r="L44" s="48">
        <f t="shared" si="1"/>
        <v>100</v>
      </c>
      <c r="M44" s="25">
        <f>'PENULISAN LAPORAN'!N43</f>
        <v>72.3625</v>
      </c>
      <c r="N44" s="23">
        <v>100.0</v>
      </c>
      <c r="O44" s="23">
        <v>100.0</v>
      </c>
      <c r="P44" s="23">
        <v>100.0</v>
      </c>
      <c r="Q44" s="23">
        <v>100.0</v>
      </c>
      <c r="R44" s="23">
        <v>100.0</v>
      </c>
      <c r="S44" s="23">
        <v>100.0</v>
      </c>
      <c r="T44" s="23">
        <v>100.0</v>
      </c>
      <c r="U44" s="23">
        <v>100.0</v>
      </c>
      <c r="V44" s="25">
        <f t="shared" si="2"/>
        <v>100</v>
      </c>
      <c r="W44" s="23">
        <v>70.0</v>
      </c>
      <c r="X44" s="23">
        <v>70.0</v>
      </c>
      <c r="Y44" s="23">
        <v>70.0</v>
      </c>
      <c r="Z44" s="23">
        <v>70.0</v>
      </c>
      <c r="AA44" s="23">
        <v>70.0</v>
      </c>
      <c r="AB44" s="23">
        <v>60.0</v>
      </c>
      <c r="AC44" s="23">
        <v>80.0</v>
      </c>
      <c r="AD44" s="23">
        <v>60.0</v>
      </c>
      <c r="AE44" s="50">
        <f t="shared" si="3"/>
        <v>68.75</v>
      </c>
      <c r="AF44" s="48">
        <f>'KEMAMPUAN PRAKTIKUM'!H44</f>
        <v>87</v>
      </c>
      <c r="AG44" s="49">
        <f>'KEMAMPUAN PRAKTIKUM'!M44</f>
        <v>45</v>
      </c>
      <c r="AH44" s="49">
        <f>'KEMAMPUAN PRAKTIKUM'!R44</f>
        <v>60</v>
      </c>
      <c r="AI44" s="50">
        <f>'KEMAMPUAN PRAKTIKUM'!W44</f>
        <v>60</v>
      </c>
      <c r="AJ44" s="49">
        <f>'KEMAMPUAN PRAKTIKUM'!AB44</f>
        <v>78</v>
      </c>
      <c r="AK44" s="50">
        <f>'KEMAMPUAN PRAKTIKUM'!AG44</f>
        <v>63</v>
      </c>
      <c r="AL44" s="49">
        <f>'KEMAMPUAN PRAKTIKUM'!AL44</f>
        <v>87</v>
      </c>
      <c r="AM44" s="49">
        <f>'KEMAMPUAN PRAKTIKUM'!AQ44</f>
        <v>72</v>
      </c>
      <c r="AN44" s="25">
        <f t="shared" si="4"/>
        <v>69</v>
      </c>
    </row>
    <row r="45">
      <c r="A45" s="21">
        <f>'INPUT DAFTAR PESERTA'!A43</f>
        <v>40</v>
      </c>
      <c r="B45" s="21">
        <f>'INPUT DAFTAR PESERTA'!B43</f>
        <v>2509046024</v>
      </c>
      <c r="C45" s="22" t="str">
        <f>'INPUT DAFTAR PESERTA'!C43</f>
        <v>Muh. Yasir Naufal</v>
      </c>
      <c r="D45" s="23">
        <v>100.0</v>
      </c>
      <c r="E45" s="50"/>
      <c r="F45" s="50"/>
      <c r="G45" s="50"/>
      <c r="H45" s="23">
        <v>100.0</v>
      </c>
      <c r="I45" s="23">
        <v>100.0</v>
      </c>
      <c r="J45" s="23">
        <v>100.0</v>
      </c>
      <c r="K45" s="23">
        <v>100.0</v>
      </c>
      <c r="L45" s="48">
        <f t="shared" si="1"/>
        <v>62.5</v>
      </c>
      <c r="M45" s="25">
        <f>'PENULISAN LAPORAN'!N44</f>
        <v>6.4375</v>
      </c>
      <c r="N45" s="23">
        <v>0.0</v>
      </c>
      <c r="O45" s="23">
        <v>0.0</v>
      </c>
      <c r="P45" s="23">
        <v>0.0</v>
      </c>
      <c r="Q45" s="23">
        <v>0.0</v>
      </c>
      <c r="R45" s="23">
        <v>0.0</v>
      </c>
      <c r="S45" s="23">
        <v>0.0</v>
      </c>
      <c r="T45" s="23">
        <v>0.0</v>
      </c>
      <c r="U45" s="23">
        <v>0.0</v>
      </c>
      <c r="V45" s="25">
        <f t="shared" si="2"/>
        <v>0</v>
      </c>
      <c r="W45" s="23">
        <v>30.0</v>
      </c>
      <c r="X45" s="23"/>
      <c r="Y45" s="50"/>
      <c r="Z45" s="50"/>
      <c r="AA45" s="23">
        <v>0.0</v>
      </c>
      <c r="AB45" s="50"/>
      <c r="AC45" s="23"/>
      <c r="AD45" s="50"/>
      <c r="AE45" s="50">
        <f t="shared" si="3"/>
        <v>3.75</v>
      </c>
      <c r="AF45" s="48">
        <f>'KEMAMPUAN PRAKTIKUM'!H45</f>
        <v>60</v>
      </c>
      <c r="AG45" s="49">
        <f>'KEMAMPUAN PRAKTIKUM'!M45</f>
        <v>30</v>
      </c>
      <c r="AH45" s="49">
        <f>'KEMAMPUAN PRAKTIKUM'!R45</f>
        <v>0</v>
      </c>
      <c r="AI45" s="50">
        <f>'KEMAMPUAN PRAKTIKUM'!W45</f>
        <v>0</v>
      </c>
      <c r="AJ45" s="49">
        <f>'KEMAMPUAN PRAKTIKUM'!AB45</f>
        <v>30</v>
      </c>
      <c r="AK45" s="50">
        <f>'KEMAMPUAN PRAKTIKUM'!AG45</f>
        <v>90</v>
      </c>
      <c r="AL45" s="49">
        <f>'KEMAMPUAN PRAKTIKUM'!AL45</f>
        <v>57</v>
      </c>
      <c r="AM45" s="49">
        <f>'KEMAMPUAN PRAKTIKUM'!AQ45</f>
        <v>0</v>
      </c>
      <c r="AN45" s="25">
        <f t="shared" si="4"/>
        <v>33.375</v>
      </c>
    </row>
    <row r="46">
      <c r="A46" s="21">
        <f>'INPUT DAFTAR PESERTA'!A44</f>
        <v>41</v>
      </c>
      <c r="B46" s="21">
        <f>'INPUT DAFTAR PESERTA'!B44</f>
        <v>2509046025</v>
      </c>
      <c r="C46" s="22" t="str">
        <f>'INPUT DAFTAR PESERTA'!C44</f>
        <v>Andi Nada Bunga Zahra</v>
      </c>
      <c r="D46" s="23">
        <v>100.0</v>
      </c>
      <c r="E46" s="23">
        <v>100.0</v>
      </c>
      <c r="F46" s="23">
        <v>100.0</v>
      </c>
      <c r="G46" s="23">
        <v>100.0</v>
      </c>
      <c r="H46" s="23">
        <v>100.0</v>
      </c>
      <c r="I46" s="23">
        <v>100.0</v>
      </c>
      <c r="J46" s="23">
        <v>100.0</v>
      </c>
      <c r="K46" s="23">
        <v>100.0</v>
      </c>
      <c r="L46" s="48">
        <f t="shared" si="1"/>
        <v>100</v>
      </c>
      <c r="M46" s="25">
        <f>'PENULISAN LAPORAN'!N45</f>
        <v>67.6875</v>
      </c>
      <c r="N46" s="23">
        <v>92.0</v>
      </c>
      <c r="O46" s="23">
        <v>92.0</v>
      </c>
      <c r="P46" s="23">
        <v>92.0</v>
      </c>
      <c r="Q46" s="23">
        <v>92.0</v>
      </c>
      <c r="R46" s="23">
        <v>92.0</v>
      </c>
      <c r="S46" s="23">
        <v>92.0</v>
      </c>
      <c r="T46" s="23">
        <v>92.0</v>
      </c>
      <c r="U46" s="23">
        <v>92.0</v>
      </c>
      <c r="V46" s="25">
        <f t="shared" si="2"/>
        <v>92</v>
      </c>
      <c r="W46" s="23">
        <v>70.0</v>
      </c>
      <c r="X46" s="23">
        <v>80.0</v>
      </c>
      <c r="Y46" s="23">
        <v>80.0</v>
      </c>
      <c r="Z46" s="23">
        <v>70.0</v>
      </c>
      <c r="AA46" s="23">
        <v>70.0</v>
      </c>
      <c r="AB46" s="23">
        <v>30.0</v>
      </c>
      <c r="AC46" s="23">
        <v>80.0</v>
      </c>
      <c r="AD46" s="23">
        <v>80.0</v>
      </c>
      <c r="AE46" s="50">
        <f t="shared" si="3"/>
        <v>70</v>
      </c>
      <c r="AF46" s="48">
        <f>'KEMAMPUAN PRAKTIKUM'!H46</f>
        <v>75</v>
      </c>
      <c r="AG46" s="49">
        <f>'KEMAMPUAN PRAKTIKUM'!M46</f>
        <v>90</v>
      </c>
      <c r="AH46" s="49">
        <f>'KEMAMPUAN PRAKTIKUM'!R46</f>
        <v>75</v>
      </c>
      <c r="AI46" s="50">
        <f>'KEMAMPUAN PRAKTIKUM'!W46</f>
        <v>60</v>
      </c>
      <c r="AJ46" s="49">
        <f>'KEMAMPUAN PRAKTIKUM'!AB46</f>
        <v>57</v>
      </c>
      <c r="AK46" s="50">
        <f>'KEMAMPUAN PRAKTIKUM'!AG46</f>
        <v>75</v>
      </c>
      <c r="AL46" s="49">
        <f>'KEMAMPUAN PRAKTIKUM'!AL46</f>
        <v>90</v>
      </c>
      <c r="AM46" s="49">
        <f>'KEMAMPUAN PRAKTIKUM'!AQ46</f>
        <v>90</v>
      </c>
      <c r="AN46" s="25">
        <f t="shared" si="4"/>
        <v>76.5</v>
      </c>
    </row>
    <row r="47">
      <c r="A47" s="21">
        <f>'INPUT DAFTAR PESERTA'!A45</f>
        <v>42</v>
      </c>
      <c r="B47" s="21">
        <f>'INPUT DAFTAR PESERTA'!B45</f>
        <v>2509046026</v>
      </c>
      <c r="C47" s="22" t="str">
        <f>'INPUT DAFTAR PESERTA'!C45</f>
        <v>Nabil Rafif Makarim</v>
      </c>
      <c r="D47" s="23">
        <v>100.0</v>
      </c>
      <c r="E47" s="50"/>
      <c r="F47" s="23">
        <v>100.0</v>
      </c>
      <c r="G47" s="23">
        <v>100.0</v>
      </c>
      <c r="H47" s="23">
        <v>100.0</v>
      </c>
      <c r="I47" s="23">
        <v>100.0</v>
      </c>
      <c r="J47" s="23">
        <v>100.0</v>
      </c>
      <c r="K47" s="23">
        <v>100.0</v>
      </c>
      <c r="L47" s="48">
        <f t="shared" si="1"/>
        <v>87.5</v>
      </c>
      <c r="M47" s="25">
        <f>'PENULISAN LAPORAN'!N46</f>
        <v>49.875</v>
      </c>
      <c r="N47" s="23">
        <v>0.0</v>
      </c>
      <c r="O47" s="23">
        <v>0.0</v>
      </c>
      <c r="P47" s="23">
        <v>0.0</v>
      </c>
      <c r="Q47" s="23">
        <v>0.0</v>
      </c>
      <c r="R47" s="23">
        <v>0.0</v>
      </c>
      <c r="S47" s="23">
        <v>0.0</v>
      </c>
      <c r="T47" s="23">
        <v>0.0</v>
      </c>
      <c r="U47" s="23">
        <v>0.0</v>
      </c>
      <c r="V47" s="25">
        <f t="shared" si="2"/>
        <v>0</v>
      </c>
      <c r="W47" s="23">
        <v>80.0</v>
      </c>
      <c r="X47" s="23">
        <v>30.0</v>
      </c>
      <c r="Y47" s="23">
        <v>70.0</v>
      </c>
      <c r="Z47" s="23">
        <v>70.0</v>
      </c>
      <c r="AA47" s="23">
        <v>60.0</v>
      </c>
      <c r="AB47" s="23">
        <v>30.0</v>
      </c>
      <c r="AC47" s="23">
        <v>70.0</v>
      </c>
      <c r="AD47" s="23">
        <v>30.0</v>
      </c>
      <c r="AE47" s="50">
        <f t="shared" si="3"/>
        <v>55</v>
      </c>
      <c r="AF47" s="48">
        <f>'KEMAMPUAN PRAKTIKUM'!H47</f>
        <v>75</v>
      </c>
      <c r="AG47" s="49">
        <f>'KEMAMPUAN PRAKTIKUM'!M47</f>
        <v>30</v>
      </c>
      <c r="AH47" s="49">
        <f>'KEMAMPUAN PRAKTIKUM'!R47</f>
        <v>60</v>
      </c>
      <c r="AI47" s="50">
        <f>'KEMAMPUAN PRAKTIKUM'!W47</f>
        <v>60</v>
      </c>
      <c r="AJ47" s="49">
        <f>'KEMAMPUAN PRAKTIKUM'!AB47</f>
        <v>57</v>
      </c>
      <c r="AK47" s="50">
        <f>'KEMAMPUAN PRAKTIKUM'!AG47</f>
        <v>63</v>
      </c>
      <c r="AL47" s="49">
        <f>'KEMAMPUAN PRAKTIKUM'!AL47</f>
        <v>75</v>
      </c>
      <c r="AM47" s="49">
        <f>'KEMAMPUAN PRAKTIKUM'!AQ47</f>
        <v>60</v>
      </c>
      <c r="AN47" s="25">
        <f t="shared" si="4"/>
        <v>60</v>
      </c>
    </row>
    <row r="48">
      <c r="A48" s="21">
        <f>'INPUT DAFTAR PESERTA'!A46</f>
        <v>43</v>
      </c>
      <c r="B48" s="21">
        <f>'INPUT DAFTAR PESERTA'!B46</f>
        <v>2509046027</v>
      </c>
      <c r="C48" s="22" t="str">
        <f>'INPUT DAFTAR PESERTA'!C46</f>
        <v>Natasya Camelia Az-Zahra</v>
      </c>
      <c r="D48" s="23">
        <v>100.0</v>
      </c>
      <c r="E48" s="23">
        <v>100.0</v>
      </c>
      <c r="F48" s="23">
        <v>100.0</v>
      </c>
      <c r="G48" s="23">
        <v>100.0</v>
      </c>
      <c r="H48" s="23">
        <v>100.0</v>
      </c>
      <c r="I48" s="23">
        <v>100.0</v>
      </c>
      <c r="J48" s="23">
        <v>100.0</v>
      </c>
      <c r="K48" s="23">
        <v>100.0</v>
      </c>
      <c r="L48" s="48">
        <f t="shared" si="1"/>
        <v>100</v>
      </c>
      <c r="M48" s="25">
        <f>'PENULISAN LAPORAN'!N47</f>
        <v>71.1875</v>
      </c>
      <c r="N48" s="23">
        <v>96.0</v>
      </c>
      <c r="O48" s="23">
        <v>96.0</v>
      </c>
      <c r="P48" s="23">
        <v>96.0</v>
      </c>
      <c r="Q48" s="23">
        <v>96.0</v>
      </c>
      <c r="R48" s="23">
        <v>96.0</v>
      </c>
      <c r="S48" s="23">
        <v>96.0</v>
      </c>
      <c r="T48" s="23">
        <v>96.0</v>
      </c>
      <c r="U48" s="23">
        <v>96.0</v>
      </c>
      <c r="V48" s="25">
        <f t="shared" si="2"/>
        <v>96</v>
      </c>
      <c r="W48" s="23">
        <v>80.0</v>
      </c>
      <c r="X48" s="23">
        <v>70.0</v>
      </c>
      <c r="Y48" s="23">
        <v>70.0</v>
      </c>
      <c r="Z48" s="23">
        <v>70.0</v>
      </c>
      <c r="AA48" s="23">
        <v>70.0</v>
      </c>
      <c r="AB48" s="23">
        <v>70.0</v>
      </c>
      <c r="AC48" s="23">
        <v>30.0</v>
      </c>
      <c r="AD48" s="23">
        <v>80.0</v>
      </c>
      <c r="AE48" s="50">
        <f t="shared" si="3"/>
        <v>67.5</v>
      </c>
      <c r="AF48" s="48">
        <f>'KEMAMPUAN PRAKTIKUM'!H48</f>
        <v>90</v>
      </c>
      <c r="AG48" s="49">
        <f>'KEMAMPUAN PRAKTIKUM'!M48</f>
        <v>75</v>
      </c>
      <c r="AH48" s="49">
        <f>'KEMAMPUAN PRAKTIKUM'!R48</f>
        <v>75</v>
      </c>
      <c r="AI48" s="50">
        <f>'KEMAMPUAN PRAKTIKUM'!W48</f>
        <v>60</v>
      </c>
      <c r="AJ48" s="49">
        <f>'KEMAMPUAN PRAKTIKUM'!AB48</f>
        <v>57</v>
      </c>
      <c r="AK48" s="50">
        <f>'KEMAMPUAN PRAKTIKUM'!AG48</f>
        <v>75</v>
      </c>
      <c r="AL48" s="49">
        <f>'KEMAMPUAN PRAKTIKUM'!AL48</f>
        <v>90</v>
      </c>
      <c r="AM48" s="49">
        <f>'KEMAMPUAN PRAKTIKUM'!AQ48</f>
        <v>90</v>
      </c>
      <c r="AN48" s="25">
        <f t="shared" si="4"/>
        <v>76.5</v>
      </c>
    </row>
    <row r="49">
      <c r="A49" s="21">
        <f>'INPUT DAFTAR PESERTA'!A47</f>
        <v>44</v>
      </c>
      <c r="B49" s="21">
        <f>'INPUT DAFTAR PESERTA'!B47</f>
        <v>2509046028</v>
      </c>
      <c r="C49" s="22" t="str">
        <f>'INPUT DAFTAR PESERTA'!C47</f>
        <v>Afirah Al Abidah</v>
      </c>
      <c r="D49" s="23">
        <v>100.0</v>
      </c>
      <c r="E49" s="23">
        <v>100.0</v>
      </c>
      <c r="F49" s="23">
        <v>100.0</v>
      </c>
      <c r="G49" s="23">
        <v>100.0</v>
      </c>
      <c r="H49" s="23">
        <v>100.0</v>
      </c>
      <c r="I49" s="23">
        <v>100.0</v>
      </c>
      <c r="J49" s="23">
        <v>100.0</v>
      </c>
      <c r="K49" s="23">
        <v>100.0</v>
      </c>
      <c r="L49" s="48">
        <f t="shared" si="1"/>
        <v>100</v>
      </c>
      <c r="M49" s="25">
        <f>'PENULISAN LAPORAN'!N48</f>
        <v>28.1875</v>
      </c>
      <c r="N49" s="23">
        <v>86.0</v>
      </c>
      <c r="O49" s="23">
        <v>86.0</v>
      </c>
      <c r="P49" s="23">
        <v>86.0</v>
      </c>
      <c r="Q49" s="23">
        <v>86.0</v>
      </c>
      <c r="R49" s="23">
        <v>86.0</v>
      </c>
      <c r="S49" s="23">
        <v>86.0</v>
      </c>
      <c r="T49" s="23">
        <v>86.0</v>
      </c>
      <c r="U49" s="23">
        <v>86.0</v>
      </c>
      <c r="V49" s="25">
        <f t="shared" si="2"/>
        <v>86</v>
      </c>
      <c r="W49" s="23">
        <v>30.0</v>
      </c>
      <c r="X49" s="23">
        <v>30.0</v>
      </c>
      <c r="Y49" s="23">
        <v>30.0</v>
      </c>
      <c r="Z49" s="23">
        <v>30.0</v>
      </c>
      <c r="AA49" s="23">
        <v>30.0</v>
      </c>
      <c r="AB49" s="23">
        <v>30.0</v>
      </c>
      <c r="AC49" s="23">
        <v>30.0</v>
      </c>
      <c r="AD49" s="23">
        <v>30.0</v>
      </c>
      <c r="AE49" s="50">
        <f t="shared" si="3"/>
        <v>30</v>
      </c>
      <c r="AF49" s="48">
        <f>'KEMAMPUAN PRAKTIKUM'!H49</f>
        <v>51</v>
      </c>
      <c r="AG49" s="49">
        <f>'KEMAMPUAN PRAKTIKUM'!M49</f>
        <v>30</v>
      </c>
      <c r="AH49" s="49">
        <f>'KEMAMPUAN PRAKTIKUM'!R49</f>
        <v>60</v>
      </c>
      <c r="AI49" s="50">
        <f>'KEMAMPUAN PRAKTIKUM'!W49</f>
        <v>60</v>
      </c>
      <c r="AJ49" s="49">
        <f>'KEMAMPUAN PRAKTIKUM'!AB49</f>
        <v>54</v>
      </c>
      <c r="AK49" s="50">
        <f>'KEMAMPUAN PRAKTIKUM'!AG49</f>
        <v>90</v>
      </c>
      <c r="AL49" s="49">
        <f>'KEMAMPUAN PRAKTIKUM'!AL49</f>
        <v>60</v>
      </c>
      <c r="AM49" s="49">
        <f>'KEMAMPUAN PRAKTIKUM'!AQ49</f>
        <v>60</v>
      </c>
      <c r="AN49" s="25">
        <f t="shared" si="4"/>
        <v>58.125</v>
      </c>
    </row>
    <row r="50">
      <c r="A50" s="21">
        <f>'INPUT DAFTAR PESERTA'!A48</f>
        <v>45</v>
      </c>
      <c r="B50" s="21">
        <f>'INPUT DAFTAR PESERTA'!B48</f>
        <v>2509046029</v>
      </c>
      <c r="C50" s="22" t="str">
        <f>'INPUT DAFTAR PESERTA'!C48</f>
        <v>Anisa Syalwa</v>
      </c>
      <c r="D50" s="23">
        <v>100.0</v>
      </c>
      <c r="E50" s="23">
        <v>100.0</v>
      </c>
      <c r="F50" s="23">
        <v>100.0</v>
      </c>
      <c r="G50" s="23">
        <v>100.0</v>
      </c>
      <c r="H50" s="23">
        <v>100.0</v>
      </c>
      <c r="I50" s="23">
        <v>100.0</v>
      </c>
      <c r="J50" s="23">
        <v>100.0</v>
      </c>
      <c r="K50" s="23">
        <v>100.0</v>
      </c>
      <c r="L50" s="48">
        <f t="shared" si="1"/>
        <v>100</v>
      </c>
      <c r="M50" s="25">
        <f>'PENULISAN LAPORAN'!N49</f>
        <v>51.875</v>
      </c>
      <c r="N50" s="23">
        <v>96.0</v>
      </c>
      <c r="O50" s="23">
        <v>96.0</v>
      </c>
      <c r="P50" s="23">
        <v>96.0</v>
      </c>
      <c r="Q50" s="23">
        <v>96.0</v>
      </c>
      <c r="R50" s="23">
        <v>96.0</v>
      </c>
      <c r="S50" s="23">
        <v>96.0</v>
      </c>
      <c r="T50" s="23">
        <v>96.0</v>
      </c>
      <c r="U50" s="23">
        <v>96.0</v>
      </c>
      <c r="V50" s="25">
        <f t="shared" si="2"/>
        <v>96</v>
      </c>
      <c r="W50" s="23">
        <v>70.0</v>
      </c>
      <c r="X50" s="23">
        <v>30.0</v>
      </c>
      <c r="Y50" s="23">
        <v>30.0</v>
      </c>
      <c r="Z50" s="23">
        <v>30.0</v>
      </c>
      <c r="AA50" s="23">
        <v>30.0</v>
      </c>
      <c r="AB50" s="23">
        <v>30.0</v>
      </c>
      <c r="AC50" s="23">
        <v>30.0</v>
      </c>
      <c r="AD50" s="23">
        <v>30.0</v>
      </c>
      <c r="AE50" s="50">
        <f t="shared" si="3"/>
        <v>35</v>
      </c>
      <c r="AF50" s="48">
        <f>'KEMAMPUAN PRAKTIKUM'!H50</f>
        <v>81</v>
      </c>
      <c r="AG50" s="49">
        <f>'KEMAMPUAN PRAKTIKUM'!M50</f>
        <v>60</v>
      </c>
      <c r="AH50" s="49">
        <f>'KEMAMPUAN PRAKTIKUM'!R50</f>
        <v>60</v>
      </c>
      <c r="AI50" s="50">
        <f>'KEMAMPUAN PRAKTIKUM'!W50</f>
        <v>60</v>
      </c>
      <c r="AJ50" s="49">
        <f>'KEMAMPUAN PRAKTIKUM'!AB50</f>
        <v>30</v>
      </c>
      <c r="AK50" s="50">
        <f>'KEMAMPUAN PRAKTIKUM'!AG50</f>
        <v>90</v>
      </c>
      <c r="AL50" s="49">
        <f>'KEMAMPUAN PRAKTIKUM'!AL50</f>
        <v>60</v>
      </c>
      <c r="AM50" s="49">
        <f>'KEMAMPUAN PRAKTIKUM'!AQ50</f>
        <v>60</v>
      </c>
      <c r="AN50" s="25">
        <f t="shared" si="4"/>
        <v>62.625</v>
      </c>
    </row>
    <row r="51">
      <c r="A51" s="21">
        <f>'INPUT DAFTAR PESERTA'!A49</f>
        <v>46</v>
      </c>
      <c r="B51" s="21">
        <f>'INPUT DAFTAR PESERTA'!B49</f>
        <v>2509046030</v>
      </c>
      <c r="C51" s="22" t="str">
        <f>'INPUT DAFTAR PESERTA'!C49</f>
        <v>Fikri Firoos Kinarya</v>
      </c>
      <c r="D51" s="23">
        <v>100.0</v>
      </c>
      <c r="E51" s="23">
        <v>100.0</v>
      </c>
      <c r="F51" s="23">
        <v>100.0</v>
      </c>
      <c r="G51" s="23">
        <v>0.0</v>
      </c>
      <c r="H51" s="23">
        <v>100.0</v>
      </c>
      <c r="I51" s="23">
        <v>100.0</v>
      </c>
      <c r="J51" s="23">
        <v>100.0</v>
      </c>
      <c r="K51" s="23">
        <v>100.0</v>
      </c>
      <c r="L51" s="48">
        <f t="shared" si="1"/>
        <v>87.5</v>
      </c>
      <c r="M51" s="25">
        <f>'PENULISAN LAPORAN'!N50</f>
        <v>48.9375</v>
      </c>
      <c r="N51" s="23">
        <v>86.0</v>
      </c>
      <c r="O51" s="23">
        <v>86.0</v>
      </c>
      <c r="P51" s="23">
        <v>86.0</v>
      </c>
      <c r="Q51" s="23">
        <v>86.0</v>
      </c>
      <c r="R51" s="23">
        <v>86.0</v>
      </c>
      <c r="S51" s="23">
        <v>86.0</v>
      </c>
      <c r="T51" s="23">
        <v>86.0</v>
      </c>
      <c r="U51" s="23">
        <v>86.0</v>
      </c>
      <c r="V51" s="25">
        <f t="shared" si="2"/>
        <v>86</v>
      </c>
      <c r="W51" s="23">
        <v>60.0</v>
      </c>
      <c r="X51" s="23">
        <v>30.0</v>
      </c>
      <c r="Y51" s="23">
        <v>30.0</v>
      </c>
      <c r="Z51" s="23">
        <v>0.0</v>
      </c>
      <c r="AA51" s="23">
        <v>70.0</v>
      </c>
      <c r="AB51" s="23">
        <v>70.0</v>
      </c>
      <c r="AC51" s="23">
        <v>30.0</v>
      </c>
      <c r="AD51" s="23">
        <v>80.0</v>
      </c>
      <c r="AE51" s="50">
        <f t="shared" si="3"/>
        <v>46.25</v>
      </c>
      <c r="AF51" s="48">
        <f>'KEMAMPUAN PRAKTIKUM'!H51</f>
        <v>90</v>
      </c>
      <c r="AG51" s="49">
        <f>'KEMAMPUAN PRAKTIKUM'!M51</f>
        <v>60</v>
      </c>
      <c r="AH51" s="49">
        <f>'KEMAMPUAN PRAKTIKUM'!R51</f>
        <v>60</v>
      </c>
      <c r="AI51" s="50">
        <f>'KEMAMPUAN PRAKTIKUM'!W51</f>
        <v>0</v>
      </c>
      <c r="AJ51" s="49">
        <f>'KEMAMPUAN PRAKTIKUM'!AB51</f>
        <v>30</v>
      </c>
      <c r="AK51" s="50">
        <f>'KEMAMPUAN PRAKTIKUM'!AG51</f>
        <v>90</v>
      </c>
      <c r="AL51" s="49">
        <f>'KEMAMPUAN PRAKTIKUM'!AL51</f>
        <v>60</v>
      </c>
      <c r="AM51" s="49">
        <f>'KEMAMPUAN PRAKTIKUM'!AQ51</f>
        <v>60</v>
      </c>
      <c r="AN51" s="25">
        <f t="shared" si="4"/>
        <v>56.25</v>
      </c>
    </row>
    <row r="52">
      <c r="A52" s="21">
        <f>'INPUT DAFTAR PESERTA'!A50</f>
        <v>47</v>
      </c>
      <c r="B52" s="21">
        <f>'INPUT DAFTAR PESERTA'!B50</f>
        <v>2509046031</v>
      </c>
      <c r="C52" s="22" t="str">
        <f>'INPUT DAFTAR PESERTA'!C50</f>
        <v>Armitha Luthfiana Andini</v>
      </c>
      <c r="D52" s="23">
        <v>100.0</v>
      </c>
      <c r="E52" s="23">
        <v>100.0</v>
      </c>
      <c r="F52" s="23">
        <v>100.0</v>
      </c>
      <c r="G52" s="23">
        <v>100.0</v>
      </c>
      <c r="H52" s="23">
        <v>100.0</v>
      </c>
      <c r="I52" s="23">
        <v>100.0</v>
      </c>
      <c r="J52" s="50"/>
      <c r="K52" s="23">
        <v>100.0</v>
      </c>
      <c r="L52" s="48">
        <f t="shared" si="1"/>
        <v>87.5</v>
      </c>
      <c r="M52" s="25">
        <f>'PENULISAN LAPORAN'!N51</f>
        <v>44.625</v>
      </c>
      <c r="N52" s="23">
        <v>94.0</v>
      </c>
      <c r="O52" s="23">
        <v>94.0</v>
      </c>
      <c r="P52" s="23">
        <v>94.0</v>
      </c>
      <c r="Q52" s="23">
        <v>94.0</v>
      </c>
      <c r="R52" s="23">
        <v>94.0</v>
      </c>
      <c r="S52" s="23">
        <v>94.0</v>
      </c>
      <c r="T52" s="23">
        <v>94.0</v>
      </c>
      <c r="U52" s="23">
        <v>94.0</v>
      </c>
      <c r="V52" s="25">
        <f t="shared" si="2"/>
        <v>94</v>
      </c>
      <c r="W52" s="23">
        <v>70.0</v>
      </c>
      <c r="X52" s="23">
        <v>0.0</v>
      </c>
      <c r="Y52" s="23">
        <v>30.0</v>
      </c>
      <c r="Z52" s="23">
        <v>30.0</v>
      </c>
      <c r="AA52" s="23">
        <v>70.0</v>
      </c>
      <c r="AB52" s="23">
        <v>30.0</v>
      </c>
      <c r="AC52" s="23">
        <v>60.0</v>
      </c>
      <c r="AD52" s="23">
        <v>80.0</v>
      </c>
      <c r="AE52" s="50">
        <f t="shared" si="3"/>
        <v>46.25</v>
      </c>
      <c r="AF52" s="48">
        <f>'KEMAMPUAN PRAKTIKUM'!H52</f>
        <v>66</v>
      </c>
      <c r="AG52" s="49">
        <f>'KEMAMPUAN PRAKTIKUM'!M52</f>
        <v>60</v>
      </c>
      <c r="AH52" s="49">
        <f>'KEMAMPUAN PRAKTIKUM'!R52</f>
        <v>60</v>
      </c>
      <c r="AI52" s="50">
        <f>'KEMAMPUAN PRAKTIKUM'!W52</f>
        <v>90</v>
      </c>
      <c r="AJ52" s="49">
        <f>'KEMAMPUAN PRAKTIKUM'!AB52</f>
        <v>60</v>
      </c>
      <c r="AK52" s="50">
        <f>'KEMAMPUAN PRAKTIKUM'!AG52</f>
        <v>90</v>
      </c>
      <c r="AL52" s="49">
        <f>'KEMAMPUAN PRAKTIKUM'!AL52</f>
        <v>60</v>
      </c>
      <c r="AM52" s="49">
        <f>'KEMAMPUAN PRAKTIKUM'!AQ52</f>
        <v>60</v>
      </c>
      <c r="AN52" s="25">
        <f t="shared" si="4"/>
        <v>68.25</v>
      </c>
    </row>
    <row r="53">
      <c r="A53" s="21">
        <f>'INPUT DAFTAR PESERTA'!A51</f>
        <v>48</v>
      </c>
      <c r="B53" s="21">
        <f>'INPUT DAFTAR PESERTA'!B51</f>
        <v>2509046032</v>
      </c>
      <c r="C53" s="22" t="str">
        <f>'INPUT DAFTAR PESERTA'!C51</f>
        <v>Fabio Aditya Purnomo</v>
      </c>
      <c r="D53" s="23">
        <v>100.0</v>
      </c>
      <c r="E53" s="23">
        <v>100.0</v>
      </c>
      <c r="F53" s="23">
        <v>100.0</v>
      </c>
      <c r="G53" s="23">
        <v>100.0</v>
      </c>
      <c r="H53" s="23">
        <v>100.0</v>
      </c>
      <c r="I53" s="23">
        <v>100.0</v>
      </c>
      <c r="J53" s="23">
        <v>100.0</v>
      </c>
      <c r="K53" s="23">
        <v>100.0</v>
      </c>
      <c r="L53" s="48">
        <f t="shared" si="1"/>
        <v>100</v>
      </c>
      <c r="M53" s="25">
        <f>'PENULISAN LAPORAN'!N52</f>
        <v>71.375</v>
      </c>
      <c r="N53" s="23">
        <v>92.0</v>
      </c>
      <c r="O53" s="23">
        <v>92.0</v>
      </c>
      <c r="P53" s="23">
        <v>92.0</v>
      </c>
      <c r="Q53" s="23">
        <v>92.0</v>
      </c>
      <c r="R53" s="23">
        <v>92.0</v>
      </c>
      <c r="S53" s="23">
        <v>92.0</v>
      </c>
      <c r="T53" s="23">
        <v>92.0</v>
      </c>
      <c r="U53" s="23">
        <v>92.0</v>
      </c>
      <c r="V53" s="25">
        <f t="shared" si="2"/>
        <v>92</v>
      </c>
      <c r="W53" s="23">
        <v>60.0</v>
      </c>
      <c r="X53" s="23">
        <v>60.0</v>
      </c>
      <c r="Y53" s="23">
        <v>70.0</v>
      </c>
      <c r="Z53" s="23">
        <v>70.0</v>
      </c>
      <c r="AA53" s="23">
        <v>70.0</v>
      </c>
      <c r="AB53" s="23">
        <v>80.0</v>
      </c>
      <c r="AC53" s="23">
        <v>60.0</v>
      </c>
      <c r="AD53" s="23">
        <v>0.0</v>
      </c>
      <c r="AE53" s="50">
        <f t="shared" si="3"/>
        <v>58.75</v>
      </c>
      <c r="AF53" s="48">
        <f>'KEMAMPUAN PRAKTIKUM'!H53</f>
        <v>60</v>
      </c>
      <c r="AG53" s="49">
        <f>'KEMAMPUAN PRAKTIKUM'!M53</f>
        <v>60</v>
      </c>
      <c r="AH53" s="49">
        <f>'KEMAMPUAN PRAKTIKUM'!R53</f>
        <v>75</v>
      </c>
      <c r="AI53" s="50">
        <f>'KEMAMPUAN PRAKTIKUM'!W53</f>
        <v>90</v>
      </c>
      <c r="AJ53" s="49">
        <f>'KEMAMPUAN PRAKTIKUM'!AB53</f>
        <v>60</v>
      </c>
      <c r="AK53" s="50">
        <f>'KEMAMPUAN PRAKTIKUM'!AG53</f>
        <v>75</v>
      </c>
      <c r="AL53" s="49">
        <f>'KEMAMPUAN PRAKTIKUM'!AL53</f>
        <v>75</v>
      </c>
      <c r="AM53" s="49">
        <f>'KEMAMPUAN PRAKTIKUM'!AQ53</f>
        <v>75</v>
      </c>
      <c r="AN53" s="25">
        <f t="shared" si="4"/>
        <v>71.25</v>
      </c>
    </row>
    <row r="54">
      <c r="A54" s="21">
        <f>'INPUT DAFTAR PESERTA'!A52</f>
        <v>49</v>
      </c>
      <c r="B54" s="21">
        <f>'INPUT DAFTAR PESERTA'!B52</f>
        <v>2509046033</v>
      </c>
      <c r="C54" s="22" t="str">
        <f>'INPUT DAFTAR PESERTA'!C52</f>
        <v>Rifa Davina Zalfa</v>
      </c>
      <c r="D54" s="23">
        <v>100.0</v>
      </c>
      <c r="E54" s="23">
        <v>100.0</v>
      </c>
      <c r="F54" s="23">
        <v>100.0</v>
      </c>
      <c r="G54" s="23">
        <v>100.0</v>
      </c>
      <c r="H54" s="23">
        <v>100.0</v>
      </c>
      <c r="I54" s="23">
        <v>100.0</v>
      </c>
      <c r="J54" s="23">
        <v>100.0</v>
      </c>
      <c r="K54" s="23">
        <v>100.0</v>
      </c>
      <c r="L54" s="48">
        <f t="shared" si="1"/>
        <v>100</v>
      </c>
      <c r="M54" s="25">
        <f>'PENULISAN LAPORAN'!N53</f>
        <v>63.5</v>
      </c>
      <c r="N54" s="23">
        <v>100.0</v>
      </c>
      <c r="O54" s="23">
        <v>100.0</v>
      </c>
      <c r="P54" s="23">
        <v>100.0</v>
      </c>
      <c r="Q54" s="23">
        <v>100.0</v>
      </c>
      <c r="R54" s="23">
        <v>100.0</v>
      </c>
      <c r="S54" s="23">
        <v>100.0</v>
      </c>
      <c r="T54" s="23">
        <v>100.0</v>
      </c>
      <c r="U54" s="23">
        <v>100.0</v>
      </c>
      <c r="V54" s="25">
        <f t="shared" si="2"/>
        <v>100</v>
      </c>
      <c r="W54" s="23">
        <v>70.0</v>
      </c>
      <c r="X54" s="23">
        <v>70.0</v>
      </c>
      <c r="Y54" s="23">
        <v>80.0</v>
      </c>
      <c r="Z54" s="23">
        <v>70.0</v>
      </c>
      <c r="AA54" s="23">
        <v>70.0</v>
      </c>
      <c r="AB54" s="23">
        <v>30.0</v>
      </c>
      <c r="AC54" s="23">
        <v>70.0</v>
      </c>
      <c r="AD54" s="23">
        <v>80.0</v>
      </c>
      <c r="AE54" s="50">
        <f t="shared" si="3"/>
        <v>67.5</v>
      </c>
      <c r="AF54" s="48">
        <f>'KEMAMPUAN PRAKTIKUM'!H54</f>
        <v>63</v>
      </c>
      <c r="AG54" s="49">
        <f>'KEMAMPUAN PRAKTIKUM'!M54</f>
        <v>75</v>
      </c>
      <c r="AH54" s="49">
        <f>'KEMAMPUAN PRAKTIKUM'!R54</f>
        <v>75</v>
      </c>
      <c r="AI54" s="50">
        <f>'KEMAMPUAN PRAKTIKUM'!W54</f>
        <v>90</v>
      </c>
      <c r="AJ54" s="49">
        <f>'KEMAMPUAN PRAKTIKUM'!AB54</f>
        <v>60</v>
      </c>
      <c r="AK54" s="50">
        <f>'KEMAMPUAN PRAKTIKUM'!AG54</f>
        <v>75</v>
      </c>
      <c r="AL54" s="49">
        <f>'KEMAMPUAN PRAKTIKUM'!AL54</f>
        <v>75</v>
      </c>
      <c r="AM54" s="49">
        <f>'KEMAMPUAN PRAKTIKUM'!AQ54</f>
        <v>60</v>
      </c>
      <c r="AN54" s="25">
        <f t="shared" si="4"/>
        <v>71.625</v>
      </c>
    </row>
    <row r="55">
      <c r="A55" s="21">
        <f>'INPUT DAFTAR PESERTA'!A53</f>
        <v>50</v>
      </c>
      <c r="B55" s="21">
        <f>'INPUT DAFTAR PESERTA'!B53</f>
        <v>2509046034</v>
      </c>
      <c r="C55" s="22" t="str">
        <f>'INPUT DAFTAR PESERTA'!C53</f>
        <v>Nilna Fergita Nouriansa</v>
      </c>
      <c r="D55" s="23">
        <v>100.0</v>
      </c>
      <c r="E55" s="23">
        <v>100.0</v>
      </c>
      <c r="F55" s="23">
        <v>100.0</v>
      </c>
      <c r="G55" s="23">
        <v>100.0</v>
      </c>
      <c r="H55" s="23">
        <v>100.0</v>
      </c>
      <c r="I55" s="23">
        <v>100.0</v>
      </c>
      <c r="J55" s="23">
        <v>100.0</v>
      </c>
      <c r="K55" s="23">
        <v>100.0</v>
      </c>
      <c r="L55" s="48">
        <f t="shared" si="1"/>
        <v>100</v>
      </c>
      <c r="M55" s="25">
        <f>'PENULISAN LAPORAN'!N54</f>
        <v>61.125</v>
      </c>
      <c r="N55" s="23">
        <v>0.0</v>
      </c>
      <c r="O55" s="23">
        <v>0.0</v>
      </c>
      <c r="P55" s="23">
        <v>0.0</v>
      </c>
      <c r="Q55" s="23">
        <v>0.0</v>
      </c>
      <c r="R55" s="23">
        <v>0.0</v>
      </c>
      <c r="S55" s="23">
        <v>0.0</v>
      </c>
      <c r="T55" s="23">
        <v>0.0</v>
      </c>
      <c r="U55" s="23">
        <v>0.0</v>
      </c>
      <c r="V55" s="25">
        <f t="shared" si="2"/>
        <v>0</v>
      </c>
      <c r="W55" s="23">
        <v>70.0</v>
      </c>
      <c r="X55" s="23">
        <v>70.0</v>
      </c>
      <c r="Y55" s="23">
        <v>70.0</v>
      </c>
      <c r="Z55" s="23">
        <v>80.0</v>
      </c>
      <c r="AA55" s="23">
        <v>70.0</v>
      </c>
      <c r="AB55" s="23">
        <v>60.0</v>
      </c>
      <c r="AC55" s="23">
        <v>60.0</v>
      </c>
      <c r="AD55" s="23">
        <v>30.0</v>
      </c>
      <c r="AE55" s="50">
        <f t="shared" si="3"/>
        <v>63.75</v>
      </c>
      <c r="AF55" s="48">
        <f>'KEMAMPUAN PRAKTIKUM'!H55</f>
        <v>78</v>
      </c>
      <c r="AG55" s="49">
        <f>'KEMAMPUAN PRAKTIKUM'!M55</f>
        <v>60</v>
      </c>
      <c r="AH55" s="49">
        <f>'KEMAMPUAN PRAKTIKUM'!R55</f>
        <v>75</v>
      </c>
      <c r="AI55" s="50">
        <f>'KEMAMPUAN PRAKTIKUM'!W55</f>
        <v>60</v>
      </c>
      <c r="AJ55" s="49">
        <f>'KEMAMPUAN PRAKTIKUM'!AB55</f>
        <v>45</v>
      </c>
      <c r="AK55" s="50">
        <f>'KEMAMPUAN PRAKTIKUM'!AG55</f>
        <v>75</v>
      </c>
      <c r="AL55" s="49">
        <f>'KEMAMPUAN PRAKTIKUM'!AL55</f>
        <v>60</v>
      </c>
      <c r="AM55" s="49">
        <f>'KEMAMPUAN PRAKTIKUM'!AQ55</f>
        <v>60</v>
      </c>
      <c r="AN55" s="25">
        <f t="shared" si="4"/>
        <v>64.125</v>
      </c>
    </row>
    <row r="56">
      <c r="A56" s="21">
        <f>'INPUT DAFTAR PESERTA'!A54</f>
        <v>51</v>
      </c>
      <c r="B56" s="21">
        <f>'INPUT DAFTAR PESERTA'!B54</f>
        <v>2509046035</v>
      </c>
      <c r="C56" s="22" t="str">
        <f>'INPUT DAFTAR PESERTA'!C54</f>
        <v>Sandi Prakoso</v>
      </c>
      <c r="D56" s="50"/>
      <c r="E56" s="50"/>
      <c r="F56" s="50"/>
      <c r="G56" s="50"/>
      <c r="H56" s="23">
        <v>100.0</v>
      </c>
      <c r="I56" s="23">
        <v>100.0</v>
      </c>
      <c r="J56" s="23">
        <v>100.0</v>
      </c>
      <c r="K56" s="23">
        <v>100.0</v>
      </c>
      <c r="L56" s="48">
        <f t="shared" si="1"/>
        <v>50</v>
      </c>
      <c r="M56" s="25">
        <f>'PENULISAN LAPORAN'!N55</f>
        <v>3.25</v>
      </c>
      <c r="N56" s="23">
        <v>0.0</v>
      </c>
      <c r="O56" s="23">
        <v>0.0</v>
      </c>
      <c r="P56" s="23">
        <v>0.0</v>
      </c>
      <c r="Q56" s="23">
        <v>0.0</v>
      </c>
      <c r="R56" s="23">
        <v>0.0</v>
      </c>
      <c r="S56" s="23">
        <v>0.0</v>
      </c>
      <c r="T56" s="23">
        <v>0.0</v>
      </c>
      <c r="U56" s="23">
        <v>0.0</v>
      </c>
      <c r="V56" s="25">
        <f t="shared" si="2"/>
        <v>0</v>
      </c>
      <c r="W56" s="23">
        <v>30.0</v>
      </c>
      <c r="X56" s="23">
        <v>0.0</v>
      </c>
      <c r="Y56" s="50"/>
      <c r="Z56" s="50"/>
      <c r="AA56" s="23">
        <v>0.0</v>
      </c>
      <c r="AB56" s="50"/>
      <c r="AC56" s="23">
        <v>0.0</v>
      </c>
      <c r="AD56" s="50"/>
      <c r="AE56" s="50">
        <f t="shared" si="3"/>
        <v>3.75</v>
      </c>
      <c r="AF56" s="48">
        <f>'KEMAMPUAN PRAKTIKUM'!H56</f>
        <v>0</v>
      </c>
      <c r="AG56" s="49">
        <f>'KEMAMPUAN PRAKTIKUM'!M56</f>
        <v>0</v>
      </c>
      <c r="AH56" s="49">
        <f>'KEMAMPUAN PRAKTIKUM'!R56</f>
        <v>0</v>
      </c>
      <c r="AI56" s="50">
        <f>'KEMAMPUAN PRAKTIKUM'!W56</f>
        <v>0</v>
      </c>
      <c r="AJ56" s="49">
        <f>'KEMAMPUAN PRAKTIKUM'!AB56</f>
        <v>30</v>
      </c>
      <c r="AK56" s="50">
        <f>'KEMAMPUAN PRAKTIKUM'!AG56</f>
        <v>0</v>
      </c>
      <c r="AL56" s="49">
        <f>'KEMAMPUAN PRAKTIKUM'!AL56</f>
        <v>60</v>
      </c>
      <c r="AM56" s="49">
        <f>'KEMAMPUAN PRAKTIKUM'!AQ56</f>
        <v>0</v>
      </c>
      <c r="AN56" s="25">
        <f t="shared" si="4"/>
        <v>11.25</v>
      </c>
    </row>
    <row r="57">
      <c r="A57" s="21">
        <f>'INPUT DAFTAR PESERTA'!A55</f>
        <v>52</v>
      </c>
      <c r="B57" s="21">
        <f>'INPUT DAFTAR PESERTA'!B55</f>
        <v>2509046036</v>
      </c>
      <c r="C57" s="22" t="str">
        <f>'INPUT DAFTAR PESERTA'!C55</f>
        <v>Yarasy Ebed Petra Richard Nanuru</v>
      </c>
      <c r="D57" s="50"/>
      <c r="E57" s="50"/>
      <c r="F57" s="50"/>
      <c r="G57" s="50"/>
      <c r="H57" s="23">
        <v>100.0</v>
      </c>
      <c r="I57" s="23">
        <v>100.0</v>
      </c>
      <c r="J57" s="50"/>
      <c r="K57" s="23">
        <v>100.0</v>
      </c>
      <c r="L57" s="48">
        <f t="shared" si="1"/>
        <v>37.5</v>
      </c>
      <c r="M57" s="25">
        <f>'PENULISAN LAPORAN'!N56</f>
        <v>0</v>
      </c>
      <c r="N57" s="23">
        <v>86.0</v>
      </c>
      <c r="O57" s="23">
        <v>86.0</v>
      </c>
      <c r="P57" s="23">
        <v>86.0</v>
      </c>
      <c r="Q57" s="23">
        <v>86.0</v>
      </c>
      <c r="R57" s="23">
        <v>86.0</v>
      </c>
      <c r="S57" s="23">
        <v>86.0</v>
      </c>
      <c r="T57" s="23">
        <v>86.0</v>
      </c>
      <c r="U57" s="23">
        <v>86.0</v>
      </c>
      <c r="V57" s="25">
        <f t="shared" si="2"/>
        <v>86</v>
      </c>
      <c r="W57" s="23">
        <v>30.0</v>
      </c>
      <c r="X57" s="23">
        <v>0.0</v>
      </c>
      <c r="Y57" s="50"/>
      <c r="Z57" s="50"/>
      <c r="AA57" s="23">
        <v>0.0</v>
      </c>
      <c r="AB57" s="50"/>
      <c r="AC57" s="23">
        <v>0.0</v>
      </c>
      <c r="AD57" s="50"/>
      <c r="AE57" s="50">
        <f t="shared" si="3"/>
        <v>3.75</v>
      </c>
      <c r="AF57" s="48">
        <f>'KEMAMPUAN PRAKTIKUM'!H57</f>
        <v>0</v>
      </c>
      <c r="AG57" s="49">
        <f>'KEMAMPUAN PRAKTIKUM'!M57</f>
        <v>0</v>
      </c>
      <c r="AH57" s="49">
        <f>'KEMAMPUAN PRAKTIKUM'!R57</f>
        <v>0</v>
      </c>
      <c r="AI57" s="50">
        <f>'KEMAMPUAN PRAKTIKUM'!W57</f>
        <v>0</v>
      </c>
      <c r="AJ57" s="49">
        <f>'KEMAMPUAN PRAKTIKUM'!AB57</f>
        <v>30</v>
      </c>
      <c r="AK57" s="50">
        <f>'KEMAMPUAN PRAKTIKUM'!AG57</f>
        <v>0</v>
      </c>
      <c r="AL57" s="49">
        <f>'KEMAMPUAN PRAKTIKUM'!AL57</f>
        <v>0</v>
      </c>
      <c r="AM57" s="49">
        <f>'KEMAMPUAN PRAKTIKUM'!AQ57</f>
        <v>0</v>
      </c>
      <c r="AN57" s="25">
        <f t="shared" si="4"/>
        <v>3.75</v>
      </c>
    </row>
    <row r="58">
      <c r="A58" s="21">
        <f>'INPUT DAFTAR PESERTA'!A56</f>
        <v>53</v>
      </c>
      <c r="B58" s="21">
        <f>'INPUT DAFTAR PESERTA'!B56</f>
        <v>2509046037</v>
      </c>
      <c r="C58" s="22" t="str">
        <f>'INPUT DAFTAR PESERTA'!C56</f>
        <v>Rasya Hanindya Putri</v>
      </c>
      <c r="D58" s="50"/>
      <c r="E58" s="50"/>
      <c r="F58" s="50"/>
      <c r="G58" s="50"/>
      <c r="H58" s="23">
        <v>100.0</v>
      </c>
      <c r="I58" s="23">
        <v>100.0</v>
      </c>
      <c r="J58" s="23">
        <v>100.0</v>
      </c>
      <c r="K58" s="23">
        <v>100.0</v>
      </c>
      <c r="L58" s="48">
        <f t="shared" si="1"/>
        <v>50</v>
      </c>
      <c r="M58" s="25">
        <f>'PENULISAN LAPORAN'!N57</f>
        <v>1.0625</v>
      </c>
      <c r="N58" s="23">
        <v>46.0</v>
      </c>
      <c r="O58" s="23">
        <v>46.0</v>
      </c>
      <c r="P58" s="23">
        <v>46.0</v>
      </c>
      <c r="Q58" s="23">
        <v>46.0</v>
      </c>
      <c r="R58" s="23">
        <v>46.0</v>
      </c>
      <c r="S58" s="23">
        <v>46.0</v>
      </c>
      <c r="T58" s="23">
        <v>46.0</v>
      </c>
      <c r="U58" s="23">
        <v>46.0</v>
      </c>
      <c r="V58" s="25">
        <f t="shared" si="2"/>
        <v>46</v>
      </c>
      <c r="W58" s="23">
        <v>30.0</v>
      </c>
      <c r="X58" s="23">
        <v>0.0</v>
      </c>
      <c r="Y58" s="50"/>
      <c r="Z58" s="50"/>
      <c r="AA58" s="23">
        <v>0.0</v>
      </c>
      <c r="AB58" s="50"/>
      <c r="AC58" s="23">
        <v>0.0</v>
      </c>
      <c r="AD58" s="50"/>
      <c r="AE58" s="50">
        <f t="shared" si="3"/>
        <v>3.75</v>
      </c>
      <c r="AF58" s="48">
        <f>'KEMAMPUAN PRAKTIKUM'!H58</f>
        <v>0</v>
      </c>
      <c r="AG58" s="49">
        <f>'KEMAMPUAN PRAKTIKUM'!M58</f>
        <v>0</v>
      </c>
      <c r="AH58" s="49">
        <f>'KEMAMPUAN PRAKTIKUM'!R58</f>
        <v>0</v>
      </c>
      <c r="AI58" s="50">
        <f>'KEMAMPUAN PRAKTIKUM'!W58</f>
        <v>0</v>
      </c>
      <c r="AJ58" s="49">
        <f>'KEMAMPUAN PRAKTIKUM'!AB58</f>
        <v>30</v>
      </c>
      <c r="AK58" s="50">
        <f>'KEMAMPUAN PRAKTIKUM'!AG58</f>
        <v>75</v>
      </c>
      <c r="AL58" s="49">
        <f>'KEMAMPUAN PRAKTIKUM'!AL58</f>
        <v>0</v>
      </c>
      <c r="AM58" s="49">
        <f>'KEMAMPUAN PRAKTIKUM'!AQ58</f>
        <v>0</v>
      </c>
      <c r="AN58" s="25">
        <f t="shared" si="4"/>
        <v>13.125</v>
      </c>
    </row>
    <row r="59">
      <c r="A59" s="21">
        <f>'INPUT DAFTAR PESERTA'!A57</f>
        <v>54</v>
      </c>
      <c r="B59" s="21">
        <f>'INPUT DAFTAR PESERTA'!B57</f>
        <v>2509046038</v>
      </c>
      <c r="C59" s="22" t="str">
        <f>'INPUT DAFTAR PESERTA'!C57</f>
        <v>Stefania Diah Pramestirehi</v>
      </c>
      <c r="D59" s="23">
        <v>100.0</v>
      </c>
      <c r="E59" s="23">
        <v>100.0</v>
      </c>
      <c r="F59" s="23">
        <v>100.0</v>
      </c>
      <c r="G59" s="23">
        <v>100.0</v>
      </c>
      <c r="H59" s="23">
        <v>100.0</v>
      </c>
      <c r="I59" s="23">
        <v>100.0</v>
      </c>
      <c r="J59" s="23">
        <v>100.0</v>
      </c>
      <c r="K59" s="23">
        <v>100.0</v>
      </c>
      <c r="L59" s="48">
        <f t="shared" si="1"/>
        <v>100</v>
      </c>
      <c r="M59" s="25">
        <f>'PENULISAN LAPORAN'!N58</f>
        <v>64.625</v>
      </c>
      <c r="N59" s="23">
        <v>64.0</v>
      </c>
      <c r="O59" s="23">
        <v>64.0</v>
      </c>
      <c r="P59" s="23">
        <v>64.0</v>
      </c>
      <c r="Q59" s="23">
        <v>64.0</v>
      </c>
      <c r="R59" s="23">
        <v>64.0</v>
      </c>
      <c r="S59" s="23">
        <v>64.0</v>
      </c>
      <c r="T59" s="23">
        <v>64.0</v>
      </c>
      <c r="U59" s="23">
        <v>64.0</v>
      </c>
      <c r="V59" s="25">
        <f t="shared" si="2"/>
        <v>64</v>
      </c>
      <c r="W59" s="23">
        <v>80.0</v>
      </c>
      <c r="X59" s="23">
        <v>70.0</v>
      </c>
      <c r="Y59" s="23">
        <v>80.0</v>
      </c>
      <c r="Z59" s="23">
        <v>70.0</v>
      </c>
      <c r="AA59" s="23">
        <v>70.0</v>
      </c>
      <c r="AB59" s="23">
        <v>80.0</v>
      </c>
      <c r="AC59" s="23">
        <v>60.0</v>
      </c>
      <c r="AD59" s="23">
        <v>30.0</v>
      </c>
      <c r="AE59" s="50">
        <f t="shared" si="3"/>
        <v>67.5</v>
      </c>
      <c r="AF59" s="48">
        <f>'KEMAMPUAN PRAKTIKUM'!H59</f>
        <v>60</v>
      </c>
      <c r="AG59" s="49">
        <f>'KEMAMPUAN PRAKTIKUM'!M59</f>
        <v>87</v>
      </c>
      <c r="AH59" s="49">
        <f>'KEMAMPUAN PRAKTIKUM'!R59</f>
        <v>60</v>
      </c>
      <c r="AI59" s="50">
        <f>'KEMAMPUAN PRAKTIKUM'!W59</f>
        <v>90</v>
      </c>
      <c r="AJ59" s="49">
        <f>'KEMAMPUAN PRAKTIKUM'!AB59</f>
        <v>75</v>
      </c>
      <c r="AK59" s="50">
        <f>'KEMAMPUAN PRAKTIKUM'!AG59</f>
        <v>75</v>
      </c>
      <c r="AL59" s="49">
        <f>'KEMAMPUAN PRAKTIKUM'!AL59</f>
        <v>57</v>
      </c>
      <c r="AM59" s="49">
        <f>'KEMAMPUAN PRAKTIKUM'!AQ59</f>
        <v>57</v>
      </c>
      <c r="AN59" s="25">
        <f t="shared" si="4"/>
        <v>70.125</v>
      </c>
    </row>
    <row r="60">
      <c r="A60" s="21">
        <f>'INPUT DAFTAR PESERTA'!A58</f>
        <v>55</v>
      </c>
      <c r="B60" s="21">
        <f>'INPUT DAFTAR PESERTA'!B58</f>
        <v>2509046039</v>
      </c>
      <c r="C60" s="22" t="str">
        <f>'INPUT DAFTAR PESERTA'!C58</f>
        <v>Azarina Azzahra</v>
      </c>
      <c r="D60" s="23">
        <v>100.0</v>
      </c>
      <c r="E60" s="23">
        <v>100.0</v>
      </c>
      <c r="F60" s="23">
        <v>100.0</v>
      </c>
      <c r="G60" s="23">
        <v>100.0</v>
      </c>
      <c r="H60" s="23">
        <v>100.0</v>
      </c>
      <c r="I60" s="23">
        <v>100.0</v>
      </c>
      <c r="J60" s="23">
        <v>100.0</v>
      </c>
      <c r="K60" s="23">
        <v>100.0</v>
      </c>
      <c r="L60" s="48">
        <f t="shared" si="1"/>
        <v>100</v>
      </c>
      <c r="M60" s="25">
        <f>'PENULISAN LAPORAN'!N59</f>
        <v>87.6875</v>
      </c>
      <c r="N60" s="23">
        <v>100.0</v>
      </c>
      <c r="O60" s="23">
        <v>100.0</v>
      </c>
      <c r="P60" s="23">
        <v>100.0</v>
      </c>
      <c r="Q60" s="23">
        <v>100.0</v>
      </c>
      <c r="R60" s="23">
        <v>100.0</v>
      </c>
      <c r="S60" s="23">
        <v>100.0</v>
      </c>
      <c r="T60" s="23">
        <v>100.0</v>
      </c>
      <c r="U60" s="23">
        <v>100.0</v>
      </c>
      <c r="V60" s="25">
        <f t="shared" si="2"/>
        <v>100</v>
      </c>
      <c r="W60" s="23">
        <v>80.0</v>
      </c>
      <c r="X60" s="23">
        <v>70.0</v>
      </c>
      <c r="Y60" s="23">
        <v>80.0</v>
      </c>
      <c r="Z60" s="23">
        <v>70.0</v>
      </c>
      <c r="AA60" s="23">
        <v>70.0</v>
      </c>
      <c r="AB60" s="23">
        <v>80.0</v>
      </c>
      <c r="AC60" s="23">
        <v>80.0</v>
      </c>
      <c r="AD60" s="23">
        <v>80.0</v>
      </c>
      <c r="AE60" s="50">
        <f t="shared" si="3"/>
        <v>76.25</v>
      </c>
      <c r="AF60" s="48">
        <f>'KEMAMPUAN PRAKTIKUM'!H60</f>
        <v>90</v>
      </c>
      <c r="AG60" s="49">
        <f>'KEMAMPUAN PRAKTIKUM'!M60</f>
        <v>87</v>
      </c>
      <c r="AH60" s="49">
        <f>'KEMAMPUAN PRAKTIKUM'!R60</f>
        <v>90</v>
      </c>
      <c r="AI60" s="50">
        <f>'KEMAMPUAN PRAKTIKUM'!W60</f>
        <v>90</v>
      </c>
      <c r="AJ60" s="49">
        <f>'KEMAMPUAN PRAKTIKUM'!AB60</f>
        <v>75</v>
      </c>
      <c r="AK60" s="50">
        <f>'KEMAMPUAN PRAKTIKUM'!AG60</f>
        <v>75</v>
      </c>
      <c r="AL60" s="49">
        <f>'KEMAMPUAN PRAKTIKUM'!AL60</f>
        <v>66</v>
      </c>
      <c r="AM60" s="49">
        <f>'KEMAMPUAN PRAKTIKUM'!AQ60</f>
        <v>90</v>
      </c>
      <c r="AN60" s="25">
        <f t="shared" si="4"/>
        <v>82.875</v>
      </c>
    </row>
    <row r="61">
      <c r="A61" s="21">
        <f>'INPUT DAFTAR PESERTA'!A59</f>
        <v>56</v>
      </c>
      <c r="B61" s="21">
        <f>'INPUT DAFTAR PESERTA'!B59</f>
        <v>2509046040</v>
      </c>
      <c r="C61" s="22" t="str">
        <f>'INPUT DAFTAR PESERTA'!C59</f>
        <v>Muhammad Bintang Anugrah</v>
      </c>
      <c r="D61" s="23">
        <v>100.0</v>
      </c>
      <c r="E61" s="23">
        <v>100.0</v>
      </c>
      <c r="F61" s="23">
        <v>100.0</v>
      </c>
      <c r="G61" s="23">
        <v>100.0</v>
      </c>
      <c r="H61" s="23">
        <v>100.0</v>
      </c>
      <c r="I61" s="23">
        <v>100.0</v>
      </c>
      <c r="J61" s="23">
        <v>100.0</v>
      </c>
      <c r="K61" s="23">
        <v>100.0</v>
      </c>
      <c r="L61" s="48">
        <f t="shared" si="1"/>
        <v>100</v>
      </c>
      <c r="M61" s="25">
        <f>'PENULISAN LAPORAN'!N60</f>
        <v>77.8125</v>
      </c>
      <c r="N61" s="23">
        <v>94.0</v>
      </c>
      <c r="O61" s="23">
        <v>94.0</v>
      </c>
      <c r="P61" s="23">
        <v>94.0</v>
      </c>
      <c r="Q61" s="23">
        <v>94.0</v>
      </c>
      <c r="R61" s="23">
        <v>94.0</v>
      </c>
      <c r="S61" s="23">
        <v>94.0</v>
      </c>
      <c r="T61" s="23">
        <v>94.0</v>
      </c>
      <c r="U61" s="23">
        <v>94.0</v>
      </c>
      <c r="V61" s="25">
        <f t="shared" si="2"/>
        <v>94</v>
      </c>
      <c r="W61" s="23">
        <v>80.0</v>
      </c>
      <c r="X61" s="23">
        <v>70.0</v>
      </c>
      <c r="Y61" s="23">
        <v>80.0</v>
      </c>
      <c r="Z61" s="23">
        <v>70.0</v>
      </c>
      <c r="AA61" s="23">
        <v>70.0</v>
      </c>
      <c r="AB61" s="23">
        <v>30.0</v>
      </c>
      <c r="AC61" s="23">
        <v>60.0</v>
      </c>
      <c r="AD61" s="23">
        <v>70.0</v>
      </c>
      <c r="AE61" s="50">
        <f t="shared" si="3"/>
        <v>66.25</v>
      </c>
      <c r="AF61" s="48">
        <f>'KEMAMPUAN PRAKTIKUM'!H61</f>
        <v>90</v>
      </c>
      <c r="AG61" s="49">
        <f>'KEMAMPUAN PRAKTIKUM'!M61</f>
        <v>90</v>
      </c>
      <c r="AH61" s="49">
        <f>'KEMAMPUAN PRAKTIKUM'!R61</f>
        <v>72</v>
      </c>
      <c r="AI61" s="50">
        <f>'KEMAMPUAN PRAKTIKUM'!W61</f>
        <v>90</v>
      </c>
      <c r="AJ61" s="49">
        <f>'KEMAMPUAN PRAKTIKUM'!AB61</f>
        <v>75</v>
      </c>
      <c r="AK61" s="50">
        <f>'KEMAMPUAN PRAKTIKUM'!AG61</f>
        <v>75</v>
      </c>
      <c r="AL61" s="49">
        <f>'KEMAMPUAN PRAKTIKUM'!AL61</f>
        <v>81</v>
      </c>
      <c r="AM61" s="49">
        <f>'KEMAMPUAN PRAKTIKUM'!AQ61</f>
        <v>60</v>
      </c>
      <c r="AN61" s="25">
        <f t="shared" si="4"/>
        <v>79.125</v>
      </c>
    </row>
    <row r="62">
      <c r="A62" s="21">
        <f>'INPUT DAFTAR PESERTA'!A60</f>
        <v>57</v>
      </c>
      <c r="B62" s="21">
        <f>'INPUT DAFTAR PESERTA'!B60</f>
        <v>2509046041</v>
      </c>
      <c r="C62" s="22" t="str">
        <f>'INPUT DAFTAR PESERTA'!C60</f>
        <v>Marcel Rizky Indrawan</v>
      </c>
      <c r="D62" s="23">
        <v>100.0</v>
      </c>
      <c r="E62" s="23">
        <v>100.0</v>
      </c>
      <c r="F62" s="23">
        <v>100.0</v>
      </c>
      <c r="G62" s="23">
        <v>100.0</v>
      </c>
      <c r="H62" s="23">
        <v>100.0</v>
      </c>
      <c r="I62" s="23">
        <v>100.0</v>
      </c>
      <c r="J62" s="23">
        <v>100.0</v>
      </c>
      <c r="K62" s="23">
        <v>100.0</v>
      </c>
      <c r="L62" s="48">
        <f t="shared" si="1"/>
        <v>100</v>
      </c>
      <c r="M62" s="25">
        <f>'PENULISAN LAPORAN'!N61</f>
        <v>51.125</v>
      </c>
      <c r="N62" s="23">
        <v>100.0</v>
      </c>
      <c r="O62" s="23">
        <v>100.0</v>
      </c>
      <c r="P62" s="23">
        <v>100.0</v>
      </c>
      <c r="Q62" s="23">
        <v>100.0</v>
      </c>
      <c r="R62" s="23">
        <v>100.0</v>
      </c>
      <c r="S62" s="23">
        <v>100.0</v>
      </c>
      <c r="T62" s="23">
        <v>100.0</v>
      </c>
      <c r="U62" s="23">
        <v>100.0</v>
      </c>
      <c r="V62" s="25">
        <f t="shared" si="2"/>
        <v>100</v>
      </c>
      <c r="W62" s="23">
        <v>70.0</v>
      </c>
      <c r="X62" s="23">
        <v>70.0</v>
      </c>
      <c r="Y62" s="23">
        <v>50.0</v>
      </c>
      <c r="Z62" s="23">
        <v>70.0</v>
      </c>
      <c r="AA62" s="23">
        <v>70.0</v>
      </c>
      <c r="AB62" s="23">
        <v>60.0</v>
      </c>
      <c r="AC62" s="23">
        <v>60.0</v>
      </c>
      <c r="AD62" s="23">
        <v>70.0</v>
      </c>
      <c r="AE62" s="50">
        <f t="shared" si="3"/>
        <v>65</v>
      </c>
      <c r="AF62" s="48">
        <f>'KEMAMPUAN PRAKTIKUM'!H62</f>
        <v>60</v>
      </c>
      <c r="AG62" s="49">
        <f>'KEMAMPUAN PRAKTIKUM'!M62</f>
        <v>60</v>
      </c>
      <c r="AH62" s="49">
        <f>'KEMAMPUAN PRAKTIKUM'!R62</f>
        <v>57</v>
      </c>
      <c r="AI62" s="50">
        <f>'KEMAMPUAN PRAKTIKUM'!W62</f>
        <v>87</v>
      </c>
      <c r="AJ62" s="49">
        <f>'KEMAMPUAN PRAKTIKUM'!AB62</f>
        <v>45</v>
      </c>
      <c r="AK62" s="50">
        <f>'KEMAMPUAN PRAKTIKUM'!AG62</f>
        <v>63</v>
      </c>
      <c r="AL62" s="49">
        <f>'KEMAMPUAN PRAKTIKUM'!AL62</f>
        <v>51</v>
      </c>
      <c r="AM62" s="49">
        <f>'KEMAMPUAN PRAKTIKUM'!AQ62</f>
        <v>60</v>
      </c>
      <c r="AN62" s="25">
        <f t="shared" si="4"/>
        <v>60.375</v>
      </c>
    </row>
    <row r="63">
      <c r="A63" s="21">
        <f>'INPUT DAFTAR PESERTA'!A61</f>
        <v>58</v>
      </c>
      <c r="B63" s="21">
        <f>'INPUT DAFTAR PESERTA'!B61</f>
        <v>2509046042</v>
      </c>
      <c r="C63" s="22" t="str">
        <f>'INPUT DAFTAR PESERTA'!C61</f>
        <v>Mega Dwi Eriyanti</v>
      </c>
      <c r="D63" s="23">
        <v>100.0</v>
      </c>
      <c r="E63" s="23">
        <v>100.0</v>
      </c>
      <c r="F63" s="23">
        <v>100.0</v>
      </c>
      <c r="G63" s="23">
        <v>100.0</v>
      </c>
      <c r="H63" s="23">
        <v>100.0</v>
      </c>
      <c r="I63" s="23">
        <v>100.0</v>
      </c>
      <c r="J63" s="23">
        <v>100.0</v>
      </c>
      <c r="K63" s="23">
        <v>100.0</v>
      </c>
      <c r="L63" s="48">
        <f t="shared" si="1"/>
        <v>100</v>
      </c>
      <c r="M63" s="25">
        <f>'PENULISAN LAPORAN'!N62</f>
        <v>82.375</v>
      </c>
      <c r="N63" s="23">
        <v>94.0</v>
      </c>
      <c r="O63" s="23">
        <v>94.0</v>
      </c>
      <c r="P63" s="23">
        <v>94.0</v>
      </c>
      <c r="Q63" s="23">
        <v>94.0</v>
      </c>
      <c r="R63" s="23">
        <v>94.0</v>
      </c>
      <c r="S63" s="23">
        <v>94.0</v>
      </c>
      <c r="T63" s="23">
        <v>94.0</v>
      </c>
      <c r="U63" s="23">
        <v>94.0</v>
      </c>
      <c r="V63" s="25">
        <f t="shared" si="2"/>
        <v>94</v>
      </c>
      <c r="W63" s="23">
        <v>80.0</v>
      </c>
      <c r="X63" s="23">
        <v>80.0</v>
      </c>
      <c r="Y63" s="23">
        <v>80.0</v>
      </c>
      <c r="Z63" s="23">
        <v>70.0</v>
      </c>
      <c r="AA63" s="23">
        <v>70.0</v>
      </c>
      <c r="AB63" s="23">
        <v>80.0</v>
      </c>
      <c r="AC63" s="23">
        <v>70.0</v>
      </c>
      <c r="AD63" s="23">
        <v>80.0</v>
      </c>
      <c r="AE63" s="50">
        <f t="shared" si="3"/>
        <v>76.25</v>
      </c>
      <c r="AF63" s="48">
        <f>'KEMAMPUAN PRAKTIKUM'!H63</f>
        <v>90</v>
      </c>
      <c r="AG63" s="49">
        <f>'KEMAMPUAN PRAKTIKUM'!M63</f>
        <v>90</v>
      </c>
      <c r="AH63" s="49">
        <f>'KEMAMPUAN PRAKTIKUM'!R63</f>
        <v>90</v>
      </c>
      <c r="AI63" s="50">
        <f>'KEMAMPUAN PRAKTIKUM'!W63</f>
        <v>90</v>
      </c>
      <c r="AJ63" s="49">
        <f>'KEMAMPUAN PRAKTIKUM'!AB63</f>
        <v>75</v>
      </c>
      <c r="AK63" s="50">
        <f>'KEMAMPUAN PRAKTIKUM'!AG63</f>
        <v>63</v>
      </c>
      <c r="AL63" s="49">
        <f>'KEMAMPUAN PRAKTIKUM'!AL63</f>
        <v>66</v>
      </c>
      <c r="AM63" s="49">
        <f>'KEMAMPUAN PRAKTIKUM'!AQ63</f>
        <v>75</v>
      </c>
      <c r="AN63" s="25">
        <f t="shared" si="4"/>
        <v>79.875</v>
      </c>
    </row>
    <row r="64">
      <c r="A64" s="21">
        <f>'INPUT DAFTAR PESERTA'!A62</f>
        <v>59</v>
      </c>
      <c r="B64" s="21">
        <f>'INPUT DAFTAR PESERTA'!B62</f>
        <v>2509046043</v>
      </c>
      <c r="C64" s="22" t="str">
        <f>'INPUT DAFTAR PESERTA'!C62</f>
        <v>Jessen Jeremi Sinaga</v>
      </c>
      <c r="D64" s="50"/>
      <c r="E64" s="50"/>
      <c r="F64" s="23">
        <v>100.0</v>
      </c>
      <c r="G64" s="50"/>
      <c r="H64" s="23">
        <v>100.0</v>
      </c>
      <c r="I64" s="23">
        <v>100.0</v>
      </c>
      <c r="J64" s="50"/>
      <c r="K64" s="23">
        <v>100.0</v>
      </c>
      <c r="L64" s="48">
        <f t="shared" si="1"/>
        <v>50</v>
      </c>
      <c r="M64" s="25">
        <f>'PENULISAN LAPORAN'!N63</f>
        <v>0</v>
      </c>
      <c r="N64" s="23">
        <v>86.0</v>
      </c>
      <c r="O64" s="23">
        <v>86.0</v>
      </c>
      <c r="P64" s="23">
        <v>86.0</v>
      </c>
      <c r="Q64" s="23">
        <v>86.0</v>
      </c>
      <c r="R64" s="23">
        <v>86.0</v>
      </c>
      <c r="S64" s="23">
        <v>86.0</v>
      </c>
      <c r="T64" s="23">
        <v>86.0</v>
      </c>
      <c r="U64" s="23">
        <v>86.0</v>
      </c>
      <c r="V64" s="25">
        <f t="shared" si="2"/>
        <v>86</v>
      </c>
      <c r="W64" s="23">
        <v>30.0</v>
      </c>
      <c r="X64" s="23">
        <v>0.0</v>
      </c>
      <c r="Y64" s="50"/>
      <c r="Z64" s="50"/>
      <c r="AA64" s="23">
        <v>0.0</v>
      </c>
      <c r="AB64" s="50"/>
      <c r="AC64" s="23">
        <v>0.0</v>
      </c>
      <c r="AD64" s="50"/>
      <c r="AE64" s="50">
        <f t="shared" si="3"/>
        <v>3.75</v>
      </c>
      <c r="AF64" s="48">
        <f>'KEMAMPUAN PRAKTIKUM'!H64</f>
        <v>0</v>
      </c>
      <c r="AG64" s="49">
        <f>'KEMAMPUAN PRAKTIKUM'!M64</f>
        <v>0</v>
      </c>
      <c r="AH64" s="49">
        <f>'KEMAMPUAN PRAKTIKUM'!R64</f>
        <v>0</v>
      </c>
      <c r="AI64" s="50">
        <f>'KEMAMPUAN PRAKTIKUM'!W64</f>
        <v>0</v>
      </c>
      <c r="AJ64" s="49">
        <f>'KEMAMPUAN PRAKTIKUM'!AB64</f>
        <v>30</v>
      </c>
      <c r="AK64" s="50">
        <f>'KEMAMPUAN PRAKTIKUM'!AG64</f>
        <v>0</v>
      </c>
      <c r="AL64" s="49">
        <f>'KEMAMPUAN PRAKTIKUM'!AL64</f>
        <v>0</v>
      </c>
      <c r="AM64" s="49">
        <f>'KEMAMPUAN PRAKTIKUM'!AQ64</f>
        <v>0</v>
      </c>
      <c r="AN64" s="25">
        <f t="shared" si="4"/>
        <v>3.75</v>
      </c>
    </row>
    <row r="65">
      <c r="A65" s="21">
        <f>'INPUT DAFTAR PESERTA'!A63</f>
        <v>60</v>
      </c>
      <c r="B65" s="21">
        <f>'INPUT DAFTAR PESERTA'!B63</f>
        <v>2509046044</v>
      </c>
      <c r="C65" s="22" t="str">
        <f>'INPUT DAFTAR PESERTA'!C63</f>
        <v>Mohammad Bagus Leo Widiantara</v>
      </c>
      <c r="D65" s="23">
        <v>100.0</v>
      </c>
      <c r="E65" s="50"/>
      <c r="F65" s="50"/>
      <c r="G65" s="50"/>
      <c r="H65" s="23">
        <v>100.0</v>
      </c>
      <c r="I65" s="23">
        <v>100.0</v>
      </c>
      <c r="J65" s="50"/>
      <c r="K65" s="23">
        <v>100.0</v>
      </c>
      <c r="L65" s="48">
        <f t="shared" si="1"/>
        <v>50</v>
      </c>
      <c r="M65" s="25">
        <f>'PENULISAN LAPORAN'!N64</f>
        <v>0</v>
      </c>
      <c r="N65" s="23">
        <v>0.0</v>
      </c>
      <c r="O65" s="23">
        <v>0.0</v>
      </c>
      <c r="P65" s="23">
        <v>0.0</v>
      </c>
      <c r="Q65" s="23">
        <v>0.0</v>
      </c>
      <c r="R65" s="23">
        <v>0.0</v>
      </c>
      <c r="S65" s="23">
        <v>0.0</v>
      </c>
      <c r="T65" s="23">
        <v>0.0</v>
      </c>
      <c r="U65" s="23">
        <v>0.0</v>
      </c>
      <c r="V65" s="25">
        <f t="shared" si="2"/>
        <v>0</v>
      </c>
      <c r="W65" s="23">
        <v>30.0</v>
      </c>
      <c r="X65" s="23">
        <v>0.0</v>
      </c>
      <c r="Y65" s="50"/>
      <c r="Z65" s="50"/>
      <c r="AA65" s="23">
        <v>0.0</v>
      </c>
      <c r="AB65" s="50"/>
      <c r="AC65" s="23">
        <v>0.0</v>
      </c>
      <c r="AD65" s="50"/>
      <c r="AE65" s="50">
        <f t="shared" si="3"/>
        <v>3.75</v>
      </c>
      <c r="AF65" s="48">
        <f>'KEMAMPUAN PRAKTIKUM'!H65</f>
        <v>0</v>
      </c>
      <c r="AG65" s="49">
        <f>'KEMAMPUAN PRAKTIKUM'!M65</f>
        <v>0</v>
      </c>
      <c r="AH65" s="49">
        <f>'KEMAMPUAN PRAKTIKUM'!R65</f>
        <v>0</v>
      </c>
      <c r="AI65" s="50">
        <f>'KEMAMPUAN PRAKTIKUM'!W65</f>
        <v>0</v>
      </c>
      <c r="AJ65" s="49">
        <f>'KEMAMPUAN PRAKTIKUM'!AB65</f>
        <v>30</v>
      </c>
      <c r="AK65" s="50">
        <f>'KEMAMPUAN PRAKTIKUM'!AG65</f>
        <v>0</v>
      </c>
      <c r="AL65" s="49">
        <f>'KEMAMPUAN PRAKTIKUM'!AL65</f>
        <v>0</v>
      </c>
      <c r="AM65" s="49">
        <f>'KEMAMPUAN PRAKTIKUM'!AQ65</f>
        <v>0</v>
      </c>
      <c r="AN65" s="25">
        <f t="shared" si="4"/>
        <v>3.75</v>
      </c>
    </row>
    <row r="66">
      <c r="A66" s="21">
        <f>'INPUT DAFTAR PESERTA'!A64</f>
        <v>61</v>
      </c>
      <c r="B66" s="21">
        <f>'INPUT DAFTAR PESERTA'!B64</f>
        <v>2509046045</v>
      </c>
      <c r="C66" s="22" t="str">
        <f>'INPUT DAFTAR PESERTA'!C64</f>
        <v>Najwa Aliffah Falah</v>
      </c>
      <c r="D66" s="23">
        <v>100.0</v>
      </c>
      <c r="E66" s="50"/>
      <c r="F66" s="50"/>
      <c r="G66" s="50"/>
      <c r="H66" s="23">
        <v>100.0</v>
      </c>
      <c r="I66" s="23">
        <v>100.0</v>
      </c>
      <c r="J66" s="50"/>
      <c r="K66" s="23">
        <v>100.0</v>
      </c>
      <c r="L66" s="48">
        <f t="shared" si="1"/>
        <v>50</v>
      </c>
      <c r="M66" s="25">
        <f>'PENULISAN LAPORAN'!N65</f>
        <v>0</v>
      </c>
      <c r="N66" s="23">
        <v>84.0</v>
      </c>
      <c r="O66" s="23">
        <v>84.0</v>
      </c>
      <c r="P66" s="23">
        <v>84.0</v>
      </c>
      <c r="Q66" s="23">
        <v>84.0</v>
      </c>
      <c r="R66" s="23">
        <v>84.0</v>
      </c>
      <c r="S66" s="23">
        <v>84.0</v>
      </c>
      <c r="T66" s="23">
        <v>84.0</v>
      </c>
      <c r="U66" s="23">
        <v>84.0</v>
      </c>
      <c r="V66" s="25">
        <f t="shared" si="2"/>
        <v>84</v>
      </c>
      <c r="W66" s="23">
        <v>30.0</v>
      </c>
      <c r="X66" s="23">
        <v>0.0</v>
      </c>
      <c r="Y66" s="50"/>
      <c r="Z66" s="50"/>
      <c r="AA66" s="23">
        <v>0.0</v>
      </c>
      <c r="AB66" s="50"/>
      <c r="AC66" s="23">
        <v>0.0</v>
      </c>
      <c r="AD66" s="50"/>
      <c r="AE66" s="50">
        <f t="shared" si="3"/>
        <v>3.75</v>
      </c>
      <c r="AF66" s="48">
        <f>'KEMAMPUAN PRAKTIKUM'!H66</f>
        <v>0</v>
      </c>
      <c r="AG66" s="49">
        <f>'KEMAMPUAN PRAKTIKUM'!M66</f>
        <v>0</v>
      </c>
      <c r="AH66" s="49">
        <f>'KEMAMPUAN PRAKTIKUM'!R66</f>
        <v>0</v>
      </c>
      <c r="AI66" s="50">
        <f>'KEMAMPUAN PRAKTIKUM'!W66</f>
        <v>0</v>
      </c>
      <c r="AJ66" s="49">
        <f>'KEMAMPUAN PRAKTIKUM'!AB66</f>
        <v>30</v>
      </c>
      <c r="AK66" s="50">
        <f>'KEMAMPUAN PRAKTIKUM'!AG66</f>
        <v>0</v>
      </c>
      <c r="AL66" s="49">
        <f>'KEMAMPUAN PRAKTIKUM'!AL66</f>
        <v>0</v>
      </c>
      <c r="AM66" s="49">
        <f>'KEMAMPUAN PRAKTIKUM'!AQ66</f>
        <v>0</v>
      </c>
      <c r="AN66" s="25">
        <f t="shared" si="4"/>
        <v>3.75</v>
      </c>
    </row>
    <row r="67">
      <c r="A67" s="21">
        <f>'INPUT DAFTAR PESERTA'!A65</f>
        <v>62</v>
      </c>
      <c r="B67" s="21">
        <f>'INPUT DAFTAR PESERTA'!B65</f>
        <v>2509046046</v>
      </c>
      <c r="C67" s="22" t="str">
        <f>'INPUT DAFTAR PESERTA'!C65</f>
        <v>Jezlhine Suretno</v>
      </c>
      <c r="D67" s="23">
        <v>50.0</v>
      </c>
      <c r="E67" s="50"/>
      <c r="F67" s="23">
        <v>100.0</v>
      </c>
      <c r="G67" s="23">
        <v>100.0</v>
      </c>
      <c r="H67" s="23">
        <v>100.0</v>
      </c>
      <c r="I67" s="23">
        <v>100.0</v>
      </c>
      <c r="J67" s="23">
        <v>100.0</v>
      </c>
      <c r="K67" s="23">
        <v>100.0</v>
      </c>
      <c r="L67" s="48">
        <f t="shared" si="1"/>
        <v>81.25</v>
      </c>
      <c r="M67" s="25">
        <f>'PENULISAN LAPORAN'!N66</f>
        <v>37.5</v>
      </c>
      <c r="N67" s="23">
        <v>90.0</v>
      </c>
      <c r="O67" s="23">
        <v>90.0</v>
      </c>
      <c r="P67" s="23">
        <v>90.0</v>
      </c>
      <c r="Q67" s="23">
        <v>90.0</v>
      </c>
      <c r="R67" s="23">
        <v>90.0</v>
      </c>
      <c r="S67" s="23">
        <v>90.0</v>
      </c>
      <c r="T67" s="23">
        <v>90.0</v>
      </c>
      <c r="U67" s="23">
        <v>95.0</v>
      </c>
      <c r="V67" s="25">
        <f t="shared" si="2"/>
        <v>90.625</v>
      </c>
      <c r="W67" s="23">
        <v>30.0</v>
      </c>
      <c r="X67" s="23">
        <v>0.0</v>
      </c>
      <c r="Y67" s="23">
        <v>70.0</v>
      </c>
      <c r="Z67" s="23">
        <v>70.0</v>
      </c>
      <c r="AA67" s="23">
        <v>70.0</v>
      </c>
      <c r="AB67" s="23">
        <v>30.0</v>
      </c>
      <c r="AC67" s="23">
        <v>30.0</v>
      </c>
      <c r="AD67" s="23">
        <v>90.0</v>
      </c>
      <c r="AE67" s="50">
        <f t="shared" si="3"/>
        <v>48.75</v>
      </c>
      <c r="AF67" s="48">
        <f>'KEMAMPUAN PRAKTIKUM'!H67</f>
        <v>0</v>
      </c>
      <c r="AG67" s="49">
        <f>'KEMAMPUAN PRAKTIKUM'!M67</f>
        <v>39</v>
      </c>
      <c r="AH67" s="49">
        <f>'KEMAMPUAN PRAKTIKUM'!R67</f>
        <v>60</v>
      </c>
      <c r="AI67" s="50">
        <f>'KEMAMPUAN PRAKTIKUM'!W67</f>
        <v>57</v>
      </c>
      <c r="AJ67" s="49">
        <f>'KEMAMPUAN PRAKTIKUM'!AB67</f>
        <v>48</v>
      </c>
      <c r="AK67" s="50">
        <f>'KEMAMPUAN PRAKTIKUM'!AG67</f>
        <v>69</v>
      </c>
      <c r="AL67" s="49">
        <f>'KEMAMPUAN PRAKTIKUM'!AL67</f>
        <v>72</v>
      </c>
      <c r="AM67" s="49">
        <f>'KEMAMPUAN PRAKTIKUM'!AQ67</f>
        <v>90</v>
      </c>
      <c r="AN67" s="25">
        <f t="shared" si="4"/>
        <v>54.375</v>
      </c>
    </row>
    <row r="68">
      <c r="A68" s="21">
        <f>'INPUT DAFTAR PESERTA'!A66</f>
        <v>63</v>
      </c>
      <c r="B68" s="21">
        <f>'INPUT DAFTAR PESERTA'!B66</f>
        <v>2509046047</v>
      </c>
      <c r="C68" s="22" t="str">
        <f>'INPUT DAFTAR PESERTA'!C66</f>
        <v>Gideon Giorgy Aipassa</v>
      </c>
      <c r="D68" s="23">
        <v>100.0</v>
      </c>
      <c r="E68" s="23">
        <v>100.0</v>
      </c>
      <c r="F68" s="23">
        <v>100.0</v>
      </c>
      <c r="G68" s="23">
        <v>100.0</v>
      </c>
      <c r="H68" s="23">
        <v>100.0</v>
      </c>
      <c r="I68" s="23">
        <v>100.0</v>
      </c>
      <c r="J68" s="23">
        <v>100.0</v>
      </c>
      <c r="K68" s="23">
        <v>100.0</v>
      </c>
      <c r="L68" s="48">
        <f t="shared" si="1"/>
        <v>100</v>
      </c>
      <c r="M68" s="25">
        <f>'PENULISAN LAPORAN'!N67</f>
        <v>36.75</v>
      </c>
      <c r="N68" s="23">
        <v>0.0</v>
      </c>
      <c r="O68" s="23">
        <v>0.0</v>
      </c>
      <c r="P68" s="23">
        <v>0.0</v>
      </c>
      <c r="Q68" s="23">
        <v>0.0</v>
      </c>
      <c r="R68" s="23">
        <v>0.0</v>
      </c>
      <c r="S68" s="23">
        <v>0.0</v>
      </c>
      <c r="T68" s="23">
        <v>0.0</v>
      </c>
      <c r="U68" s="23">
        <v>0.0</v>
      </c>
      <c r="V68" s="25">
        <f t="shared" si="2"/>
        <v>0</v>
      </c>
      <c r="W68" s="23">
        <v>30.0</v>
      </c>
      <c r="X68" s="23">
        <v>0.0</v>
      </c>
      <c r="Y68" s="23">
        <v>70.0</v>
      </c>
      <c r="Z68" s="23">
        <v>70.0</v>
      </c>
      <c r="AA68" s="23">
        <v>70.0</v>
      </c>
      <c r="AB68" s="23">
        <v>30.0</v>
      </c>
      <c r="AC68" s="23">
        <v>0.0</v>
      </c>
      <c r="AD68" s="23">
        <v>70.0</v>
      </c>
      <c r="AE68" s="50">
        <f t="shared" si="3"/>
        <v>42.5</v>
      </c>
      <c r="AF68" s="48">
        <f>'KEMAMPUAN PRAKTIKUM'!H68</f>
        <v>60</v>
      </c>
      <c r="AG68" s="49">
        <f>'KEMAMPUAN PRAKTIKUM'!M68</f>
        <v>30</v>
      </c>
      <c r="AH68" s="49">
        <f>'KEMAMPUAN PRAKTIKUM'!R68</f>
        <v>45</v>
      </c>
      <c r="AI68" s="50">
        <f>'KEMAMPUAN PRAKTIKUM'!W68</f>
        <v>57</v>
      </c>
      <c r="AJ68" s="49">
        <f>'KEMAMPUAN PRAKTIKUM'!AB68</f>
        <v>48</v>
      </c>
      <c r="AK68" s="50">
        <f>'KEMAMPUAN PRAKTIKUM'!AG68</f>
        <v>63</v>
      </c>
      <c r="AL68" s="49">
        <f>'KEMAMPUAN PRAKTIKUM'!AL68</f>
        <v>60</v>
      </c>
      <c r="AM68" s="49">
        <f>'KEMAMPUAN PRAKTIKUM'!AQ68</f>
        <v>57</v>
      </c>
      <c r="AN68" s="25">
        <f t="shared" si="4"/>
        <v>52.5</v>
      </c>
    </row>
    <row r="69">
      <c r="A69" s="21">
        <f>'INPUT DAFTAR PESERTA'!A67</f>
        <v>64</v>
      </c>
      <c r="B69" s="21">
        <f>'INPUT DAFTAR PESERTA'!B67</f>
        <v>2509046048</v>
      </c>
      <c r="C69" s="22" t="str">
        <f>'INPUT DAFTAR PESERTA'!C67</f>
        <v>Talitha Kayana Nugroho</v>
      </c>
      <c r="D69" s="23">
        <v>100.0</v>
      </c>
      <c r="E69" s="50"/>
      <c r="F69" s="23">
        <v>100.0</v>
      </c>
      <c r="G69" s="23">
        <v>100.0</v>
      </c>
      <c r="H69" s="23">
        <v>100.0</v>
      </c>
      <c r="I69" s="23">
        <v>100.0</v>
      </c>
      <c r="J69" s="23">
        <v>100.0</v>
      </c>
      <c r="K69" s="23">
        <v>100.0</v>
      </c>
      <c r="L69" s="48">
        <f t="shared" si="1"/>
        <v>87.5</v>
      </c>
      <c r="M69" s="25">
        <f>'PENULISAN LAPORAN'!N68</f>
        <v>45.84375</v>
      </c>
      <c r="N69" s="23">
        <v>84.0</v>
      </c>
      <c r="O69" s="23">
        <v>84.0</v>
      </c>
      <c r="P69" s="23">
        <v>84.0</v>
      </c>
      <c r="Q69" s="23">
        <v>84.0</v>
      </c>
      <c r="R69" s="23">
        <v>84.0</v>
      </c>
      <c r="S69" s="23">
        <v>84.0</v>
      </c>
      <c r="T69" s="23">
        <v>84.0</v>
      </c>
      <c r="U69" s="23">
        <v>84.0</v>
      </c>
      <c r="V69" s="25">
        <f t="shared" si="2"/>
        <v>84</v>
      </c>
      <c r="W69" s="23">
        <v>30.0</v>
      </c>
      <c r="X69" s="23">
        <v>0.0</v>
      </c>
      <c r="Y69" s="23">
        <v>80.0</v>
      </c>
      <c r="Z69" s="23">
        <v>70.0</v>
      </c>
      <c r="AA69" s="23">
        <v>70.0</v>
      </c>
      <c r="AB69" s="23">
        <v>30.0</v>
      </c>
      <c r="AC69" s="23">
        <v>60.0</v>
      </c>
      <c r="AD69" s="23">
        <v>30.0</v>
      </c>
      <c r="AE69" s="50">
        <f t="shared" si="3"/>
        <v>46.25</v>
      </c>
      <c r="AF69" s="48">
        <f>'KEMAMPUAN PRAKTIKUM'!H69</f>
        <v>84</v>
      </c>
      <c r="AG69" s="49">
        <f>'KEMAMPUAN PRAKTIKUM'!M69</f>
        <v>60</v>
      </c>
      <c r="AH69" s="49">
        <f>'KEMAMPUAN PRAKTIKUM'!R69</f>
        <v>72</v>
      </c>
      <c r="AI69" s="50">
        <f>'KEMAMPUAN PRAKTIKUM'!W69</f>
        <v>75</v>
      </c>
      <c r="AJ69" s="49">
        <f>'KEMAMPUAN PRAKTIKUM'!AB69</f>
        <v>78</v>
      </c>
      <c r="AK69" s="50">
        <f>'KEMAMPUAN PRAKTIKUM'!AG69</f>
        <v>0</v>
      </c>
      <c r="AL69" s="49">
        <f>'KEMAMPUAN PRAKTIKUM'!AL69</f>
        <v>57</v>
      </c>
      <c r="AM69" s="49">
        <f>'KEMAMPUAN PRAKTIKUM'!AQ69</f>
        <v>45</v>
      </c>
      <c r="AN69" s="25">
        <f t="shared" si="4"/>
        <v>58.875</v>
      </c>
    </row>
    <row r="70">
      <c r="A70" s="21">
        <f>'INPUT DAFTAR PESERTA'!A68</f>
        <v>65</v>
      </c>
      <c r="B70" s="21">
        <f>'INPUT DAFTAR PESERTA'!B68</f>
        <v>2509046049</v>
      </c>
      <c r="C70" s="22" t="str">
        <f>'INPUT DAFTAR PESERTA'!C68</f>
        <v>Josef Alexandro Wijaya Kusuma</v>
      </c>
      <c r="D70" s="50"/>
      <c r="E70" s="50"/>
      <c r="F70" s="23">
        <v>100.0</v>
      </c>
      <c r="G70" s="50"/>
      <c r="H70" s="23">
        <v>100.0</v>
      </c>
      <c r="I70" s="23">
        <v>100.0</v>
      </c>
      <c r="J70" s="50"/>
      <c r="K70" s="23">
        <v>100.0</v>
      </c>
      <c r="L70" s="48">
        <f t="shared" si="1"/>
        <v>50</v>
      </c>
      <c r="M70" s="25">
        <f>'PENULISAN LAPORAN'!N69</f>
        <v>0</v>
      </c>
      <c r="N70" s="23">
        <v>0.0</v>
      </c>
      <c r="O70" s="23">
        <v>0.0</v>
      </c>
      <c r="P70" s="23">
        <v>0.0</v>
      </c>
      <c r="Q70" s="23">
        <v>0.0</v>
      </c>
      <c r="R70" s="23">
        <v>0.0</v>
      </c>
      <c r="S70" s="23">
        <v>0.0</v>
      </c>
      <c r="T70" s="23">
        <v>0.0</v>
      </c>
      <c r="U70" s="23">
        <v>0.0</v>
      </c>
      <c r="V70" s="25">
        <f t="shared" si="2"/>
        <v>0</v>
      </c>
      <c r="W70" s="23">
        <v>30.0</v>
      </c>
      <c r="X70" s="23">
        <v>0.0</v>
      </c>
      <c r="Y70" s="50"/>
      <c r="Z70" s="50"/>
      <c r="AA70" s="23">
        <v>0.0</v>
      </c>
      <c r="AB70" s="50"/>
      <c r="AC70" s="23">
        <v>0.0</v>
      </c>
      <c r="AD70" s="50"/>
      <c r="AE70" s="50">
        <f t="shared" si="3"/>
        <v>3.75</v>
      </c>
      <c r="AF70" s="48">
        <f>'KEMAMPUAN PRAKTIKUM'!H70</f>
        <v>0</v>
      </c>
      <c r="AG70" s="49">
        <f>'KEMAMPUAN PRAKTIKUM'!M70</f>
        <v>0</v>
      </c>
      <c r="AH70" s="49">
        <f>'KEMAMPUAN PRAKTIKUM'!R70</f>
        <v>0</v>
      </c>
      <c r="AI70" s="50">
        <f>'KEMAMPUAN PRAKTIKUM'!W70</f>
        <v>0</v>
      </c>
      <c r="AJ70" s="49">
        <f>'KEMAMPUAN PRAKTIKUM'!AB70</f>
        <v>30</v>
      </c>
      <c r="AK70" s="50">
        <f>'KEMAMPUAN PRAKTIKUM'!AG70</f>
        <v>0</v>
      </c>
      <c r="AL70" s="49">
        <f>'KEMAMPUAN PRAKTIKUM'!AL70</f>
        <v>0</v>
      </c>
      <c r="AM70" s="49">
        <f>'KEMAMPUAN PRAKTIKUM'!AQ70</f>
        <v>0</v>
      </c>
      <c r="AN70" s="25">
        <f t="shared" si="4"/>
        <v>3.75</v>
      </c>
    </row>
    <row r="71">
      <c r="A71" s="21">
        <f>'INPUT DAFTAR PESERTA'!A69</f>
        <v>66</v>
      </c>
      <c r="B71" s="21">
        <f>'INPUT DAFTAR PESERTA'!B69</f>
        <v>2509046050</v>
      </c>
      <c r="C71" s="22" t="str">
        <f>'INPUT DAFTAR PESERTA'!C69</f>
        <v>Surya Buana Putra Kamil</v>
      </c>
      <c r="D71" s="50"/>
      <c r="E71" s="50"/>
      <c r="F71" s="23">
        <v>100.0</v>
      </c>
      <c r="G71" s="50"/>
      <c r="H71" s="23">
        <v>100.0</v>
      </c>
      <c r="I71" s="23">
        <v>100.0</v>
      </c>
      <c r="J71" s="50"/>
      <c r="K71" s="23">
        <v>100.0</v>
      </c>
      <c r="L71" s="48">
        <f t="shared" si="1"/>
        <v>50</v>
      </c>
      <c r="M71" s="25">
        <f>'PENULISAN LAPORAN'!N70</f>
        <v>14.53125</v>
      </c>
      <c r="N71" s="23">
        <v>0.0</v>
      </c>
      <c r="O71" s="23">
        <v>0.0</v>
      </c>
      <c r="P71" s="23">
        <v>0.0</v>
      </c>
      <c r="Q71" s="23">
        <v>0.0</v>
      </c>
      <c r="R71" s="23">
        <v>0.0</v>
      </c>
      <c r="S71" s="23">
        <v>0.0</v>
      </c>
      <c r="T71" s="23">
        <v>0.0</v>
      </c>
      <c r="U71" s="23">
        <v>0.0</v>
      </c>
      <c r="V71" s="25">
        <f t="shared" si="2"/>
        <v>0</v>
      </c>
      <c r="W71" s="23">
        <v>30.0</v>
      </c>
      <c r="X71" s="23">
        <v>0.0</v>
      </c>
      <c r="Y71" s="50"/>
      <c r="Z71" s="50"/>
      <c r="AA71" s="23">
        <v>0.0</v>
      </c>
      <c r="AB71" s="50"/>
      <c r="AC71" s="23">
        <v>0.0</v>
      </c>
      <c r="AD71" s="23">
        <v>30.0</v>
      </c>
      <c r="AE71" s="50">
        <f t="shared" si="3"/>
        <v>7.5</v>
      </c>
      <c r="AF71" s="48">
        <f>'KEMAMPUAN PRAKTIKUM'!H71</f>
        <v>0</v>
      </c>
      <c r="AG71" s="49">
        <f>'KEMAMPUAN PRAKTIKUM'!M71</f>
        <v>0</v>
      </c>
      <c r="AH71" s="49">
        <f>'KEMAMPUAN PRAKTIKUM'!R71</f>
        <v>0</v>
      </c>
      <c r="AI71" s="50">
        <f>'KEMAMPUAN PRAKTIKUM'!W71</f>
        <v>0</v>
      </c>
      <c r="AJ71" s="49">
        <f>'KEMAMPUAN PRAKTIKUM'!AB71</f>
        <v>57</v>
      </c>
      <c r="AK71" s="50">
        <f>'KEMAMPUAN PRAKTIKUM'!AG71</f>
        <v>0</v>
      </c>
      <c r="AL71" s="49">
        <f>'KEMAMPUAN PRAKTIKUM'!AL71</f>
        <v>0</v>
      </c>
      <c r="AM71" s="49">
        <f>'KEMAMPUAN PRAKTIKUM'!AQ71</f>
        <v>0</v>
      </c>
      <c r="AN71" s="25">
        <f t="shared" si="4"/>
        <v>7.125</v>
      </c>
    </row>
    <row r="72">
      <c r="A72" s="21">
        <f>'INPUT DAFTAR PESERTA'!A70</f>
        <v>67</v>
      </c>
      <c r="B72" s="21">
        <f>'INPUT DAFTAR PESERTA'!B70</f>
        <v>2509046051</v>
      </c>
      <c r="C72" s="22" t="str">
        <f>'INPUT DAFTAR PESERTA'!C70</f>
        <v>Arifatus Saidah</v>
      </c>
      <c r="D72" s="23">
        <v>100.0</v>
      </c>
      <c r="E72" s="50"/>
      <c r="F72" s="23">
        <v>100.0</v>
      </c>
      <c r="G72" s="23">
        <v>100.0</v>
      </c>
      <c r="H72" s="23">
        <v>100.0</v>
      </c>
      <c r="I72" s="23">
        <v>100.0</v>
      </c>
      <c r="J72" s="23">
        <v>100.0</v>
      </c>
      <c r="K72" s="23">
        <v>100.0</v>
      </c>
      <c r="L72" s="48">
        <f t="shared" si="1"/>
        <v>87.5</v>
      </c>
      <c r="M72" s="25">
        <f>'PENULISAN LAPORAN'!N71</f>
        <v>35.4375</v>
      </c>
      <c r="N72" s="59" t="s">
        <v>145</v>
      </c>
      <c r="O72" s="59" t="s">
        <v>145</v>
      </c>
      <c r="P72" s="59" t="s">
        <v>145</v>
      </c>
      <c r="Q72" s="59" t="s">
        <v>145</v>
      </c>
      <c r="R72" s="59" t="s">
        <v>145</v>
      </c>
      <c r="S72" s="59" t="s">
        <v>145</v>
      </c>
      <c r="T72" s="59" t="s">
        <v>145</v>
      </c>
      <c r="U72" s="59" t="s">
        <v>145</v>
      </c>
      <c r="V72" s="25">
        <f t="shared" si="2"/>
        <v>86</v>
      </c>
      <c r="W72" s="23">
        <v>30.0</v>
      </c>
      <c r="X72" s="23">
        <v>0.0</v>
      </c>
      <c r="Y72" s="50"/>
      <c r="Z72" s="23">
        <v>30.0</v>
      </c>
      <c r="AA72" s="23">
        <v>30.0</v>
      </c>
      <c r="AB72" s="50"/>
      <c r="AC72" s="23">
        <v>0.0</v>
      </c>
      <c r="AD72" s="23">
        <v>30.0</v>
      </c>
      <c r="AE72" s="50">
        <f t="shared" si="3"/>
        <v>15</v>
      </c>
      <c r="AF72" s="48">
        <f>'KEMAMPUAN PRAKTIKUM'!H72</f>
        <v>60</v>
      </c>
      <c r="AG72" s="49">
        <f>'KEMAMPUAN PRAKTIKUM'!M72</f>
        <v>30</v>
      </c>
      <c r="AH72" s="49">
        <f>'KEMAMPUAN PRAKTIKUM'!R72</f>
        <v>0</v>
      </c>
      <c r="AI72" s="50">
        <f>'KEMAMPUAN PRAKTIKUM'!W72</f>
        <v>90</v>
      </c>
      <c r="AJ72" s="49">
        <f>'KEMAMPUAN PRAKTIKUM'!AB72</f>
        <v>57</v>
      </c>
      <c r="AK72" s="50">
        <f>'KEMAMPUAN PRAKTIKUM'!AG72</f>
        <v>63</v>
      </c>
      <c r="AL72" s="49">
        <f>'KEMAMPUAN PRAKTIKUM'!AL72</f>
        <v>72</v>
      </c>
      <c r="AM72" s="49">
        <f>'KEMAMPUAN PRAKTIKUM'!AQ72</f>
        <v>0</v>
      </c>
      <c r="AN72" s="25">
        <f t="shared" si="4"/>
        <v>46.5</v>
      </c>
    </row>
    <row r="73">
      <c r="A73" s="21">
        <f>'INPUT DAFTAR PESERTA'!A71</f>
        <v>68</v>
      </c>
      <c r="B73" s="21">
        <f>'INPUT DAFTAR PESERTA'!B71</f>
        <v>2509046052</v>
      </c>
      <c r="C73" s="22" t="str">
        <f>'INPUT DAFTAR PESERTA'!C71</f>
        <v>Syarifah Sarah Ashilah</v>
      </c>
      <c r="D73" s="23">
        <v>100.0</v>
      </c>
      <c r="E73" s="23">
        <v>100.0</v>
      </c>
      <c r="F73" s="23">
        <v>100.0</v>
      </c>
      <c r="G73" s="23">
        <v>100.0</v>
      </c>
      <c r="H73" s="23">
        <v>100.0</v>
      </c>
      <c r="I73" s="23">
        <v>100.0</v>
      </c>
      <c r="J73" s="23">
        <v>100.0</v>
      </c>
      <c r="K73" s="23">
        <v>100.0</v>
      </c>
      <c r="L73" s="48">
        <f t="shared" si="1"/>
        <v>100</v>
      </c>
      <c r="M73" s="25">
        <f>'PENULISAN LAPORAN'!N72</f>
        <v>66.40625</v>
      </c>
      <c r="N73" s="59" t="s">
        <v>146</v>
      </c>
      <c r="O73" s="59" t="s">
        <v>146</v>
      </c>
      <c r="P73" s="59" t="s">
        <v>146</v>
      </c>
      <c r="Q73" s="59" t="s">
        <v>146</v>
      </c>
      <c r="R73" s="59" t="s">
        <v>146</v>
      </c>
      <c r="S73" s="59" t="s">
        <v>146</v>
      </c>
      <c r="T73" s="59" t="s">
        <v>146</v>
      </c>
      <c r="U73" s="59" t="s">
        <v>146</v>
      </c>
      <c r="V73" s="25">
        <f t="shared" si="2"/>
        <v>92</v>
      </c>
      <c r="W73" s="23">
        <v>70.0</v>
      </c>
      <c r="X73" s="23">
        <v>70.0</v>
      </c>
      <c r="Y73" s="23">
        <v>70.0</v>
      </c>
      <c r="Z73" s="23">
        <v>70.0</v>
      </c>
      <c r="AA73" s="23">
        <v>70.0</v>
      </c>
      <c r="AB73" s="23">
        <v>30.0</v>
      </c>
      <c r="AC73" s="23">
        <v>80.0</v>
      </c>
      <c r="AD73" s="23">
        <v>70.0</v>
      </c>
      <c r="AE73" s="50">
        <f t="shared" si="3"/>
        <v>66.25</v>
      </c>
      <c r="AF73" s="48">
        <f>'KEMAMPUAN PRAKTIKUM'!H73</f>
        <v>60</v>
      </c>
      <c r="AG73" s="49">
        <f>'KEMAMPUAN PRAKTIKUM'!M73</f>
        <v>78</v>
      </c>
      <c r="AH73" s="49">
        <f>'KEMAMPUAN PRAKTIKUM'!R73</f>
        <v>66</v>
      </c>
      <c r="AI73" s="50">
        <f>'KEMAMPUAN PRAKTIKUM'!W73</f>
        <v>60</v>
      </c>
      <c r="AJ73" s="49">
        <f>'KEMAMPUAN PRAKTIKUM'!AB73</f>
        <v>66</v>
      </c>
      <c r="AK73" s="50">
        <f>'KEMAMPUAN PRAKTIKUM'!AG73</f>
        <v>63</v>
      </c>
      <c r="AL73" s="49">
        <f>'KEMAMPUAN PRAKTIKUM'!AL73</f>
        <v>57</v>
      </c>
      <c r="AM73" s="49">
        <f>'KEMAMPUAN PRAKTIKUM'!AQ73</f>
        <v>45</v>
      </c>
      <c r="AN73" s="25">
        <f t="shared" si="4"/>
        <v>61.875</v>
      </c>
    </row>
    <row r="74">
      <c r="A74" s="21">
        <f>'INPUT DAFTAR PESERTA'!A72</f>
        <v>69</v>
      </c>
      <c r="B74" s="21">
        <f>'INPUT DAFTAR PESERTA'!B72</f>
        <v>2509046053</v>
      </c>
      <c r="C74" s="22" t="str">
        <f>'INPUT DAFTAR PESERTA'!C72</f>
        <v>Muhammad Aufa Syarif Prabowo</v>
      </c>
      <c r="D74" s="23">
        <v>100.0</v>
      </c>
      <c r="E74" s="50"/>
      <c r="F74" s="23">
        <v>100.0</v>
      </c>
      <c r="G74" s="50"/>
      <c r="H74" s="23">
        <v>100.0</v>
      </c>
      <c r="I74" s="23">
        <v>100.0</v>
      </c>
      <c r="J74" s="23">
        <v>100.0</v>
      </c>
      <c r="K74" s="23">
        <v>100.0</v>
      </c>
      <c r="L74" s="48">
        <f t="shared" si="1"/>
        <v>75</v>
      </c>
      <c r="M74" s="25">
        <f>'PENULISAN LAPORAN'!N73</f>
        <v>6.25</v>
      </c>
      <c r="N74" s="59" t="s">
        <v>147</v>
      </c>
      <c r="O74" s="59" t="s">
        <v>147</v>
      </c>
      <c r="P74" s="59" t="s">
        <v>147</v>
      </c>
      <c r="Q74" s="59" t="s">
        <v>147</v>
      </c>
      <c r="R74" s="59" t="s">
        <v>147</v>
      </c>
      <c r="S74" s="59" t="s">
        <v>147</v>
      </c>
      <c r="T74" s="59" t="s">
        <v>147</v>
      </c>
      <c r="U74" s="59" t="s">
        <v>147</v>
      </c>
      <c r="V74" s="25">
        <f t="shared" si="2"/>
        <v>100</v>
      </c>
      <c r="W74" s="23">
        <v>0.0</v>
      </c>
      <c r="X74" s="23">
        <v>0.0</v>
      </c>
      <c r="Y74" s="50"/>
      <c r="Z74" s="50"/>
      <c r="AA74" s="23">
        <v>0.0</v>
      </c>
      <c r="AB74" s="50"/>
      <c r="AC74" s="23">
        <v>0.0</v>
      </c>
      <c r="AD74" s="50"/>
      <c r="AE74" s="50">
        <f t="shared" si="3"/>
        <v>0</v>
      </c>
      <c r="AF74" s="48">
        <f>'KEMAMPUAN PRAKTIKUM'!H74</f>
        <v>48</v>
      </c>
      <c r="AG74" s="49">
        <f>'KEMAMPUAN PRAKTIKUM'!M74</f>
        <v>0</v>
      </c>
      <c r="AH74" s="49">
        <f>'KEMAMPUAN PRAKTIKUM'!R74</f>
        <v>0</v>
      </c>
      <c r="AI74" s="50">
        <f>'KEMAMPUAN PRAKTIKUM'!W74</f>
        <v>0</v>
      </c>
      <c r="AJ74" s="49">
        <f>'KEMAMPUAN PRAKTIKUM'!AB74</f>
        <v>30</v>
      </c>
      <c r="AK74" s="50">
        <f>'KEMAMPUAN PRAKTIKUM'!AG74</f>
        <v>63</v>
      </c>
      <c r="AL74" s="49">
        <f>'KEMAMPUAN PRAKTIKUM'!AL74</f>
        <v>57</v>
      </c>
      <c r="AM74" s="49">
        <f>'KEMAMPUAN PRAKTIKUM'!AQ74</f>
        <v>45</v>
      </c>
      <c r="AN74" s="25">
        <f t="shared" si="4"/>
        <v>30.375</v>
      </c>
    </row>
    <row r="75">
      <c r="A75" s="21">
        <f>'INPUT DAFTAR PESERTA'!A73</f>
        <v>70</v>
      </c>
      <c r="B75" s="21">
        <f>'INPUT DAFTAR PESERTA'!B73</f>
        <v>2509046054</v>
      </c>
      <c r="C75" s="22" t="str">
        <f>'INPUT DAFTAR PESERTA'!C73</f>
        <v>Kezia Aulia Putri</v>
      </c>
      <c r="D75" s="23">
        <v>100.0</v>
      </c>
      <c r="E75" s="50"/>
      <c r="F75" s="23">
        <v>100.0</v>
      </c>
      <c r="G75" s="50"/>
      <c r="H75" s="23">
        <v>100.0</v>
      </c>
      <c r="I75" s="23">
        <v>100.0</v>
      </c>
      <c r="J75" s="23">
        <v>100.0</v>
      </c>
      <c r="K75" s="23">
        <v>100.0</v>
      </c>
      <c r="L75" s="48">
        <f t="shared" si="1"/>
        <v>75</v>
      </c>
      <c r="M75" s="25">
        <f>'PENULISAN LAPORAN'!N74</f>
        <v>7.375</v>
      </c>
      <c r="N75" s="59" t="s">
        <v>148</v>
      </c>
      <c r="O75" s="59" t="s">
        <v>148</v>
      </c>
      <c r="P75" s="59" t="s">
        <v>148</v>
      </c>
      <c r="Q75" s="59" t="s">
        <v>148</v>
      </c>
      <c r="R75" s="59" t="s">
        <v>148</v>
      </c>
      <c r="S75" s="59" t="s">
        <v>148</v>
      </c>
      <c r="T75" s="59" t="s">
        <v>148</v>
      </c>
      <c r="U75" s="59" t="s">
        <v>148</v>
      </c>
      <c r="V75" s="25">
        <f t="shared" si="2"/>
        <v>94</v>
      </c>
      <c r="W75" s="23">
        <v>0.0</v>
      </c>
      <c r="X75" s="23">
        <v>0.0</v>
      </c>
      <c r="Y75" s="50"/>
      <c r="Z75" s="50"/>
      <c r="AA75" s="23">
        <v>0.0</v>
      </c>
      <c r="AB75" s="50"/>
      <c r="AC75" s="23">
        <v>0.0</v>
      </c>
      <c r="AD75" s="50"/>
      <c r="AE75" s="50">
        <f t="shared" si="3"/>
        <v>0</v>
      </c>
      <c r="AF75" s="48">
        <f>'KEMAMPUAN PRAKTIKUM'!H75</f>
        <v>60</v>
      </c>
      <c r="AG75" s="49">
        <f>'KEMAMPUAN PRAKTIKUM'!M75</f>
        <v>0</v>
      </c>
      <c r="AH75" s="49">
        <f>'KEMAMPUAN PRAKTIKUM'!R75</f>
        <v>0</v>
      </c>
      <c r="AI75" s="50">
        <f>'KEMAMPUAN PRAKTIKUM'!W75</f>
        <v>0</v>
      </c>
      <c r="AJ75" s="49">
        <f>'KEMAMPUAN PRAKTIKUM'!AB75</f>
        <v>30</v>
      </c>
      <c r="AK75" s="50">
        <f>'KEMAMPUAN PRAKTIKUM'!AG75</f>
        <v>63</v>
      </c>
      <c r="AL75" s="49">
        <f>'KEMAMPUAN PRAKTIKUM'!AL75</f>
        <v>57</v>
      </c>
      <c r="AM75" s="49">
        <f>'KEMAMPUAN PRAKTIKUM'!AQ75</f>
        <v>0</v>
      </c>
      <c r="AN75" s="25">
        <f t="shared" si="4"/>
        <v>26.25</v>
      </c>
    </row>
    <row r="76">
      <c r="A76" s="21">
        <f>'INPUT DAFTAR PESERTA'!A74</f>
        <v>71</v>
      </c>
      <c r="B76" s="21">
        <f>'INPUT DAFTAR PESERTA'!B74</f>
        <v>2509046055</v>
      </c>
      <c r="C76" s="22" t="str">
        <f>'INPUT DAFTAR PESERTA'!C74</f>
        <v>Nailah Aisya Ainurrahman</v>
      </c>
      <c r="D76" s="23">
        <v>100.0</v>
      </c>
      <c r="E76" s="23">
        <v>100.0</v>
      </c>
      <c r="F76" s="23">
        <v>100.0</v>
      </c>
      <c r="G76" s="23">
        <v>100.0</v>
      </c>
      <c r="H76" s="23">
        <v>100.0</v>
      </c>
      <c r="I76" s="23">
        <v>100.0</v>
      </c>
      <c r="J76" s="23">
        <v>100.0</v>
      </c>
      <c r="K76" s="23">
        <v>100.0</v>
      </c>
      <c r="L76" s="48">
        <f t="shared" si="1"/>
        <v>100</v>
      </c>
      <c r="M76" s="25">
        <f>'PENULISAN LAPORAN'!N75</f>
        <v>50.625</v>
      </c>
      <c r="N76" s="59" t="s">
        <v>149</v>
      </c>
      <c r="O76" s="23">
        <v>98.0</v>
      </c>
      <c r="P76" s="23">
        <v>98.0</v>
      </c>
      <c r="Q76" s="23">
        <v>98.0</v>
      </c>
      <c r="R76" s="23">
        <v>98.0</v>
      </c>
      <c r="S76" s="23">
        <v>98.0</v>
      </c>
      <c r="T76" s="23">
        <v>98.0</v>
      </c>
      <c r="U76" s="23">
        <v>98.0</v>
      </c>
      <c r="V76" s="25">
        <f t="shared" si="2"/>
        <v>98</v>
      </c>
      <c r="W76" s="23">
        <v>60.0</v>
      </c>
      <c r="X76" s="23">
        <v>70.0</v>
      </c>
      <c r="Y76" s="23">
        <v>70.0</v>
      </c>
      <c r="Z76" s="23">
        <v>70.0</v>
      </c>
      <c r="AA76" s="23">
        <v>70.0</v>
      </c>
      <c r="AB76" s="23">
        <v>30.0</v>
      </c>
      <c r="AC76" s="23">
        <v>60.0</v>
      </c>
      <c r="AD76" s="23">
        <v>30.0</v>
      </c>
      <c r="AE76" s="50">
        <f t="shared" si="3"/>
        <v>57.5</v>
      </c>
      <c r="AF76" s="48">
        <f>'KEMAMPUAN PRAKTIKUM'!H76</f>
        <v>57</v>
      </c>
      <c r="AG76" s="49">
        <f>'KEMAMPUAN PRAKTIKUM'!M76</f>
        <v>57</v>
      </c>
      <c r="AH76" s="49">
        <f>'KEMAMPUAN PRAKTIKUM'!R76</f>
        <v>54</v>
      </c>
      <c r="AI76" s="50">
        <f>'KEMAMPUAN PRAKTIKUM'!W76</f>
        <v>60</v>
      </c>
      <c r="AJ76" s="49">
        <f>'KEMAMPUAN PRAKTIKUM'!AB76</f>
        <v>60</v>
      </c>
      <c r="AK76" s="50">
        <f>'KEMAMPUAN PRAKTIKUM'!AG76</f>
        <v>60</v>
      </c>
      <c r="AL76" s="49">
        <f>'KEMAMPUAN PRAKTIKUM'!AL76</f>
        <v>57</v>
      </c>
      <c r="AM76" s="49">
        <f>'KEMAMPUAN PRAKTIKUM'!AQ76</f>
        <v>87</v>
      </c>
      <c r="AN76" s="25">
        <f t="shared" si="4"/>
        <v>61.5</v>
      </c>
    </row>
    <row r="77">
      <c r="A77" s="21">
        <f>'INPUT DAFTAR PESERTA'!A75</f>
        <v>72</v>
      </c>
      <c r="B77" s="21">
        <f>'INPUT DAFTAR PESERTA'!B75</f>
        <v>2509046056</v>
      </c>
      <c r="C77" s="22" t="str">
        <f>'INPUT DAFTAR PESERTA'!C75</f>
        <v>Nadine Olivia</v>
      </c>
      <c r="D77" s="23">
        <v>100.0</v>
      </c>
      <c r="E77" s="23">
        <v>100.0</v>
      </c>
      <c r="F77" s="23">
        <v>100.0</v>
      </c>
      <c r="G77" s="23">
        <v>80.0</v>
      </c>
      <c r="H77" s="23">
        <v>100.0</v>
      </c>
      <c r="I77" s="23">
        <v>100.0</v>
      </c>
      <c r="J77" s="23">
        <v>100.0</v>
      </c>
      <c r="K77" s="23">
        <v>100.0</v>
      </c>
      <c r="L77" s="48">
        <f t="shared" si="1"/>
        <v>97.5</v>
      </c>
      <c r="M77" s="25">
        <f>'PENULISAN LAPORAN'!N76</f>
        <v>47.9375</v>
      </c>
      <c r="N77" s="59" t="s">
        <v>147</v>
      </c>
      <c r="O77" s="59" t="s">
        <v>147</v>
      </c>
      <c r="P77" s="59" t="s">
        <v>147</v>
      </c>
      <c r="Q77" s="59" t="s">
        <v>147</v>
      </c>
      <c r="R77" s="59" t="s">
        <v>147</v>
      </c>
      <c r="S77" s="59" t="s">
        <v>147</v>
      </c>
      <c r="T77" s="59" t="s">
        <v>147</v>
      </c>
      <c r="U77" s="59" t="s">
        <v>147</v>
      </c>
      <c r="V77" s="25">
        <f t="shared" si="2"/>
        <v>100</v>
      </c>
      <c r="W77" s="23">
        <v>70.0</v>
      </c>
      <c r="X77" s="23">
        <v>70.0</v>
      </c>
      <c r="Y77" s="23">
        <v>80.0</v>
      </c>
      <c r="Z77" s="23">
        <v>70.0</v>
      </c>
      <c r="AA77" s="23">
        <v>30.0</v>
      </c>
      <c r="AB77" s="23">
        <v>30.0</v>
      </c>
      <c r="AC77" s="23">
        <v>80.0</v>
      </c>
      <c r="AD77" s="23">
        <v>0.0</v>
      </c>
      <c r="AE77" s="50">
        <f t="shared" si="3"/>
        <v>53.75</v>
      </c>
      <c r="AF77" s="48">
        <f>'KEMAMPUAN PRAKTIKUM'!H77</f>
        <v>60</v>
      </c>
      <c r="AG77" s="49">
        <f>'KEMAMPUAN PRAKTIKUM'!M77</f>
        <v>57</v>
      </c>
      <c r="AH77" s="49">
        <f>'KEMAMPUAN PRAKTIKUM'!R77</f>
        <v>75</v>
      </c>
      <c r="AI77" s="50">
        <f>'KEMAMPUAN PRAKTIKUM'!W77</f>
        <v>60</v>
      </c>
      <c r="AJ77" s="49">
        <f>'KEMAMPUAN PRAKTIKUM'!AB77</f>
        <v>75</v>
      </c>
      <c r="AK77" s="50">
        <f>'KEMAMPUAN PRAKTIKUM'!AG77</f>
        <v>60</v>
      </c>
      <c r="AL77" s="49">
        <f>'KEMAMPUAN PRAKTIKUM'!AL77</f>
        <v>57</v>
      </c>
      <c r="AM77" s="49">
        <f>'KEMAMPUAN PRAKTIKUM'!AQ77</f>
        <v>87</v>
      </c>
      <c r="AN77" s="25">
        <f t="shared" si="4"/>
        <v>66.375</v>
      </c>
    </row>
    <row r="78">
      <c r="A78" s="21">
        <f>'INPUT DAFTAR PESERTA'!A76</f>
        <v>73</v>
      </c>
      <c r="B78" s="21">
        <f>'INPUT DAFTAR PESERTA'!B76</f>
        <v>2509046057</v>
      </c>
      <c r="C78" s="22" t="str">
        <f>'INPUT DAFTAR PESERTA'!C76</f>
        <v>Fadhaail Ali Syaban</v>
      </c>
      <c r="D78" s="50"/>
      <c r="E78" s="50"/>
      <c r="F78" s="23">
        <v>100.0</v>
      </c>
      <c r="G78" s="50"/>
      <c r="H78" s="23">
        <v>100.0</v>
      </c>
      <c r="I78" s="23">
        <v>100.0</v>
      </c>
      <c r="J78" s="23"/>
      <c r="K78" s="23">
        <v>100.0</v>
      </c>
      <c r="L78" s="48">
        <f t="shared" si="1"/>
        <v>50</v>
      </c>
      <c r="M78" s="25">
        <f>'PENULISAN LAPORAN'!N77</f>
        <v>0</v>
      </c>
      <c r="N78" s="59" t="s">
        <v>150</v>
      </c>
      <c r="O78" s="59" t="s">
        <v>150</v>
      </c>
      <c r="P78" s="59" t="s">
        <v>150</v>
      </c>
      <c r="Q78" s="59" t="s">
        <v>150</v>
      </c>
      <c r="R78" s="59" t="s">
        <v>150</v>
      </c>
      <c r="S78" s="59" t="s">
        <v>150</v>
      </c>
      <c r="T78" s="59" t="s">
        <v>150</v>
      </c>
      <c r="U78" s="59" t="s">
        <v>150</v>
      </c>
      <c r="V78" s="25">
        <f t="shared" si="2"/>
        <v>88</v>
      </c>
      <c r="W78" s="23">
        <v>0.0</v>
      </c>
      <c r="X78" s="23">
        <v>0.0</v>
      </c>
      <c r="Y78" s="50"/>
      <c r="Z78" s="50"/>
      <c r="AA78" s="23">
        <v>0.0</v>
      </c>
      <c r="AB78" s="50"/>
      <c r="AC78" s="23">
        <v>0.0</v>
      </c>
      <c r="AD78" s="50"/>
      <c r="AE78" s="50">
        <f t="shared" si="3"/>
        <v>0</v>
      </c>
      <c r="AF78" s="48">
        <f>'KEMAMPUAN PRAKTIKUM'!H78</f>
        <v>0</v>
      </c>
      <c r="AG78" s="49">
        <f>'KEMAMPUAN PRAKTIKUM'!M78</f>
        <v>0</v>
      </c>
      <c r="AH78" s="49">
        <f>'KEMAMPUAN PRAKTIKUM'!R78</f>
        <v>0</v>
      </c>
      <c r="AI78" s="50">
        <f>'KEMAMPUAN PRAKTIKUM'!W78</f>
        <v>0</v>
      </c>
      <c r="AJ78" s="49">
        <f>'KEMAMPUAN PRAKTIKUM'!AB78</f>
        <v>30</v>
      </c>
      <c r="AK78" s="50">
        <f>'KEMAMPUAN PRAKTIKUM'!AG78</f>
        <v>0</v>
      </c>
      <c r="AL78" s="49">
        <f>'KEMAMPUAN PRAKTIKUM'!AL78</f>
        <v>57</v>
      </c>
      <c r="AM78" s="49">
        <f>'KEMAMPUAN PRAKTIKUM'!AQ78</f>
        <v>0</v>
      </c>
      <c r="AN78" s="25">
        <f t="shared" si="4"/>
        <v>10.875</v>
      </c>
    </row>
    <row r="79">
      <c r="A79" s="21">
        <f>'INPUT DAFTAR PESERTA'!A77</f>
        <v>74</v>
      </c>
      <c r="B79" s="21">
        <f>'INPUT DAFTAR PESERTA'!B77</f>
        <v>2509046058</v>
      </c>
      <c r="C79" s="22" t="str">
        <f>'INPUT DAFTAR PESERTA'!C77</f>
        <v>Tri Partogi Utama Manalu</v>
      </c>
      <c r="D79" s="23">
        <v>100.0</v>
      </c>
      <c r="E79" s="23">
        <v>100.0</v>
      </c>
      <c r="F79" s="23">
        <v>100.0</v>
      </c>
      <c r="G79" s="23">
        <v>100.0</v>
      </c>
      <c r="H79" s="23">
        <v>100.0</v>
      </c>
      <c r="I79" s="23">
        <v>100.0</v>
      </c>
      <c r="J79" s="23">
        <v>100.0</v>
      </c>
      <c r="K79" s="23">
        <v>100.0</v>
      </c>
      <c r="L79" s="48">
        <f t="shared" si="1"/>
        <v>100</v>
      </c>
      <c r="M79" s="25">
        <f>'PENULISAN LAPORAN'!N78</f>
        <v>35.78125</v>
      </c>
      <c r="N79" s="59" t="s">
        <v>147</v>
      </c>
      <c r="O79" s="59" t="s">
        <v>147</v>
      </c>
      <c r="P79" s="59" t="s">
        <v>147</v>
      </c>
      <c r="Q79" s="59" t="s">
        <v>147</v>
      </c>
      <c r="R79" s="59" t="s">
        <v>147</v>
      </c>
      <c r="S79" s="59" t="s">
        <v>147</v>
      </c>
      <c r="T79" s="59" t="s">
        <v>147</v>
      </c>
      <c r="U79" s="59" t="s">
        <v>147</v>
      </c>
      <c r="V79" s="25">
        <f t="shared" si="2"/>
        <v>100</v>
      </c>
      <c r="W79" s="23">
        <v>30.0</v>
      </c>
      <c r="X79" s="23">
        <v>0.0</v>
      </c>
      <c r="Y79" s="23">
        <v>30.0</v>
      </c>
      <c r="Z79" s="23">
        <v>30.0</v>
      </c>
      <c r="AA79" s="23">
        <v>30.0</v>
      </c>
      <c r="AB79" s="23">
        <v>30.0</v>
      </c>
      <c r="AC79" s="23">
        <v>0.0</v>
      </c>
      <c r="AD79" s="23">
        <v>30.0</v>
      </c>
      <c r="AE79" s="50">
        <f t="shared" si="3"/>
        <v>22.5</v>
      </c>
      <c r="AF79" s="48">
        <f>'KEMAMPUAN PRAKTIKUM'!H79</f>
        <v>45</v>
      </c>
      <c r="AG79" s="49">
        <f>'KEMAMPUAN PRAKTIKUM'!M79</f>
        <v>57</v>
      </c>
      <c r="AH79" s="49">
        <f>'KEMAMPUAN PRAKTIKUM'!R79</f>
        <v>54</v>
      </c>
      <c r="AI79" s="50">
        <f>'KEMAMPUAN PRAKTIKUM'!W79</f>
        <v>60</v>
      </c>
      <c r="AJ79" s="49">
        <f>'KEMAMPUAN PRAKTIKUM'!AB79</f>
        <v>60</v>
      </c>
      <c r="AK79" s="50">
        <f>'KEMAMPUAN PRAKTIKUM'!AG79</f>
        <v>60</v>
      </c>
      <c r="AL79" s="49">
        <f>'KEMAMPUAN PRAKTIKUM'!AL79</f>
        <v>57</v>
      </c>
      <c r="AM79" s="49">
        <f>'KEMAMPUAN PRAKTIKUM'!AQ79</f>
        <v>57</v>
      </c>
      <c r="AN79" s="25">
        <f t="shared" si="4"/>
        <v>56.25</v>
      </c>
    </row>
    <row r="80">
      <c r="A80" s="21">
        <f>'INPUT DAFTAR PESERTA'!A78</f>
        <v>75</v>
      </c>
      <c r="B80" s="21">
        <f>'INPUT DAFTAR PESERTA'!B78</f>
        <v>2509046059</v>
      </c>
      <c r="C80" s="22" t="str">
        <f>'INPUT DAFTAR PESERTA'!C78</f>
        <v>Fa'iz Pasha Novian</v>
      </c>
      <c r="D80" s="50"/>
      <c r="E80" s="50"/>
      <c r="F80" s="50"/>
      <c r="G80" s="50"/>
      <c r="H80" s="23">
        <v>100.0</v>
      </c>
      <c r="I80" s="23">
        <v>100.0</v>
      </c>
      <c r="J80" s="50"/>
      <c r="K80" s="23">
        <v>100.0</v>
      </c>
      <c r="L80" s="48">
        <f t="shared" si="1"/>
        <v>37.5</v>
      </c>
      <c r="M80" s="25">
        <f>'PENULISAN LAPORAN'!N79</f>
        <v>0</v>
      </c>
      <c r="N80" s="59" t="s">
        <v>148</v>
      </c>
      <c r="O80" s="59" t="s">
        <v>148</v>
      </c>
      <c r="P80" s="59" t="s">
        <v>148</v>
      </c>
      <c r="Q80" s="59" t="s">
        <v>148</v>
      </c>
      <c r="R80" s="59" t="s">
        <v>148</v>
      </c>
      <c r="S80" s="59" t="s">
        <v>148</v>
      </c>
      <c r="T80" s="59" t="s">
        <v>148</v>
      </c>
      <c r="U80" s="59" t="s">
        <v>148</v>
      </c>
      <c r="V80" s="25">
        <f t="shared" si="2"/>
        <v>94</v>
      </c>
      <c r="W80" s="23">
        <v>0.0</v>
      </c>
      <c r="X80" s="23">
        <v>0.0</v>
      </c>
      <c r="Y80" s="50"/>
      <c r="Z80" s="50"/>
      <c r="AA80" s="23">
        <v>0.0</v>
      </c>
      <c r="AB80" s="50"/>
      <c r="AC80" s="23">
        <v>0.0</v>
      </c>
      <c r="AD80" s="50"/>
      <c r="AE80" s="50">
        <f t="shared" si="3"/>
        <v>0</v>
      </c>
      <c r="AF80" s="48">
        <f>'KEMAMPUAN PRAKTIKUM'!H80</f>
        <v>0</v>
      </c>
      <c r="AG80" s="49">
        <f>'KEMAMPUAN PRAKTIKUM'!M80</f>
        <v>0</v>
      </c>
      <c r="AH80" s="49">
        <f>'KEMAMPUAN PRAKTIKUM'!R80</f>
        <v>0</v>
      </c>
      <c r="AI80" s="50">
        <f>'KEMAMPUAN PRAKTIKUM'!W80</f>
        <v>0</v>
      </c>
      <c r="AJ80" s="49">
        <f>'KEMAMPUAN PRAKTIKUM'!AB80</f>
        <v>30</v>
      </c>
      <c r="AK80" s="50">
        <f>'KEMAMPUAN PRAKTIKUM'!AG80</f>
        <v>0</v>
      </c>
      <c r="AL80" s="49">
        <f>'KEMAMPUAN PRAKTIKUM'!AL80</f>
        <v>0</v>
      </c>
      <c r="AM80" s="49">
        <f>'KEMAMPUAN PRAKTIKUM'!AQ80</f>
        <v>0</v>
      </c>
      <c r="AN80" s="25">
        <f t="shared" si="4"/>
        <v>3.75</v>
      </c>
    </row>
    <row r="81">
      <c r="A81" s="21">
        <f>'INPUT DAFTAR PESERTA'!A79</f>
        <v>76</v>
      </c>
      <c r="B81" s="21">
        <f>'INPUT DAFTAR PESERTA'!B79</f>
        <v>2509046060</v>
      </c>
      <c r="C81" s="22" t="str">
        <f>'INPUT DAFTAR PESERTA'!C79</f>
        <v>Shasya Tri Fauziah</v>
      </c>
      <c r="D81" s="23">
        <v>100.0</v>
      </c>
      <c r="E81" s="23">
        <v>100.0</v>
      </c>
      <c r="F81" s="23">
        <v>100.0</v>
      </c>
      <c r="G81" s="23">
        <v>100.0</v>
      </c>
      <c r="H81" s="23">
        <v>100.0</v>
      </c>
      <c r="I81" s="23">
        <v>100.0</v>
      </c>
      <c r="J81" s="23">
        <v>100.0</v>
      </c>
      <c r="K81" s="23">
        <v>100.0</v>
      </c>
      <c r="L81" s="48">
        <f t="shared" si="1"/>
        <v>100</v>
      </c>
      <c r="M81" s="25">
        <f>'PENULISAN LAPORAN'!N80</f>
        <v>66.6</v>
      </c>
      <c r="N81" s="59" t="s">
        <v>147</v>
      </c>
      <c r="O81" s="59" t="s">
        <v>147</v>
      </c>
      <c r="P81" s="59" t="s">
        <v>147</v>
      </c>
      <c r="Q81" s="59" t="s">
        <v>147</v>
      </c>
      <c r="R81" s="59" t="s">
        <v>147</v>
      </c>
      <c r="S81" s="59" t="s">
        <v>147</v>
      </c>
      <c r="T81" s="59" t="s">
        <v>147</v>
      </c>
      <c r="U81" s="59" t="s">
        <v>147</v>
      </c>
      <c r="V81" s="25">
        <f t="shared" si="2"/>
        <v>100</v>
      </c>
      <c r="W81" s="23">
        <v>70.0</v>
      </c>
      <c r="X81" s="23">
        <v>80.0</v>
      </c>
      <c r="Y81" s="23">
        <v>80.0</v>
      </c>
      <c r="Z81" s="23">
        <v>70.0</v>
      </c>
      <c r="AA81" s="23">
        <v>70.0</v>
      </c>
      <c r="AB81" s="23">
        <v>30.0</v>
      </c>
      <c r="AC81" s="23">
        <v>80.0</v>
      </c>
      <c r="AD81" s="23">
        <v>30.0</v>
      </c>
      <c r="AE81" s="50">
        <f t="shared" si="3"/>
        <v>63.75</v>
      </c>
      <c r="AF81" s="48">
        <f>'KEMAMPUAN PRAKTIKUM'!H81</f>
        <v>54</v>
      </c>
      <c r="AG81" s="49">
        <f>'KEMAMPUAN PRAKTIKUM'!M81</f>
        <v>87</v>
      </c>
      <c r="AH81" s="49">
        <f>'KEMAMPUAN PRAKTIKUM'!R81</f>
        <v>87</v>
      </c>
      <c r="AI81" s="50">
        <f>'KEMAMPUAN PRAKTIKUM'!W81</f>
        <v>60</v>
      </c>
      <c r="AJ81" s="49">
        <f>'KEMAMPUAN PRAKTIKUM'!AB81</f>
        <v>48</v>
      </c>
      <c r="AK81" s="50">
        <f>'KEMAMPUAN PRAKTIKUM'!AG81</f>
        <v>0</v>
      </c>
      <c r="AL81" s="49">
        <f>'KEMAMPUAN PRAKTIKUM'!AL81</f>
        <v>57</v>
      </c>
      <c r="AM81" s="49">
        <f>'KEMAMPUAN PRAKTIKUM'!AQ81</f>
        <v>64.5</v>
      </c>
      <c r="AN81" s="25">
        <f t="shared" si="4"/>
        <v>57.1875</v>
      </c>
    </row>
    <row r="82">
      <c r="A82" s="21">
        <f>'INPUT DAFTAR PESERTA'!A80</f>
        <v>77</v>
      </c>
      <c r="B82" s="21">
        <f>'INPUT DAFTAR PESERTA'!B80</f>
        <v>2509046061</v>
      </c>
      <c r="C82" s="22" t="str">
        <f>'INPUT DAFTAR PESERTA'!C80</f>
        <v>Alyah Nur Jannah</v>
      </c>
      <c r="D82" s="23"/>
      <c r="E82" s="23">
        <v>100.0</v>
      </c>
      <c r="F82" s="23"/>
      <c r="G82" s="23"/>
      <c r="H82" s="23">
        <v>100.0</v>
      </c>
      <c r="I82" s="23">
        <v>100.0</v>
      </c>
      <c r="J82" s="23"/>
      <c r="K82" s="23">
        <v>100.0</v>
      </c>
      <c r="L82" s="48">
        <f t="shared" si="1"/>
        <v>50</v>
      </c>
      <c r="M82" s="25">
        <f>'PENULISAN LAPORAN'!N81</f>
        <v>21.375</v>
      </c>
      <c r="N82" s="59" t="s">
        <v>151</v>
      </c>
      <c r="O82" s="59" t="s">
        <v>151</v>
      </c>
      <c r="P82" s="59" t="s">
        <v>151</v>
      </c>
      <c r="Q82" s="59" t="s">
        <v>151</v>
      </c>
      <c r="R82" s="59" t="s">
        <v>151</v>
      </c>
      <c r="S82" s="59" t="s">
        <v>151</v>
      </c>
      <c r="T82" s="59" t="s">
        <v>151</v>
      </c>
      <c r="U82" s="59" t="s">
        <v>151</v>
      </c>
      <c r="V82" s="25">
        <f t="shared" si="2"/>
        <v>66</v>
      </c>
      <c r="W82" s="23">
        <v>30.0</v>
      </c>
      <c r="X82" s="23">
        <v>30.0</v>
      </c>
      <c r="Y82" s="23">
        <v>30.0</v>
      </c>
      <c r="Z82" s="23">
        <v>30.0</v>
      </c>
      <c r="AA82" s="23">
        <v>30.0</v>
      </c>
      <c r="AB82" s="23">
        <v>30.0</v>
      </c>
      <c r="AC82" s="23">
        <v>30.0</v>
      </c>
      <c r="AD82" s="23">
        <v>30.0</v>
      </c>
      <c r="AE82" s="50">
        <f t="shared" si="3"/>
        <v>30</v>
      </c>
      <c r="AF82" s="48">
        <f>'KEMAMPUAN PRAKTIKUM'!H82</f>
        <v>30</v>
      </c>
      <c r="AG82" s="49">
        <f>'KEMAMPUAN PRAKTIKUM'!M82</f>
        <v>48</v>
      </c>
      <c r="AH82" s="49">
        <f>'KEMAMPUAN PRAKTIKUM'!R82</f>
        <v>30</v>
      </c>
      <c r="AI82" s="50">
        <f>'KEMAMPUAN PRAKTIKUM'!W82</f>
        <v>30</v>
      </c>
      <c r="AJ82" s="49">
        <f>'KEMAMPUAN PRAKTIKUM'!AB82</f>
        <v>30</v>
      </c>
      <c r="AK82" s="50">
        <f>'KEMAMPUAN PRAKTIKUM'!AG82</f>
        <v>75</v>
      </c>
      <c r="AL82" s="49">
        <f>'KEMAMPUAN PRAKTIKUM'!AL82</f>
        <v>30</v>
      </c>
      <c r="AM82" s="49">
        <f>'KEMAMPUAN PRAKTIKUM'!AQ82</f>
        <v>57</v>
      </c>
      <c r="AN82" s="25">
        <f t="shared" si="4"/>
        <v>41.25</v>
      </c>
    </row>
    <row r="83">
      <c r="A83" s="21">
        <f>'INPUT DAFTAR PESERTA'!A81</f>
        <v>78</v>
      </c>
      <c r="B83" s="21">
        <f>'INPUT DAFTAR PESERTA'!B81</f>
        <v>2509046062</v>
      </c>
      <c r="C83" s="22" t="str">
        <f>'INPUT DAFTAR PESERTA'!C81</f>
        <v>Rendi Sidebang</v>
      </c>
      <c r="D83" s="23">
        <v>100.0</v>
      </c>
      <c r="E83" s="23">
        <v>100.0</v>
      </c>
      <c r="F83" s="23">
        <v>100.0</v>
      </c>
      <c r="G83" s="23">
        <v>100.0</v>
      </c>
      <c r="H83" s="23">
        <v>100.0</v>
      </c>
      <c r="I83" s="23">
        <v>100.0</v>
      </c>
      <c r="J83" s="23">
        <v>100.0</v>
      </c>
      <c r="K83" s="23">
        <v>100.0</v>
      </c>
      <c r="L83" s="48">
        <f t="shared" si="1"/>
        <v>100</v>
      </c>
      <c r="M83" s="25">
        <f>'PENULISAN LAPORAN'!N82</f>
        <v>47.03125</v>
      </c>
      <c r="N83" s="59" t="s">
        <v>150</v>
      </c>
      <c r="O83" s="59" t="s">
        <v>150</v>
      </c>
      <c r="P83" s="59" t="s">
        <v>150</v>
      </c>
      <c r="Q83" s="59" t="s">
        <v>150</v>
      </c>
      <c r="R83" s="59" t="s">
        <v>150</v>
      </c>
      <c r="S83" s="59" t="s">
        <v>150</v>
      </c>
      <c r="T83" s="59" t="s">
        <v>150</v>
      </c>
      <c r="U83" s="59" t="s">
        <v>150</v>
      </c>
      <c r="V83" s="25">
        <f t="shared" si="2"/>
        <v>88</v>
      </c>
      <c r="W83" s="23">
        <v>30.0</v>
      </c>
      <c r="X83" s="23">
        <v>30.0</v>
      </c>
      <c r="Y83" s="23">
        <v>30.0</v>
      </c>
      <c r="Z83" s="23">
        <v>70.0</v>
      </c>
      <c r="AA83" s="23">
        <v>70.0</v>
      </c>
      <c r="AB83" s="23">
        <v>30.0</v>
      </c>
      <c r="AC83" s="23">
        <v>60.0</v>
      </c>
      <c r="AD83" s="23">
        <v>0.0</v>
      </c>
      <c r="AE83" s="50">
        <f t="shared" si="3"/>
        <v>40</v>
      </c>
      <c r="AF83" s="48">
        <f>'KEMAMPUAN PRAKTIKUM'!H83</f>
        <v>60</v>
      </c>
      <c r="AG83" s="49">
        <f>'KEMAMPUAN PRAKTIKUM'!M83</f>
        <v>57</v>
      </c>
      <c r="AH83" s="49">
        <f>'KEMAMPUAN PRAKTIKUM'!R83</f>
        <v>69</v>
      </c>
      <c r="AI83" s="50">
        <f>'KEMAMPUAN PRAKTIKUM'!W83</f>
        <v>60</v>
      </c>
      <c r="AJ83" s="49">
        <f>'KEMAMPUAN PRAKTIKUM'!AB83</f>
        <v>60</v>
      </c>
      <c r="AK83" s="50">
        <f>'KEMAMPUAN PRAKTIKUM'!AG83</f>
        <v>75</v>
      </c>
      <c r="AL83" s="49">
        <f>'KEMAMPUAN PRAKTIKUM'!AL83</f>
        <v>57</v>
      </c>
      <c r="AM83" s="49">
        <f>'KEMAMPUAN PRAKTIKUM'!AQ83</f>
        <v>0</v>
      </c>
      <c r="AN83" s="25">
        <f t="shared" si="4"/>
        <v>54.75</v>
      </c>
    </row>
    <row r="84">
      <c r="A84" s="21">
        <f>'INPUT DAFTAR PESERTA'!A82</f>
        <v>79</v>
      </c>
      <c r="B84" s="21">
        <f>'INPUT DAFTAR PESERTA'!B82</f>
        <v>2509046063</v>
      </c>
      <c r="C84" s="22" t="str">
        <f>'INPUT DAFTAR PESERTA'!C82</f>
        <v>Panca Vito Anandio</v>
      </c>
      <c r="D84" s="23">
        <v>100.0</v>
      </c>
      <c r="E84" s="23">
        <v>100.0</v>
      </c>
      <c r="F84" s="23">
        <v>100.0</v>
      </c>
      <c r="G84" s="50"/>
      <c r="H84" s="23">
        <v>100.0</v>
      </c>
      <c r="I84" s="23">
        <v>100.0</v>
      </c>
      <c r="J84" s="50"/>
      <c r="K84" s="23">
        <v>100.0</v>
      </c>
      <c r="L84" s="48">
        <f t="shared" si="1"/>
        <v>75</v>
      </c>
      <c r="M84" s="25">
        <f>'PENULISAN LAPORAN'!N83</f>
        <v>5.0625</v>
      </c>
      <c r="N84" s="59" t="s">
        <v>147</v>
      </c>
      <c r="O84" s="59" t="s">
        <v>147</v>
      </c>
      <c r="P84" s="59" t="s">
        <v>147</v>
      </c>
      <c r="Q84" s="59" t="s">
        <v>147</v>
      </c>
      <c r="R84" s="59" t="s">
        <v>147</v>
      </c>
      <c r="S84" s="59" t="s">
        <v>147</v>
      </c>
      <c r="T84" s="59" t="s">
        <v>147</v>
      </c>
      <c r="U84" s="59" t="s">
        <v>147</v>
      </c>
      <c r="V84" s="25">
        <f t="shared" si="2"/>
        <v>100</v>
      </c>
      <c r="W84" s="23">
        <v>60.0</v>
      </c>
      <c r="X84" s="23">
        <v>30.0</v>
      </c>
      <c r="Y84" s="50"/>
      <c r="Z84" s="50"/>
      <c r="AA84" s="23">
        <v>0.0</v>
      </c>
      <c r="AB84" s="50"/>
      <c r="AC84" s="23">
        <v>0.0</v>
      </c>
      <c r="AD84" s="50"/>
      <c r="AE84" s="50">
        <f t="shared" si="3"/>
        <v>11.25</v>
      </c>
      <c r="AF84" s="48">
        <f>'KEMAMPUAN PRAKTIKUM'!H84</f>
        <v>36</v>
      </c>
      <c r="AG84" s="49">
        <f>'KEMAMPUAN PRAKTIKUM'!M84</f>
        <v>54</v>
      </c>
      <c r="AH84" s="49">
        <f>'KEMAMPUAN PRAKTIKUM'!R84</f>
        <v>0</v>
      </c>
      <c r="AI84" s="50">
        <f>'KEMAMPUAN PRAKTIKUM'!W84</f>
        <v>0</v>
      </c>
      <c r="AJ84" s="49">
        <f>'KEMAMPUAN PRAKTIKUM'!AB84</f>
        <v>30</v>
      </c>
      <c r="AK84" s="50">
        <f>'KEMAMPUAN PRAKTIKUM'!AG84</f>
        <v>75</v>
      </c>
      <c r="AL84" s="49">
        <f>'KEMAMPUAN PRAKTIKUM'!AL84</f>
        <v>0</v>
      </c>
      <c r="AM84" s="49">
        <f>'KEMAMPUAN PRAKTIKUM'!AQ84</f>
        <v>0</v>
      </c>
      <c r="AN84" s="25">
        <f t="shared" si="4"/>
        <v>24.375</v>
      </c>
    </row>
    <row r="85">
      <c r="A85" s="21">
        <f>'INPUT DAFTAR PESERTA'!A83</f>
        <v>80</v>
      </c>
      <c r="B85" s="21">
        <f>'INPUT DAFTAR PESERTA'!B83</f>
        <v>2509046064</v>
      </c>
      <c r="C85" s="22" t="str">
        <f>'INPUT DAFTAR PESERTA'!C83</f>
        <v>Nabila Lestari</v>
      </c>
      <c r="D85" s="23">
        <v>100.0</v>
      </c>
      <c r="E85" s="23">
        <v>100.0</v>
      </c>
      <c r="F85" s="23">
        <v>100.0</v>
      </c>
      <c r="G85" s="23">
        <v>100.0</v>
      </c>
      <c r="H85" s="23">
        <v>100.0</v>
      </c>
      <c r="I85" s="23">
        <v>100.0</v>
      </c>
      <c r="J85" s="23">
        <v>100.0</v>
      </c>
      <c r="K85" s="23">
        <v>100.0</v>
      </c>
      <c r="L85" s="48">
        <f t="shared" si="1"/>
        <v>100</v>
      </c>
      <c r="M85" s="25">
        <f>'PENULISAN LAPORAN'!N84</f>
        <v>33.78125</v>
      </c>
      <c r="N85" s="59" t="s">
        <v>148</v>
      </c>
      <c r="O85" s="59" t="s">
        <v>148</v>
      </c>
      <c r="P85" s="59" t="s">
        <v>148</v>
      </c>
      <c r="Q85" s="59" t="s">
        <v>148</v>
      </c>
      <c r="R85" s="59" t="s">
        <v>148</v>
      </c>
      <c r="S85" s="59" t="s">
        <v>148</v>
      </c>
      <c r="T85" s="59" t="s">
        <v>148</v>
      </c>
      <c r="U85" s="59" t="s">
        <v>148</v>
      </c>
      <c r="V85" s="25">
        <f t="shared" si="2"/>
        <v>94</v>
      </c>
      <c r="W85" s="23">
        <v>70.0</v>
      </c>
      <c r="X85" s="23">
        <v>30.0</v>
      </c>
      <c r="Y85" s="23">
        <v>80.0</v>
      </c>
      <c r="Z85" s="23">
        <v>70.0</v>
      </c>
      <c r="AA85" s="23">
        <v>30.0</v>
      </c>
      <c r="AB85" s="23">
        <v>30.0</v>
      </c>
      <c r="AC85" s="23">
        <v>0.0</v>
      </c>
      <c r="AD85" s="23">
        <v>80.0</v>
      </c>
      <c r="AE85" s="50">
        <f t="shared" si="3"/>
        <v>48.75</v>
      </c>
      <c r="AF85" s="48">
        <f>'KEMAMPUAN PRAKTIKUM'!H85</f>
        <v>42</v>
      </c>
      <c r="AG85" s="49">
        <f>'KEMAMPUAN PRAKTIKUM'!M85</f>
        <v>54</v>
      </c>
      <c r="AH85" s="49">
        <f>'KEMAMPUAN PRAKTIKUM'!R85</f>
        <v>60</v>
      </c>
      <c r="AI85" s="50">
        <f>'KEMAMPUAN PRAKTIKUM'!W85</f>
        <v>57</v>
      </c>
      <c r="AJ85" s="49">
        <f>'KEMAMPUAN PRAKTIKUM'!AB85</f>
        <v>45</v>
      </c>
      <c r="AK85" s="50">
        <f>'KEMAMPUAN PRAKTIKUM'!AG85</f>
        <v>60</v>
      </c>
      <c r="AL85" s="49">
        <f>'KEMAMPUAN PRAKTIKUM'!AL85</f>
        <v>57</v>
      </c>
      <c r="AM85" s="49">
        <f>'KEMAMPUAN PRAKTIKUM'!AQ85</f>
        <v>60</v>
      </c>
      <c r="AN85" s="25">
        <f t="shared" si="4"/>
        <v>54.375</v>
      </c>
    </row>
    <row r="86">
      <c r="A86" s="21">
        <f>'INPUT DAFTAR PESERTA'!A84</f>
        <v>81</v>
      </c>
      <c r="B86" s="21">
        <f>'INPUT DAFTAR PESERTA'!B84</f>
        <v>2509046065</v>
      </c>
      <c r="C86" s="22" t="str">
        <f>'INPUT DAFTAR PESERTA'!C84</f>
        <v>Muhammad Mudrikah Salim</v>
      </c>
      <c r="D86" s="50"/>
      <c r="E86" s="50"/>
      <c r="F86" s="50"/>
      <c r="G86" s="50"/>
      <c r="H86" s="23">
        <v>100.0</v>
      </c>
      <c r="I86" s="23">
        <v>100.0</v>
      </c>
      <c r="J86" s="50"/>
      <c r="K86" s="23">
        <v>100.0</v>
      </c>
      <c r="L86" s="48">
        <f t="shared" si="1"/>
        <v>37.5</v>
      </c>
      <c r="M86" s="25">
        <f>'PENULISAN LAPORAN'!N85</f>
        <v>0</v>
      </c>
      <c r="N86" s="23">
        <v>0.0</v>
      </c>
      <c r="O86" s="23">
        <v>0.0</v>
      </c>
      <c r="P86" s="23">
        <v>0.0</v>
      </c>
      <c r="Q86" s="23">
        <v>0.0</v>
      </c>
      <c r="R86" s="23">
        <v>0.0</v>
      </c>
      <c r="S86" s="23">
        <v>0.0</v>
      </c>
      <c r="T86" s="23">
        <v>0.0</v>
      </c>
      <c r="U86" s="23">
        <v>0.0</v>
      </c>
      <c r="V86" s="25">
        <f t="shared" si="2"/>
        <v>0</v>
      </c>
      <c r="W86" s="23">
        <v>30.0</v>
      </c>
      <c r="X86" s="23">
        <v>0.0</v>
      </c>
      <c r="Y86" s="50"/>
      <c r="Z86" s="50"/>
      <c r="AA86" s="23">
        <v>0.0</v>
      </c>
      <c r="AB86" s="50"/>
      <c r="AC86" s="23">
        <v>0.0</v>
      </c>
      <c r="AD86" s="50"/>
      <c r="AE86" s="50">
        <f t="shared" si="3"/>
        <v>3.75</v>
      </c>
      <c r="AF86" s="48">
        <f>'KEMAMPUAN PRAKTIKUM'!H86</f>
        <v>0</v>
      </c>
      <c r="AG86" s="49">
        <f>'KEMAMPUAN PRAKTIKUM'!M86</f>
        <v>0</v>
      </c>
      <c r="AH86" s="49">
        <f>'KEMAMPUAN PRAKTIKUM'!R86</f>
        <v>0</v>
      </c>
      <c r="AI86" s="50">
        <f>'KEMAMPUAN PRAKTIKUM'!W86</f>
        <v>0</v>
      </c>
      <c r="AJ86" s="49">
        <f>'KEMAMPUAN PRAKTIKUM'!AB86</f>
        <v>30</v>
      </c>
      <c r="AK86" s="50">
        <f>'KEMAMPUAN PRAKTIKUM'!AG86</f>
        <v>0</v>
      </c>
      <c r="AL86" s="49">
        <f>'KEMAMPUAN PRAKTIKUM'!AL86</f>
        <v>0</v>
      </c>
      <c r="AM86" s="49">
        <f>'KEMAMPUAN PRAKTIKUM'!AQ86</f>
        <v>0</v>
      </c>
      <c r="AN86" s="25">
        <f t="shared" si="4"/>
        <v>3.75</v>
      </c>
    </row>
    <row r="87">
      <c r="A87" s="21">
        <f>'INPUT DAFTAR PESERTA'!A85</f>
        <v>82</v>
      </c>
      <c r="B87" s="21">
        <f>'INPUT DAFTAR PESERTA'!B85</f>
        <v>2509046066</v>
      </c>
      <c r="C87" s="22" t="str">
        <f>'INPUT DAFTAR PESERTA'!C85</f>
        <v>Nisriina Nahdah Hizbullah</v>
      </c>
      <c r="D87" s="23">
        <v>100.0</v>
      </c>
      <c r="E87" s="23">
        <v>100.0</v>
      </c>
      <c r="F87" s="23">
        <v>100.0</v>
      </c>
      <c r="G87" s="23">
        <v>100.0</v>
      </c>
      <c r="H87" s="23">
        <v>100.0</v>
      </c>
      <c r="I87" s="23">
        <v>100.0</v>
      </c>
      <c r="J87" s="23">
        <v>100.0</v>
      </c>
      <c r="K87" s="23">
        <v>100.0</v>
      </c>
      <c r="L87" s="48">
        <f t="shared" si="1"/>
        <v>100</v>
      </c>
      <c r="M87" s="25">
        <f>'PENULISAN LAPORAN'!N86</f>
        <v>40.9375</v>
      </c>
      <c r="N87" s="23">
        <v>84.0</v>
      </c>
      <c r="O87" s="23">
        <v>84.0</v>
      </c>
      <c r="P87" s="23">
        <v>84.0</v>
      </c>
      <c r="Q87" s="23">
        <v>84.0</v>
      </c>
      <c r="R87" s="23">
        <v>84.0</v>
      </c>
      <c r="S87" s="23">
        <v>84.0</v>
      </c>
      <c r="T87" s="23">
        <v>84.0</v>
      </c>
      <c r="U87" s="23">
        <v>84.0</v>
      </c>
      <c r="V87" s="25">
        <f t="shared" si="2"/>
        <v>84</v>
      </c>
      <c r="W87" s="23">
        <v>30.0</v>
      </c>
      <c r="X87" s="23">
        <v>60.0</v>
      </c>
      <c r="Y87" s="23">
        <v>80.0</v>
      </c>
      <c r="Z87" s="23">
        <v>70.0</v>
      </c>
      <c r="AA87" s="23">
        <v>30.0</v>
      </c>
      <c r="AB87" s="23">
        <v>60.0</v>
      </c>
      <c r="AC87" s="23">
        <v>60.0</v>
      </c>
      <c r="AD87" s="23">
        <v>80.0</v>
      </c>
      <c r="AE87" s="50">
        <f t="shared" si="3"/>
        <v>58.75</v>
      </c>
      <c r="AF87" s="48">
        <f>'KEMAMPUAN PRAKTIKUM'!H87</f>
        <v>75</v>
      </c>
      <c r="AG87" s="49">
        <f>'KEMAMPUAN PRAKTIKUM'!M87</f>
        <v>54</v>
      </c>
      <c r="AH87" s="49">
        <f>'KEMAMPUAN PRAKTIKUM'!R87</f>
        <v>60</v>
      </c>
      <c r="AI87" s="50">
        <f>'KEMAMPUAN PRAKTIKUM'!W87</f>
        <v>57</v>
      </c>
      <c r="AJ87" s="49">
        <f>'KEMAMPUAN PRAKTIKUM'!AB87</f>
        <v>60</v>
      </c>
      <c r="AK87" s="50">
        <f>'KEMAMPUAN PRAKTIKUM'!AG87</f>
        <v>60</v>
      </c>
      <c r="AL87" s="49">
        <f>'KEMAMPUAN PRAKTIKUM'!AL87</f>
        <v>0</v>
      </c>
      <c r="AM87" s="49">
        <f>'KEMAMPUAN PRAKTIKUM'!AQ87</f>
        <v>60</v>
      </c>
      <c r="AN87" s="25">
        <f t="shared" si="4"/>
        <v>53.25</v>
      </c>
    </row>
    <row r="88">
      <c r="A88" s="21">
        <f>'INPUT DAFTAR PESERTA'!A86</f>
        <v>83</v>
      </c>
      <c r="B88" s="21">
        <f>'INPUT DAFTAR PESERTA'!B86</f>
        <v>2509046067</v>
      </c>
      <c r="C88" s="22" t="str">
        <f>'INPUT DAFTAR PESERTA'!C86</f>
        <v>Rhooid Azzaky</v>
      </c>
      <c r="D88" s="50"/>
      <c r="E88" s="50"/>
      <c r="F88" s="50"/>
      <c r="G88" s="50"/>
      <c r="H88" s="23">
        <v>100.0</v>
      </c>
      <c r="I88" s="23">
        <v>100.0</v>
      </c>
      <c r="J88" s="50"/>
      <c r="K88" s="23">
        <v>100.0</v>
      </c>
      <c r="L88" s="48">
        <f t="shared" si="1"/>
        <v>37.5</v>
      </c>
      <c r="M88" s="25">
        <f>'PENULISAN LAPORAN'!N87</f>
        <v>4.75</v>
      </c>
      <c r="N88" s="23">
        <v>0.0</v>
      </c>
      <c r="O88" s="23">
        <v>0.0</v>
      </c>
      <c r="P88" s="23">
        <v>0.0</v>
      </c>
      <c r="Q88" s="23">
        <v>0.0</v>
      </c>
      <c r="R88" s="23">
        <v>0.0</v>
      </c>
      <c r="S88" s="23">
        <v>0.0</v>
      </c>
      <c r="T88" s="23">
        <v>0.0</v>
      </c>
      <c r="U88" s="23">
        <v>0.0</v>
      </c>
      <c r="V88" s="25">
        <f t="shared" si="2"/>
        <v>0</v>
      </c>
      <c r="W88" s="23">
        <v>30.0</v>
      </c>
      <c r="X88" s="23">
        <v>0.0</v>
      </c>
      <c r="Y88" s="50"/>
      <c r="Z88" s="50"/>
      <c r="AA88" s="23">
        <v>0.0</v>
      </c>
      <c r="AB88" s="50"/>
      <c r="AC88" s="23">
        <v>60.0</v>
      </c>
      <c r="AD88" s="50"/>
      <c r="AE88" s="50">
        <f t="shared" si="3"/>
        <v>11.25</v>
      </c>
      <c r="AF88" s="48">
        <f>'KEMAMPUAN PRAKTIKUM'!H88</f>
        <v>0</v>
      </c>
      <c r="AG88" s="49">
        <f>'KEMAMPUAN PRAKTIKUM'!M88</f>
        <v>0</v>
      </c>
      <c r="AH88" s="49">
        <f>'KEMAMPUAN PRAKTIKUM'!R88</f>
        <v>0</v>
      </c>
      <c r="AI88" s="50">
        <f>'KEMAMPUAN PRAKTIKUM'!W88</f>
        <v>0</v>
      </c>
      <c r="AJ88" s="49">
        <f>'KEMAMPUAN PRAKTIKUM'!AB88</f>
        <v>30</v>
      </c>
      <c r="AK88" s="50">
        <f>'KEMAMPUAN PRAKTIKUM'!AG88</f>
        <v>75</v>
      </c>
      <c r="AL88" s="49">
        <f>'KEMAMPUAN PRAKTIKUM'!AL88</f>
        <v>57</v>
      </c>
      <c r="AM88" s="49">
        <f>'KEMAMPUAN PRAKTIKUM'!AQ88</f>
        <v>0</v>
      </c>
      <c r="AN88" s="25">
        <f t="shared" si="4"/>
        <v>20.25</v>
      </c>
    </row>
    <row r="89">
      <c r="A89" s="21">
        <f>'INPUT DAFTAR PESERTA'!A87</f>
        <v>84</v>
      </c>
      <c r="B89" s="21">
        <f>'INPUT DAFTAR PESERTA'!B87</f>
        <v>2509046068</v>
      </c>
      <c r="C89" s="22" t="str">
        <f>'INPUT DAFTAR PESERTA'!C87</f>
        <v>Olga Agnes Violeta Simatupang</v>
      </c>
      <c r="D89" s="50"/>
      <c r="E89" s="23">
        <v>100.0</v>
      </c>
      <c r="F89" s="23">
        <v>100.0</v>
      </c>
      <c r="G89" s="23">
        <v>0.0</v>
      </c>
      <c r="H89" s="23">
        <v>100.0</v>
      </c>
      <c r="I89" s="23">
        <v>100.0</v>
      </c>
      <c r="J89" s="23">
        <v>100.0</v>
      </c>
      <c r="K89" s="23">
        <v>100.0</v>
      </c>
      <c r="L89" s="48">
        <f t="shared" si="1"/>
        <v>75</v>
      </c>
      <c r="M89" s="25">
        <f>'PENULISAN LAPORAN'!N88</f>
        <v>25.375</v>
      </c>
      <c r="N89" s="23">
        <v>96.0</v>
      </c>
      <c r="O89" s="23">
        <v>96.0</v>
      </c>
      <c r="P89" s="23">
        <v>96.0</v>
      </c>
      <c r="Q89" s="23">
        <v>96.0</v>
      </c>
      <c r="R89" s="23">
        <v>96.0</v>
      </c>
      <c r="S89" s="23">
        <v>96.0</v>
      </c>
      <c r="T89" s="23">
        <v>96.0</v>
      </c>
      <c r="U89" s="23">
        <v>96.0</v>
      </c>
      <c r="V89" s="25">
        <f t="shared" si="2"/>
        <v>96</v>
      </c>
      <c r="W89" s="23">
        <v>0.0</v>
      </c>
      <c r="X89" s="23">
        <v>30.0</v>
      </c>
      <c r="Y89" s="23">
        <v>30.0</v>
      </c>
      <c r="Z89" s="23">
        <v>0.0</v>
      </c>
      <c r="AA89" s="23">
        <v>30.0</v>
      </c>
      <c r="AB89" s="23">
        <v>0.0</v>
      </c>
      <c r="AC89" s="23">
        <v>0.0</v>
      </c>
      <c r="AD89" s="23">
        <v>30.0</v>
      </c>
      <c r="AE89" s="50">
        <f t="shared" si="3"/>
        <v>15</v>
      </c>
      <c r="AF89" s="48">
        <f>'KEMAMPUAN PRAKTIKUM'!H89</f>
        <v>0</v>
      </c>
      <c r="AG89" s="49">
        <f>'KEMAMPUAN PRAKTIKUM'!M89</f>
        <v>57</v>
      </c>
      <c r="AH89" s="49">
        <f>'KEMAMPUAN PRAKTIKUM'!R89</f>
        <v>0</v>
      </c>
      <c r="AI89" s="50">
        <f>'KEMAMPUAN PRAKTIKUM'!W89</f>
        <v>0</v>
      </c>
      <c r="AJ89" s="49">
        <f>'KEMAMPUAN PRAKTIKUM'!AB89</f>
        <v>30</v>
      </c>
      <c r="AK89" s="50">
        <f>'KEMAMPUAN PRAKTIKUM'!AG89</f>
        <v>75</v>
      </c>
      <c r="AL89" s="49">
        <f>'KEMAMPUAN PRAKTIKUM'!AL89</f>
        <v>87</v>
      </c>
      <c r="AM89" s="49">
        <f>'KEMAMPUAN PRAKTIKUM'!AQ89</f>
        <v>57</v>
      </c>
      <c r="AN89" s="25">
        <f t="shared" si="4"/>
        <v>38.25</v>
      </c>
    </row>
    <row r="90">
      <c r="A90" s="21">
        <f>'INPUT DAFTAR PESERTA'!A88</f>
        <v>85</v>
      </c>
      <c r="B90" s="21">
        <f>'INPUT DAFTAR PESERTA'!B88</f>
        <v>2509046070</v>
      </c>
      <c r="C90" s="22" t="str">
        <f>'INPUT DAFTAR PESERTA'!C88</f>
        <v>Muhammad Ibrahim Habibullah</v>
      </c>
      <c r="D90" s="50"/>
      <c r="E90" s="23">
        <v>100.0</v>
      </c>
      <c r="F90" s="23">
        <v>100.0</v>
      </c>
      <c r="G90" s="50"/>
      <c r="H90" s="23">
        <v>100.0</v>
      </c>
      <c r="I90" s="23">
        <v>100.0</v>
      </c>
      <c r="J90" s="50"/>
      <c r="K90" s="23">
        <v>100.0</v>
      </c>
      <c r="L90" s="48">
        <f t="shared" si="1"/>
        <v>62.5</v>
      </c>
      <c r="M90" s="25">
        <f>'PENULISAN LAPORAN'!N89</f>
        <v>2.4375</v>
      </c>
      <c r="N90" s="23">
        <v>88.0</v>
      </c>
      <c r="O90" s="23">
        <v>88.0</v>
      </c>
      <c r="P90" s="23">
        <v>88.0</v>
      </c>
      <c r="Q90" s="23">
        <v>88.0</v>
      </c>
      <c r="R90" s="23">
        <v>88.0</v>
      </c>
      <c r="S90" s="23">
        <v>88.0</v>
      </c>
      <c r="T90" s="23">
        <v>88.0</v>
      </c>
      <c r="U90" s="23">
        <v>88.0</v>
      </c>
      <c r="V90" s="25">
        <f t="shared" si="2"/>
        <v>88</v>
      </c>
      <c r="W90" s="23">
        <v>30.0</v>
      </c>
      <c r="X90" s="23">
        <v>30.0</v>
      </c>
      <c r="Y90" s="50"/>
      <c r="Z90" s="50"/>
      <c r="AA90" s="23">
        <v>0.0</v>
      </c>
      <c r="AB90" s="50"/>
      <c r="AC90" s="23">
        <v>0.0</v>
      </c>
      <c r="AD90" s="50"/>
      <c r="AE90" s="50">
        <f t="shared" si="3"/>
        <v>7.5</v>
      </c>
      <c r="AF90" s="48">
        <f>'KEMAMPUAN PRAKTIKUM'!H90</f>
        <v>0</v>
      </c>
      <c r="AG90" s="49">
        <f>'KEMAMPUAN PRAKTIKUM'!M90</f>
        <v>15</v>
      </c>
      <c r="AH90" s="49">
        <f>'KEMAMPUAN PRAKTIKUM'!R90</f>
        <v>0</v>
      </c>
      <c r="AI90" s="50">
        <f>'KEMAMPUAN PRAKTIKUM'!W90</f>
        <v>0</v>
      </c>
      <c r="AJ90" s="49">
        <f>'KEMAMPUAN PRAKTIKUM'!AB90</f>
        <v>30</v>
      </c>
      <c r="AK90" s="50">
        <f>'KEMAMPUAN PRAKTIKUM'!AG90</f>
        <v>0</v>
      </c>
      <c r="AL90" s="49">
        <f>'KEMAMPUAN PRAKTIKUM'!AL90</f>
        <v>0</v>
      </c>
      <c r="AM90" s="49">
        <f>'KEMAMPUAN PRAKTIKUM'!AQ90</f>
        <v>0</v>
      </c>
      <c r="AN90" s="25">
        <f t="shared" si="4"/>
        <v>5.625</v>
      </c>
    </row>
    <row r="91">
      <c r="A91" s="21">
        <f>'INPUT DAFTAR PESERTA'!A89</f>
        <v>86</v>
      </c>
      <c r="B91" s="21">
        <f>'INPUT DAFTAR PESERTA'!B89</f>
        <v>2509046071</v>
      </c>
      <c r="C91" s="22" t="str">
        <f>'INPUT DAFTAR PESERTA'!C89</f>
        <v>M. Ali Dinar</v>
      </c>
      <c r="D91" s="50"/>
      <c r="E91" s="50"/>
      <c r="F91" s="50"/>
      <c r="G91" s="50"/>
      <c r="H91" s="23">
        <v>100.0</v>
      </c>
      <c r="I91" s="23">
        <v>100.0</v>
      </c>
      <c r="J91" s="50"/>
      <c r="K91" s="23">
        <v>100.0</v>
      </c>
      <c r="L91" s="48">
        <f t="shared" si="1"/>
        <v>37.5</v>
      </c>
      <c r="M91" s="25">
        <f>'PENULISAN LAPORAN'!N90</f>
        <v>0</v>
      </c>
      <c r="N91" s="23">
        <v>0.0</v>
      </c>
      <c r="O91" s="23">
        <v>0.0</v>
      </c>
      <c r="P91" s="23">
        <v>0.0</v>
      </c>
      <c r="Q91" s="23">
        <v>0.0</v>
      </c>
      <c r="R91" s="23">
        <v>0.0</v>
      </c>
      <c r="S91" s="23">
        <v>0.0</v>
      </c>
      <c r="T91" s="23">
        <v>0.0</v>
      </c>
      <c r="U91" s="23">
        <v>0.0</v>
      </c>
      <c r="V91" s="25">
        <f t="shared" si="2"/>
        <v>0</v>
      </c>
      <c r="W91" s="23">
        <v>30.0</v>
      </c>
      <c r="X91" s="23">
        <v>0.0</v>
      </c>
      <c r="Y91" s="50"/>
      <c r="Z91" s="50"/>
      <c r="AA91" s="23">
        <v>0.0</v>
      </c>
      <c r="AB91" s="50"/>
      <c r="AC91" s="23">
        <v>0.0</v>
      </c>
      <c r="AD91" s="50"/>
      <c r="AE91" s="50">
        <f t="shared" si="3"/>
        <v>3.75</v>
      </c>
      <c r="AF91" s="48">
        <f>'KEMAMPUAN PRAKTIKUM'!H91</f>
        <v>0</v>
      </c>
      <c r="AG91" s="49">
        <f>'KEMAMPUAN PRAKTIKUM'!M91</f>
        <v>0</v>
      </c>
      <c r="AH91" s="49">
        <f>'KEMAMPUAN PRAKTIKUM'!R91</f>
        <v>0</v>
      </c>
      <c r="AI91" s="50">
        <f>'KEMAMPUAN PRAKTIKUM'!W91</f>
        <v>0</v>
      </c>
      <c r="AJ91" s="49">
        <f>'KEMAMPUAN PRAKTIKUM'!AB91</f>
        <v>30</v>
      </c>
      <c r="AK91" s="50">
        <f>'KEMAMPUAN PRAKTIKUM'!AG91</f>
        <v>0</v>
      </c>
      <c r="AL91" s="49">
        <f>'KEMAMPUAN PRAKTIKUM'!AL91</f>
        <v>0</v>
      </c>
      <c r="AM91" s="49">
        <f>'KEMAMPUAN PRAKTIKUM'!AQ91</f>
        <v>0</v>
      </c>
      <c r="AN91" s="25">
        <f t="shared" si="4"/>
        <v>3.75</v>
      </c>
    </row>
    <row r="92">
      <c r="A92" s="21">
        <f>'INPUT DAFTAR PESERTA'!A90</f>
        <v>87</v>
      </c>
      <c r="B92" s="21">
        <f>'INPUT DAFTAR PESERTA'!B90</f>
        <v>2509046072</v>
      </c>
      <c r="C92" s="22" t="str">
        <f>'INPUT DAFTAR PESERTA'!C90</f>
        <v>Julianitha Tabitha Angi</v>
      </c>
      <c r="D92" s="50"/>
      <c r="E92" s="50"/>
      <c r="F92" s="23">
        <v>100.0</v>
      </c>
      <c r="G92" s="23">
        <v>100.0</v>
      </c>
      <c r="H92" s="23">
        <v>100.0</v>
      </c>
      <c r="I92" s="23">
        <v>100.0</v>
      </c>
      <c r="J92" s="23"/>
      <c r="K92" s="23">
        <v>100.0</v>
      </c>
      <c r="L92" s="48">
        <f t="shared" si="1"/>
        <v>62.5</v>
      </c>
      <c r="M92" s="25">
        <f>'PENULISAN LAPORAN'!N91</f>
        <v>34.125</v>
      </c>
      <c r="N92" s="23">
        <v>82.0</v>
      </c>
      <c r="O92" s="23">
        <v>82.0</v>
      </c>
      <c r="P92" s="23">
        <v>82.0</v>
      </c>
      <c r="Q92" s="23">
        <v>82.0</v>
      </c>
      <c r="R92" s="23">
        <v>82.0</v>
      </c>
      <c r="S92" s="23">
        <v>82.0</v>
      </c>
      <c r="T92" s="23">
        <v>82.0</v>
      </c>
      <c r="U92" s="23">
        <v>82.0</v>
      </c>
      <c r="V92" s="25">
        <f t="shared" si="2"/>
        <v>82</v>
      </c>
      <c r="W92" s="23">
        <v>30.0</v>
      </c>
      <c r="X92" s="23">
        <v>30.0</v>
      </c>
      <c r="Y92" s="23">
        <v>30.0</v>
      </c>
      <c r="Z92" s="23">
        <v>70.0</v>
      </c>
      <c r="AA92" s="23">
        <v>70.0</v>
      </c>
      <c r="AB92" s="23">
        <v>0.0</v>
      </c>
      <c r="AC92" s="23">
        <v>0.0</v>
      </c>
      <c r="AD92" s="23">
        <v>30.0</v>
      </c>
      <c r="AE92" s="50">
        <f t="shared" si="3"/>
        <v>32.5</v>
      </c>
      <c r="AF92" s="48">
        <f>'KEMAMPUAN PRAKTIKUM'!H92</f>
        <v>0</v>
      </c>
      <c r="AG92" s="49">
        <f>'KEMAMPUAN PRAKTIKUM'!M92</f>
        <v>0</v>
      </c>
      <c r="AH92" s="49">
        <f>'KEMAMPUAN PRAKTIKUM'!R92</f>
        <v>0</v>
      </c>
      <c r="AI92" s="50">
        <f>'KEMAMPUAN PRAKTIKUM'!W92</f>
        <v>72</v>
      </c>
      <c r="AJ92" s="49">
        <f>'KEMAMPUAN PRAKTIKUM'!AB92</f>
        <v>45</v>
      </c>
      <c r="AK92" s="50">
        <f>'KEMAMPUAN PRAKTIKUM'!AG92</f>
        <v>63</v>
      </c>
      <c r="AL92" s="49">
        <f>'KEMAMPUAN PRAKTIKUM'!AL92</f>
        <v>60</v>
      </c>
      <c r="AM92" s="49">
        <f>'KEMAMPUAN PRAKTIKUM'!AQ92</f>
        <v>0</v>
      </c>
      <c r="AN92" s="25">
        <f t="shared" si="4"/>
        <v>30</v>
      </c>
    </row>
    <row r="93">
      <c r="A93" s="21">
        <f>'INPUT DAFTAR PESERTA'!A91</f>
        <v>88</v>
      </c>
      <c r="B93" s="21">
        <f>'INPUT DAFTAR PESERTA'!B91</f>
        <v>2509046073</v>
      </c>
      <c r="C93" s="22" t="str">
        <f>'INPUT DAFTAR PESERTA'!C91</f>
        <v>Sayyid Ahmad Raihan</v>
      </c>
      <c r="D93" s="50"/>
      <c r="E93" s="50"/>
      <c r="F93" s="50"/>
      <c r="G93" s="50"/>
      <c r="H93" s="23">
        <v>100.0</v>
      </c>
      <c r="I93" s="23">
        <v>100.0</v>
      </c>
      <c r="J93" s="50"/>
      <c r="K93" s="23">
        <v>100.0</v>
      </c>
      <c r="L93" s="48">
        <f t="shared" si="1"/>
        <v>37.5</v>
      </c>
      <c r="M93" s="25">
        <f>'PENULISAN LAPORAN'!N92</f>
        <v>0</v>
      </c>
      <c r="N93" s="23">
        <v>0.0</v>
      </c>
      <c r="O93" s="23">
        <v>0.0</v>
      </c>
      <c r="P93" s="23">
        <v>0.0</v>
      </c>
      <c r="Q93" s="23">
        <v>0.0</v>
      </c>
      <c r="R93" s="23">
        <v>0.0</v>
      </c>
      <c r="S93" s="23">
        <v>0.0</v>
      </c>
      <c r="T93" s="23">
        <v>0.0</v>
      </c>
      <c r="U93" s="23">
        <v>0.0</v>
      </c>
      <c r="V93" s="25">
        <f t="shared" si="2"/>
        <v>0</v>
      </c>
      <c r="W93" s="23">
        <v>30.0</v>
      </c>
      <c r="X93" s="23">
        <v>0.0</v>
      </c>
      <c r="Y93" s="50"/>
      <c r="Z93" s="50"/>
      <c r="AA93" s="23">
        <v>0.0</v>
      </c>
      <c r="AB93" s="50"/>
      <c r="AC93" s="23">
        <v>0.0</v>
      </c>
      <c r="AD93" s="50"/>
      <c r="AE93" s="50">
        <f t="shared" si="3"/>
        <v>3.75</v>
      </c>
      <c r="AF93" s="48">
        <f>'KEMAMPUAN PRAKTIKUM'!H93</f>
        <v>0</v>
      </c>
      <c r="AG93" s="49">
        <f>'KEMAMPUAN PRAKTIKUM'!M93</f>
        <v>0</v>
      </c>
      <c r="AH93" s="49">
        <f>'KEMAMPUAN PRAKTIKUM'!R93</f>
        <v>0</v>
      </c>
      <c r="AI93" s="50">
        <f>'KEMAMPUAN PRAKTIKUM'!W93</f>
        <v>0</v>
      </c>
      <c r="AJ93" s="49">
        <f>'KEMAMPUAN PRAKTIKUM'!AB93</f>
        <v>30</v>
      </c>
      <c r="AK93" s="50">
        <f>'KEMAMPUAN PRAKTIKUM'!AG93</f>
        <v>63</v>
      </c>
      <c r="AL93" s="49">
        <f>'KEMAMPUAN PRAKTIKUM'!AL93</f>
        <v>0</v>
      </c>
      <c r="AM93" s="49">
        <f>'KEMAMPUAN PRAKTIKUM'!AQ93</f>
        <v>0</v>
      </c>
      <c r="AN93" s="25">
        <f t="shared" si="4"/>
        <v>11.625</v>
      </c>
    </row>
    <row r="94">
      <c r="A94" s="21">
        <f>'INPUT DAFTAR PESERTA'!A92</f>
        <v>89</v>
      </c>
      <c r="B94" s="21">
        <f>'INPUT DAFTAR PESERTA'!B92</f>
        <v>2509046074</v>
      </c>
      <c r="C94" s="22" t="str">
        <f>'INPUT DAFTAR PESERTA'!C92</f>
        <v>Junior Agustian Culie</v>
      </c>
      <c r="D94" s="50"/>
      <c r="E94" s="50"/>
      <c r="F94" s="50"/>
      <c r="G94" s="50"/>
      <c r="H94" s="23">
        <v>100.0</v>
      </c>
      <c r="I94" s="23">
        <v>100.0</v>
      </c>
      <c r="J94" s="50"/>
      <c r="K94" s="23">
        <v>100.0</v>
      </c>
      <c r="L94" s="48">
        <f t="shared" si="1"/>
        <v>37.5</v>
      </c>
      <c r="M94" s="25">
        <f>'PENULISAN LAPORAN'!N93</f>
        <v>0</v>
      </c>
      <c r="N94" s="23">
        <v>92.0</v>
      </c>
      <c r="O94" s="23">
        <v>92.0</v>
      </c>
      <c r="P94" s="23">
        <v>92.0</v>
      </c>
      <c r="Q94" s="23">
        <v>92.0</v>
      </c>
      <c r="R94" s="23">
        <v>92.0</v>
      </c>
      <c r="S94" s="23">
        <v>92.0</v>
      </c>
      <c r="T94" s="23">
        <v>92.0</v>
      </c>
      <c r="U94" s="23">
        <v>92.0</v>
      </c>
      <c r="V94" s="25">
        <f t="shared" si="2"/>
        <v>92</v>
      </c>
      <c r="W94" s="23">
        <v>30.0</v>
      </c>
      <c r="X94" s="23">
        <v>0.0</v>
      </c>
      <c r="Y94" s="50"/>
      <c r="Z94" s="50"/>
      <c r="AA94" s="23">
        <v>0.0</v>
      </c>
      <c r="AB94" s="50"/>
      <c r="AC94" s="23">
        <v>0.0</v>
      </c>
      <c r="AD94" s="50"/>
      <c r="AE94" s="50">
        <f t="shared" si="3"/>
        <v>3.75</v>
      </c>
      <c r="AF94" s="48">
        <f>'KEMAMPUAN PRAKTIKUM'!H94</f>
        <v>0</v>
      </c>
      <c r="AG94" s="49">
        <f>'KEMAMPUAN PRAKTIKUM'!M94</f>
        <v>0</v>
      </c>
      <c r="AH94" s="49">
        <f>'KEMAMPUAN PRAKTIKUM'!R94</f>
        <v>0</v>
      </c>
      <c r="AI94" s="50">
        <f>'KEMAMPUAN PRAKTIKUM'!W94</f>
        <v>0</v>
      </c>
      <c r="AJ94" s="49">
        <f>'KEMAMPUAN PRAKTIKUM'!AB94</f>
        <v>30</v>
      </c>
      <c r="AK94" s="50">
        <f>'KEMAMPUAN PRAKTIKUM'!AG94</f>
        <v>0</v>
      </c>
      <c r="AL94" s="49">
        <f>'KEMAMPUAN PRAKTIKUM'!AL94</f>
        <v>0</v>
      </c>
      <c r="AM94" s="49">
        <f>'KEMAMPUAN PRAKTIKUM'!AQ94</f>
        <v>0</v>
      </c>
      <c r="AN94" s="25">
        <f t="shared" si="4"/>
        <v>3.75</v>
      </c>
    </row>
    <row r="95">
      <c r="A95" s="21">
        <f>'INPUT DAFTAR PESERTA'!A93</f>
        <v>90</v>
      </c>
      <c r="B95" s="21">
        <f>'INPUT DAFTAR PESERTA'!B93</f>
        <v>2509046075</v>
      </c>
      <c r="C95" s="22" t="str">
        <f>'INPUT DAFTAR PESERTA'!C93</f>
        <v>Andi Ahmad Dzaky Palewai Agri</v>
      </c>
      <c r="D95" s="50"/>
      <c r="E95" s="50"/>
      <c r="F95" s="50"/>
      <c r="G95" s="50"/>
      <c r="H95" s="23">
        <v>100.0</v>
      </c>
      <c r="I95" s="23">
        <v>100.0</v>
      </c>
      <c r="J95" s="50"/>
      <c r="K95" s="23">
        <v>100.0</v>
      </c>
      <c r="L95" s="48">
        <f t="shared" si="1"/>
        <v>37.5</v>
      </c>
      <c r="M95" s="25">
        <f>'PENULISAN LAPORAN'!N94</f>
        <v>0.625</v>
      </c>
      <c r="N95" s="23">
        <v>98.0</v>
      </c>
      <c r="O95" s="23">
        <v>98.0</v>
      </c>
      <c r="P95" s="23">
        <v>98.0</v>
      </c>
      <c r="Q95" s="23">
        <v>98.0</v>
      </c>
      <c r="R95" s="23">
        <v>98.0</v>
      </c>
      <c r="S95" s="23">
        <v>98.0</v>
      </c>
      <c r="T95" s="23">
        <v>98.0</v>
      </c>
      <c r="U95" s="23">
        <v>98.0</v>
      </c>
      <c r="V95" s="25">
        <f t="shared" si="2"/>
        <v>98</v>
      </c>
      <c r="W95" s="23">
        <v>30.0</v>
      </c>
      <c r="X95" s="23">
        <v>0.0</v>
      </c>
      <c r="Y95" s="50"/>
      <c r="Z95" s="50"/>
      <c r="AA95" s="23">
        <v>0.0</v>
      </c>
      <c r="AB95" s="50"/>
      <c r="AC95" s="23">
        <v>0.0</v>
      </c>
      <c r="AD95" s="50"/>
      <c r="AE95" s="50">
        <f t="shared" si="3"/>
        <v>3.75</v>
      </c>
      <c r="AF95" s="48">
        <f>'KEMAMPUAN PRAKTIKUM'!H95</f>
        <v>0</v>
      </c>
      <c r="AG95" s="49">
        <f>'KEMAMPUAN PRAKTIKUM'!M95</f>
        <v>0</v>
      </c>
      <c r="AH95" s="49">
        <f>'KEMAMPUAN PRAKTIKUM'!R95</f>
        <v>0</v>
      </c>
      <c r="AI95" s="50">
        <f>'KEMAMPUAN PRAKTIKUM'!W95</f>
        <v>0</v>
      </c>
      <c r="AJ95" s="49">
        <f>'KEMAMPUAN PRAKTIKUM'!AB95</f>
        <v>30</v>
      </c>
      <c r="AK95" s="50">
        <f>'KEMAMPUAN PRAKTIKUM'!AG95</f>
        <v>0</v>
      </c>
      <c r="AL95" s="49">
        <f>'KEMAMPUAN PRAKTIKUM'!AL95</f>
        <v>0</v>
      </c>
      <c r="AM95" s="49">
        <f>'KEMAMPUAN PRAKTIKUM'!AQ95</f>
        <v>0</v>
      </c>
      <c r="AN95" s="25">
        <f t="shared" si="4"/>
        <v>3.75</v>
      </c>
    </row>
    <row r="96">
      <c r="A96" s="21">
        <f>'INPUT DAFTAR PESERTA'!A94</f>
        <v>91</v>
      </c>
      <c r="B96" s="21">
        <f>'INPUT DAFTAR PESERTA'!B94</f>
        <v>2509046076</v>
      </c>
      <c r="C96" s="22" t="str">
        <f>'INPUT DAFTAR PESERTA'!C94</f>
        <v>Afif Ahmad Winarno</v>
      </c>
      <c r="D96" s="23">
        <v>100.0</v>
      </c>
      <c r="E96" s="23">
        <v>100.0</v>
      </c>
      <c r="F96" s="23">
        <v>90.0</v>
      </c>
      <c r="G96" s="23">
        <v>100.0</v>
      </c>
      <c r="H96" s="23">
        <v>100.0</v>
      </c>
      <c r="I96" s="23">
        <v>100.0</v>
      </c>
      <c r="J96" s="23">
        <v>100.0</v>
      </c>
      <c r="K96" s="23">
        <v>100.0</v>
      </c>
      <c r="L96" s="48">
        <f t="shared" si="1"/>
        <v>98.75</v>
      </c>
      <c r="M96" s="25">
        <f>'PENULISAN LAPORAN'!N95</f>
        <v>37.375</v>
      </c>
      <c r="N96" s="23">
        <v>100.0</v>
      </c>
      <c r="O96" s="23">
        <v>100.0</v>
      </c>
      <c r="P96" s="23">
        <v>100.0</v>
      </c>
      <c r="Q96" s="23">
        <v>100.0</v>
      </c>
      <c r="R96" s="23">
        <v>100.0</v>
      </c>
      <c r="S96" s="23">
        <v>100.0</v>
      </c>
      <c r="T96" s="23">
        <v>100.0</v>
      </c>
      <c r="U96" s="23">
        <v>100.0</v>
      </c>
      <c r="V96" s="25">
        <f t="shared" si="2"/>
        <v>100</v>
      </c>
      <c r="W96" s="23">
        <v>30.0</v>
      </c>
      <c r="X96" s="23">
        <v>30.0</v>
      </c>
      <c r="Y96" s="23">
        <v>30.0</v>
      </c>
      <c r="Z96" s="23">
        <v>30.0</v>
      </c>
      <c r="AA96" s="23">
        <v>30.0</v>
      </c>
      <c r="AB96" s="23">
        <v>30.0</v>
      </c>
      <c r="AC96" s="23">
        <v>30.0</v>
      </c>
      <c r="AD96" s="23">
        <v>30.0</v>
      </c>
      <c r="AE96" s="50">
        <f t="shared" si="3"/>
        <v>30</v>
      </c>
      <c r="AF96" s="48">
        <f>'KEMAMPUAN PRAKTIKUM'!H96</f>
        <v>45</v>
      </c>
      <c r="AG96" s="49">
        <f>'KEMAMPUAN PRAKTIKUM'!M96</f>
        <v>57</v>
      </c>
      <c r="AH96" s="49">
        <f>'KEMAMPUAN PRAKTIKUM'!R96</f>
        <v>60</v>
      </c>
      <c r="AI96" s="50">
        <f>'KEMAMPUAN PRAKTIKUM'!W96</f>
        <v>60</v>
      </c>
      <c r="AJ96" s="49">
        <f>'KEMAMPUAN PRAKTIKUM'!AB96</f>
        <v>57</v>
      </c>
      <c r="AK96" s="50">
        <f>'KEMAMPUAN PRAKTIKUM'!AG96</f>
        <v>69</v>
      </c>
      <c r="AL96" s="49">
        <f>'KEMAMPUAN PRAKTIKUM'!AL96</f>
        <v>60</v>
      </c>
      <c r="AM96" s="49">
        <f>'KEMAMPUAN PRAKTIKUM'!AQ96</f>
        <v>60</v>
      </c>
      <c r="AN96" s="25">
        <f t="shared" si="4"/>
        <v>58.5</v>
      </c>
    </row>
    <row r="97">
      <c r="A97" s="21">
        <f>'INPUT DAFTAR PESERTA'!A95</f>
        <v>92</v>
      </c>
      <c r="B97" s="21">
        <f>'INPUT DAFTAR PESERTA'!B95</f>
        <v>2509046077</v>
      </c>
      <c r="C97" s="22" t="str">
        <f>'INPUT DAFTAR PESERTA'!C95</f>
        <v>Muhammad Iqbal</v>
      </c>
      <c r="D97" s="23">
        <v>100.0</v>
      </c>
      <c r="E97" s="50"/>
      <c r="F97" s="50"/>
      <c r="G97" s="50"/>
      <c r="H97" s="23">
        <v>100.0</v>
      </c>
      <c r="I97" s="23">
        <v>100.0</v>
      </c>
      <c r="J97" s="23">
        <v>100.0</v>
      </c>
      <c r="K97" s="23">
        <v>100.0</v>
      </c>
      <c r="L97" s="48">
        <f t="shared" si="1"/>
        <v>62.5</v>
      </c>
      <c r="M97" s="25">
        <f>'PENULISAN LAPORAN'!N96</f>
        <v>4.5625</v>
      </c>
      <c r="N97" s="23">
        <v>92.0</v>
      </c>
      <c r="O97" s="23">
        <v>92.0</v>
      </c>
      <c r="P97" s="23">
        <v>92.0</v>
      </c>
      <c r="Q97" s="23">
        <v>92.0</v>
      </c>
      <c r="R97" s="23">
        <v>92.0</v>
      </c>
      <c r="S97" s="23">
        <v>92.0</v>
      </c>
      <c r="T97" s="23">
        <v>92.0</v>
      </c>
      <c r="U97" s="23">
        <v>92.0</v>
      </c>
      <c r="V97" s="25">
        <f t="shared" si="2"/>
        <v>92</v>
      </c>
      <c r="W97" s="23">
        <v>30.0</v>
      </c>
      <c r="X97" s="23">
        <v>0.0</v>
      </c>
      <c r="Y97" s="50"/>
      <c r="Z97" s="50"/>
      <c r="AA97" s="23">
        <v>0.0</v>
      </c>
      <c r="AB97" s="50"/>
      <c r="AC97" s="23">
        <v>0.0</v>
      </c>
      <c r="AD97" s="50"/>
      <c r="AE97" s="50">
        <f t="shared" si="3"/>
        <v>3.75</v>
      </c>
      <c r="AF97" s="48">
        <f>'KEMAMPUAN PRAKTIKUM'!H97</f>
        <v>0</v>
      </c>
      <c r="AG97" s="49">
        <f>'KEMAMPUAN PRAKTIKUM'!M97</f>
        <v>0</v>
      </c>
      <c r="AH97" s="49">
        <f>'KEMAMPUAN PRAKTIKUM'!R97</f>
        <v>0</v>
      </c>
      <c r="AI97" s="50">
        <f>'KEMAMPUAN PRAKTIKUM'!W97</f>
        <v>0</v>
      </c>
      <c r="AJ97" s="49">
        <f>'KEMAMPUAN PRAKTIKUM'!AB97</f>
        <v>30</v>
      </c>
      <c r="AK97" s="50">
        <f>'KEMAMPUAN PRAKTIKUM'!AG97</f>
        <v>63</v>
      </c>
      <c r="AL97" s="49">
        <f>'KEMAMPUAN PRAKTIKUM'!AL97</f>
        <v>60</v>
      </c>
      <c r="AM97" s="49">
        <f>'KEMAMPUAN PRAKTIKUM'!AQ97</f>
        <v>0</v>
      </c>
      <c r="AN97" s="25">
        <f t="shared" si="4"/>
        <v>19.125</v>
      </c>
    </row>
    <row r="98">
      <c r="A98" s="21">
        <f>'INPUT DAFTAR PESERTA'!A96</f>
        <v>93</v>
      </c>
      <c r="B98" s="21">
        <f>'INPUT DAFTAR PESERTA'!B96</f>
        <v>2509046078</v>
      </c>
      <c r="C98" s="22" t="str">
        <f>'INPUT DAFTAR PESERTA'!C96</f>
        <v>Shodiq Rizyuka Annaufla</v>
      </c>
      <c r="D98" s="50"/>
      <c r="E98" s="50"/>
      <c r="F98" s="50"/>
      <c r="G98" s="50"/>
      <c r="H98" s="23">
        <v>100.0</v>
      </c>
      <c r="I98" s="23">
        <v>100.0</v>
      </c>
      <c r="J98" s="50"/>
      <c r="K98" s="23">
        <v>100.0</v>
      </c>
      <c r="L98" s="48">
        <f t="shared" si="1"/>
        <v>37.5</v>
      </c>
      <c r="M98" s="25">
        <f>'PENULISAN LAPORAN'!N97</f>
        <v>0</v>
      </c>
      <c r="N98" s="23">
        <v>100.0</v>
      </c>
      <c r="O98" s="23">
        <v>100.0</v>
      </c>
      <c r="P98" s="23">
        <v>100.0</v>
      </c>
      <c r="Q98" s="23">
        <v>100.0</v>
      </c>
      <c r="R98" s="23">
        <v>100.0</v>
      </c>
      <c r="S98" s="23">
        <v>100.0</v>
      </c>
      <c r="T98" s="23">
        <v>100.0</v>
      </c>
      <c r="U98" s="23">
        <v>100.0</v>
      </c>
      <c r="V98" s="25">
        <f t="shared" si="2"/>
        <v>100</v>
      </c>
      <c r="W98" s="23">
        <v>30.0</v>
      </c>
      <c r="X98" s="23">
        <v>0.0</v>
      </c>
      <c r="Y98" s="50"/>
      <c r="Z98" s="50"/>
      <c r="AA98" s="23">
        <v>0.0</v>
      </c>
      <c r="AB98" s="50"/>
      <c r="AC98" s="23">
        <v>0.0</v>
      </c>
      <c r="AD98" s="50"/>
      <c r="AE98" s="50">
        <f t="shared" si="3"/>
        <v>3.75</v>
      </c>
      <c r="AF98" s="48">
        <f>'KEMAMPUAN PRAKTIKUM'!H98</f>
        <v>0</v>
      </c>
      <c r="AG98" s="49">
        <f>'KEMAMPUAN PRAKTIKUM'!M98</f>
        <v>0</v>
      </c>
      <c r="AH98" s="49">
        <f>'KEMAMPUAN PRAKTIKUM'!R98</f>
        <v>0</v>
      </c>
      <c r="AI98" s="50">
        <f>'KEMAMPUAN PRAKTIKUM'!W98</f>
        <v>0</v>
      </c>
      <c r="AJ98" s="49">
        <f>'KEMAMPUAN PRAKTIKUM'!AB98</f>
        <v>30</v>
      </c>
      <c r="AK98" s="50">
        <f>'KEMAMPUAN PRAKTIKUM'!AG98</f>
        <v>63</v>
      </c>
      <c r="AL98" s="49">
        <f>'KEMAMPUAN PRAKTIKUM'!AL98</f>
        <v>0</v>
      </c>
      <c r="AM98" s="49">
        <f>'KEMAMPUAN PRAKTIKUM'!AQ98</f>
        <v>0</v>
      </c>
      <c r="AN98" s="25">
        <f t="shared" si="4"/>
        <v>11.625</v>
      </c>
    </row>
    <row r="99">
      <c r="A99" s="21">
        <f>'INPUT DAFTAR PESERTA'!A97</f>
        <v>94</v>
      </c>
      <c r="B99" s="21">
        <f>'INPUT DAFTAR PESERTA'!B97</f>
        <v>2509046079</v>
      </c>
      <c r="C99" s="22" t="str">
        <f>'INPUT DAFTAR PESERTA'!C97</f>
        <v>Muhamad Jailani</v>
      </c>
      <c r="D99" s="23">
        <v>100.0</v>
      </c>
      <c r="E99" s="50"/>
      <c r="F99" s="50"/>
      <c r="G99" s="50"/>
      <c r="H99" s="23">
        <v>100.0</v>
      </c>
      <c r="I99" s="23">
        <v>100.0</v>
      </c>
      <c r="J99" s="50"/>
      <c r="K99" s="23">
        <v>100.0</v>
      </c>
      <c r="L99" s="48">
        <f t="shared" si="1"/>
        <v>50</v>
      </c>
      <c r="M99" s="25">
        <f>'PENULISAN LAPORAN'!N98</f>
        <v>2.3125</v>
      </c>
      <c r="N99" s="23">
        <v>92.0</v>
      </c>
      <c r="O99" s="23">
        <v>92.0</v>
      </c>
      <c r="P99" s="23">
        <v>92.0</v>
      </c>
      <c r="Q99" s="23">
        <v>92.0</v>
      </c>
      <c r="R99" s="23">
        <v>92.0</v>
      </c>
      <c r="S99" s="23">
        <v>92.0</v>
      </c>
      <c r="T99" s="23">
        <v>92.0</v>
      </c>
      <c r="U99" s="23">
        <v>92.0</v>
      </c>
      <c r="V99" s="25">
        <f t="shared" si="2"/>
        <v>92</v>
      </c>
      <c r="W99" s="23">
        <v>30.0</v>
      </c>
      <c r="X99" s="23">
        <v>0.0</v>
      </c>
      <c r="Y99" s="50"/>
      <c r="Z99" s="50"/>
      <c r="AA99" s="23">
        <v>0.0</v>
      </c>
      <c r="AB99" s="50"/>
      <c r="AC99" s="23">
        <v>0.0</v>
      </c>
      <c r="AD99" s="50"/>
      <c r="AE99" s="50">
        <f t="shared" si="3"/>
        <v>3.75</v>
      </c>
      <c r="AF99" s="48">
        <f>'KEMAMPUAN PRAKTIKUM'!H99</f>
        <v>0</v>
      </c>
      <c r="AG99" s="49">
        <f>'KEMAMPUAN PRAKTIKUM'!M99</f>
        <v>0</v>
      </c>
      <c r="AH99" s="49">
        <f>'KEMAMPUAN PRAKTIKUM'!R99</f>
        <v>0</v>
      </c>
      <c r="AI99" s="50">
        <f>'KEMAMPUAN PRAKTIKUM'!W99</f>
        <v>0</v>
      </c>
      <c r="AJ99" s="49">
        <f>'KEMAMPUAN PRAKTIKUM'!AB99</f>
        <v>57</v>
      </c>
      <c r="AK99" s="50">
        <f>'KEMAMPUAN PRAKTIKUM'!AG99</f>
        <v>63</v>
      </c>
      <c r="AL99" s="49">
        <f>'KEMAMPUAN PRAKTIKUM'!AL99</f>
        <v>0</v>
      </c>
      <c r="AM99" s="49">
        <f>'KEMAMPUAN PRAKTIKUM'!AQ99</f>
        <v>0</v>
      </c>
      <c r="AN99" s="25">
        <f t="shared" si="4"/>
        <v>15</v>
      </c>
    </row>
    <row r="100">
      <c r="A100" s="35" t="str">
        <f>'INPUT DAFTAR PESERTA'!A98</f>
        <v/>
      </c>
      <c r="B100" s="35" t="str">
        <f>'INPUT DAFTAR PESERTA'!B98</f>
        <v/>
      </c>
      <c r="C100" s="36" t="str">
        <f>'INPUT DAFTAR PESERTA'!C98</f>
        <v/>
      </c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52"/>
    </row>
    <row r="101">
      <c r="A101" s="35" t="str">
        <f>'INPUT DAFTAR PESERTA'!A99</f>
        <v/>
      </c>
      <c r="B101" s="35" t="str">
        <f>'INPUT DAFTAR PESERTA'!B99</f>
        <v/>
      </c>
      <c r="C101" s="36" t="str">
        <f>'INPUT DAFTAR PESERTA'!C99</f>
        <v/>
      </c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52"/>
    </row>
    <row r="102">
      <c r="A102" s="35"/>
      <c r="B102" s="35" t="str">
        <f>'INPUT DAFTAR PESERTA'!B100</f>
        <v/>
      </c>
      <c r="C102" s="36" t="str">
        <f>'INPUT DAFTAR PESERTA'!C100</f>
        <v/>
      </c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52"/>
    </row>
    <row r="103">
      <c r="A103" s="35"/>
      <c r="B103" s="35" t="str">
        <f>'INPUT DAFTAR PESERTA'!B101</f>
        <v/>
      </c>
      <c r="C103" s="36" t="str">
        <f>'INPUT DAFTAR PESERTA'!C101</f>
        <v/>
      </c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52"/>
    </row>
    <row r="104">
      <c r="A104" s="35"/>
      <c r="B104" s="35" t="str">
        <f>'INPUT DAFTAR PESERTA'!B102</f>
        <v/>
      </c>
      <c r="C104" s="36" t="str">
        <f>'INPUT DAFTAR PESERTA'!C102</f>
        <v/>
      </c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52"/>
    </row>
    <row r="105">
      <c r="A105" s="35"/>
      <c r="B105" s="35" t="str">
        <f>'INPUT DAFTAR PESERTA'!B103</f>
        <v/>
      </c>
      <c r="C105" s="36" t="str">
        <f>'INPUT DAFTAR PESERTA'!C103</f>
        <v/>
      </c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52"/>
    </row>
    <row r="106">
      <c r="A106" s="35"/>
      <c r="B106" s="35" t="str">
        <f>'INPUT DAFTAR PESERTA'!B104</f>
        <v/>
      </c>
      <c r="C106" s="36" t="str">
        <f>'INPUT DAFTAR PESERTA'!C104</f>
        <v/>
      </c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52"/>
    </row>
    <row r="107">
      <c r="A107" s="35"/>
      <c r="B107" s="35" t="str">
        <f>'INPUT DAFTAR PESERTA'!B105</f>
        <v/>
      </c>
      <c r="C107" s="36" t="str">
        <f>'INPUT DAFTAR PESERTA'!C105</f>
        <v/>
      </c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52"/>
    </row>
    <row r="108">
      <c r="A108" s="35"/>
      <c r="B108" s="35" t="str">
        <f>'INPUT DAFTAR PESERTA'!B106</f>
        <v/>
      </c>
      <c r="C108" s="36" t="str">
        <f>'INPUT DAFTAR PESERTA'!C106</f>
        <v/>
      </c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52"/>
    </row>
    <row r="109">
      <c r="A109" s="35"/>
      <c r="B109" s="35" t="str">
        <f>'INPUT DAFTAR PESERTA'!B107</f>
        <v/>
      </c>
      <c r="C109" s="36" t="str">
        <f>'INPUT DAFTAR PESERTA'!C107</f>
        <v/>
      </c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52"/>
    </row>
    <row r="110">
      <c r="A110" s="35"/>
      <c r="B110" s="35" t="str">
        <f>'INPUT DAFTAR PESERTA'!B108</f>
        <v/>
      </c>
      <c r="C110" s="36" t="str">
        <f>'INPUT DAFTAR PESERTA'!C108</f>
        <v/>
      </c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52"/>
    </row>
    <row r="111">
      <c r="A111" s="35"/>
      <c r="B111" s="35" t="str">
        <f>'INPUT DAFTAR PESERTA'!B109</f>
        <v/>
      </c>
      <c r="C111" s="36" t="str">
        <f>'INPUT DAFTAR PESERTA'!C109</f>
        <v/>
      </c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52"/>
    </row>
    <row r="112">
      <c r="A112" s="35"/>
      <c r="B112" s="35" t="str">
        <f>'INPUT DAFTAR PESERTA'!B110</f>
        <v/>
      </c>
      <c r="C112" s="36" t="str">
        <f>'INPUT DAFTAR PESERTA'!C110</f>
        <v/>
      </c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52"/>
    </row>
    <row r="113">
      <c r="A113" s="35"/>
      <c r="B113" s="35" t="str">
        <f>'INPUT DAFTAR PESERTA'!B111</f>
        <v/>
      </c>
      <c r="C113" s="36" t="str">
        <f>'INPUT DAFTAR PESERTA'!C111</f>
        <v/>
      </c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52"/>
    </row>
    <row r="114">
      <c r="A114" s="35"/>
      <c r="B114" s="35" t="str">
        <f>'INPUT DAFTAR PESERTA'!B112</f>
        <v/>
      </c>
      <c r="C114" s="36" t="str">
        <f>'INPUT DAFTAR PESERTA'!C112</f>
        <v/>
      </c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52"/>
    </row>
    <row r="115">
      <c r="A115" s="35"/>
      <c r="B115" s="35" t="str">
        <f>'INPUT DAFTAR PESERTA'!B113</f>
        <v/>
      </c>
      <c r="C115" s="36" t="str">
        <f>'INPUT DAFTAR PESERTA'!C113</f>
        <v/>
      </c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52"/>
    </row>
    <row r="116">
      <c r="A116" s="35"/>
      <c r="B116" s="35" t="str">
        <f>'INPUT DAFTAR PESERTA'!B114</f>
        <v/>
      </c>
      <c r="C116" s="36" t="str">
        <f>'INPUT DAFTAR PESERTA'!C114</f>
        <v/>
      </c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52"/>
    </row>
    <row r="117">
      <c r="A117" s="35"/>
      <c r="B117" s="35" t="str">
        <f>'INPUT DAFTAR PESERTA'!B115</f>
        <v/>
      </c>
      <c r="C117" s="36" t="str">
        <f>'INPUT DAFTAR PESERTA'!C115</f>
        <v/>
      </c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52"/>
    </row>
    <row r="118">
      <c r="A118" s="35"/>
      <c r="B118" s="35" t="str">
        <f>'INPUT DAFTAR PESERTA'!B116</f>
        <v/>
      </c>
      <c r="C118" s="36" t="str">
        <f>'INPUT DAFTAR PESERTA'!C116</f>
        <v/>
      </c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52"/>
    </row>
    <row r="119">
      <c r="A119" s="35"/>
      <c r="B119" s="35" t="str">
        <f>'INPUT DAFTAR PESERTA'!B117</f>
        <v/>
      </c>
      <c r="C119" s="36" t="str">
        <f>'INPUT DAFTAR PESERTA'!C117</f>
        <v/>
      </c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52"/>
    </row>
    <row r="120">
      <c r="A120" s="35"/>
      <c r="B120" s="35" t="str">
        <f>'INPUT DAFTAR PESERTA'!B118</f>
        <v/>
      </c>
      <c r="C120" s="36" t="str">
        <f>'INPUT DAFTAR PESERTA'!C118</f>
        <v/>
      </c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52"/>
    </row>
    <row r="121">
      <c r="A121" s="35"/>
      <c r="B121" s="35" t="str">
        <f>'INPUT DAFTAR PESERTA'!B119</f>
        <v/>
      </c>
      <c r="C121" s="36" t="str">
        <f>'INPUT DAFTAR PESERTA'!C119</f>
        <v/>
      </c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52"/>
    </row>
    <row r="122">
      <c r="A122" s="35"/>
      <c r="B122" s="35" t="str">
        <f>'INPUT DAFTAR PESERTA'!B120</f>
        <v/>
      </c>
      <c r="C122" s="36" t="str">
        <f>'INPUT DAFTAR PESERTA'!C120</f>
        <v/>
      </c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52"/>
    </row>
    <row r="123">
      <c r="A123" s="35"/>
      <c r="B123" s="35" t="str">
        <f>'INPUT DAFTAR PESERTA'!B121</f>
        <v/>
      </c>
      <c r="C123" s="36" t="str">
        <f>'INPUT DAFTAR PESERTA'!C121</f>
        <v/>
      </c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52"/>
    </row>
    <row r="124">
      <c r="A124" s="35"/>
      <c r="B124" s="35" t="str">
        <f>'INPUT DAFTAR PESERTA'!B122</f>
        <v/>
      </c>
      <c r="C124" s="36" t="str">
        <f>'INPUT DAFTAR PESERTA'!C122</f>
        <v/>
      </c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52"/>
    </row>
    <row r="125">
      <c r="A125" s="35"/>
      <c r="B125" s="35" t="str">
        <f>'INPUT DAFTAR PESERTA'!B123</f>
        <v/>
      </c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52"/>
    </row>
    <row r="126">
      <c r="A126" s="35"/>
      <c r="B126" s="35" t="str">
        <f>'INPUT DAFTAR PESERTA'!B124</f>
        <v/>
      </c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52"/>
    </row>
    <row r="127">
      <c r="A127" s="35"/>
      <c r="B127" s="35" t="str">
        <f>'INPUT DAFTAR PESERTA'!B125</f>
        <v/>
      </c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52"/>
    </row>
    <row r="128">
      <c r="A128" s="35"/>
      <c r="B128" s="35" t="str">
        <f>'INPUT DAFTAR PESERTA'!B126</f>
        <v/>
      </c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52"/>
    </row>
    <row r="129">
      <c r="A129" s="35"/>
      <c r="B129" s="35" t="str">
        <f>'INPUT DAFTAR PESERTA'!B127</f>
        <v/>
      </c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52"/>
    </row>
    <row r="130">
      <c r="A130" s="35"/>
      <c r="B130" s="35" t="str">
        <f>'INPUT DAFTAR PESERTA'!B128</f>
        <v/>
      </c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52"/>
    </row>
    <row r="131">
      <c r="A131" s="35"/>
      <c r="B131" s="35" t="str">
        <f>'INPUT DAFTAR PESERTA'!B129</f>
        <v/>
      </c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52"/>
    </row>
    <row r="132">
      <c r="A132" s="35"/>
      <c r="B132" s="35" t="str">
        <f>'INPUT DAFTAR PESERTA'!B130</f>
        <v/>
      </c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52"/>
    </row>
    <row r="133">
      <c r="A133" s="35"/>
      <c r="B133" s="35" t="str">
        <f>'INPUT DAFTAR PESERTA'!B131</f>
        <v/>
      </c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52"/>
    </row>
    <row r="134">
      <c r="A134" s="35"/>
      <c r="B134" s="35" t="str">
        <f>'INPUT DAFTAR PESERTA'!B132</f>
        <v/>
      </c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52"/>
    </row>
    <row r="135">
      <c r="A135" s="35"/>
      <c r="B135" s="35" t="str">
        <f>'INPUT DAFTAR PESERTA'!B133</f>
        <v/>
      </c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52"/>
    </row>
    <row r="136">
      <c r="A136" s="35"/>
      <c r="B136" s="35" t="str">
        <f>'INPUT DAFTAR PESERTA'!B134</f>
        <v/>
      </c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52"/>
    </row>
    <row r="137">
      <c r="A137" s="35"/>
      <c r="B137" s="35" t="str">
        <f>'INPUT DAFTAR PESERTA'!B135</f>
        <v/>
      </c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52"/>
    </row>
    <row r="138">
      <c r="A138" s="35"/>
      <c r="B138" s="35" t="str">
        <f>'INPUT DAFTAR PESERTA'!B136</f>
        <v/>
      </c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52"/>
    </row>
    <row r="139">
      <c r="A139" s="35"/>
      <c r="B139" s="35" t="str">
        <f>'INPUT DAFTAR PESERTA'!B137</f>
        <v/>
      </c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52"/>
    </row>
    <row r="140">
      <c r="A140" s="35"/>
      <c r="B140" s="35" t="str">
        <f>'INPUT DAFTAR PESERTA'!B138</f>
        <v/>
      </c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52"/>
    </row>
    <row r="141">
      <c r="A141" s="35"/>
      <c r="B141" s="35" t="str">
        <f>'INPUT DAFTAR PESERTA'!B139</f>
        <v/>
      </c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52"/>
    </row>
    <row r="142">
      <c r="A142" s="35"/>
      <c r="B142" s="35" t="str">
        <f>'INPUT DAFTAR PESERTA'!B140</f>
        <v/>
      </c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52"/>
    </row>
    <row r="143">
      <c r="A143" s="35"/>
      <c r="B143" s="35" t="str">
        <f>'INPUT DAFTAR PESERTA'!B141</f>
        <v/>
      </c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52"/>
    </row>
    <row r="144">
      <c r="A144" s="35"/>
      <c r="B144" s="35" t="str">
        <f>'INPUT DAFTAR PESERTA'!B142</f>
        <v/>
      </c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52"/>
    </row>
    <row r="145">
      <c r="A145" s="35"/>
      <c r="B145" s="35" t="str">
        <f>'INPUT DAFTAR PESERTA'!B143</f>
        <v/>
      </c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52"/>
    </row>
    <row r="146">
      <c r="A146" s="35"/>
      <c r="B146" s="35" t="str">
        <f>'INPUT DAFTAR PESERTA'!B144</f>
        <v/>
      </c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52"/>
    </row>
    <row r="147">
      <c r="A147" s="35"/>
      <c r="B147" s="35" t="str">
        <f>'INPUT DAFTAR PESERTA'!B145</f>
        <v/>
      </c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52"/>
    </row>
    <row r="148">
      <c r="A148" s="35"/>
      <c r="B148" s="35" t="str">
        <f>'INPUT DAFTAR PESERTA'!B146</f>
        <v/>
      </c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52"/>
    </row>
    <row r="149">
      <c r="A149" s="35"/>
      <c r="B149" s="35" t="str">
        <f>'INPUT DAFTAR PESERTA'!B147</f>
        <v/>
      </c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52"/>
    </row>
    <row r="150">
      <c r="A150" s="35"/>
      <c r="B150" s="35" t="str">
        <f>'INPUT DAFTAR PESERTA'!B148</f>
        <v/>
      </c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52"/>
    </row>
    <row r="151">
      <c r="A151" s="35"/>
      <c r="B151" s="35" t="str">
        <f>'INPUT DAFTAR PESERTA'!B149</f>
        <v/>
      </c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52"/>
    </row>
    <row r="152">
      <c r="A152" s="35"/>
      <c r="B152" s="35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52"/>
    </row>
    <row r="153">
      <c r="A153" s="35"/>
      <c r="B153" s="35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52"/>
    </row>
    <row r="154">
      <c r="A154" s="35"/>
      <c r="B154" s="35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52"/>
    </row>
    <row r="155">
      <c r="A155" s="35"/>
      <c r="B155" s="35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52"/>
    </row>
    <row r="156">
      <c r="A156" s="35"/>
      <c r="B156" s="35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52"/>
    </row>
    <row r="157">
      <c r="A157" s="35"/>
      <c r="B157" s="35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52"/>
    </row>
    <row r="158">
      <c r="A158" s="35"/>
      <c r="B158" s="35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52"/>
    </row>
    <row r="159">
      <c r="A159" s="35"/>
      <c r="B159" s="35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52"/>
    </row>
    <row r="160">
      <c r="A160" s="35"/>
      <c r="B160" s="35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52"/>
    </row>
    <row r="161">
      <c r="A161" s="35"/>
      <c r="B161" s="35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52"/>
    </row>
    <row r="162">
      <c r="A162" s="35"/>
      <c r="B162" s="35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52"/>
    </row>
    <row r="163">
      <c r="A163" s="35"/>
      <c r="B163" s="35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52"/>
    </row>
    <row r="164">
      <c r="A164" s="35"/>
      <c r="B164" s="35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52"/>
    </row>
    <row r="165">
      <c r="A165" s="35"/>
      <c r="B165" s="35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52"/>
    </row>
    <row r="166">
      <c r="A166" s="35"/>
      <c r="B166" s="35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52"/>
    </row>
    <row r="167">
      <c r="A167" s="35"/>
      <c r="B167" s="35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52"/>
    </row>
    <row r="168">
      <c r="A168" s="35"/>
      <c r="B168" s="35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52"/>
    </row>
    <row r="169">
      <c r="A169" s="35"/>
      <c r="B169" s="35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52"/>
    </row>
    <row r="170">
      <c r="A170" s="35"/>
      <c r="B170" s="35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52"/>
    </row>
    <row r="171">
      <c r="A171" s="35"/>
      <c r="B171" s="35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52"/>
    </row>
    <row r="172">
      <c r="A172" s="35"/>
      <c r="B172" s="35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52"/>
    </row>
    <row r="173">
      <c r="A173" s="35"/>
      <c r="B173" s="35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52"/>
    </row>
    <row r="174">
      <c r="A174" s="35"/>
      <c r="B174" s="35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52"/>
    </row>
    <row r="175">
      <c r="A175" s="35"/>
      <c r="B175" s="35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52"/>
    </row>
    <row r="176">
      <c r="A176" s="35"/>
      <c r="B176" s="35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52"/>
    </row>
    <row r="177">
      <c r="A177" s="35"/>
      <c r="B177" s="35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52"/>
    </row>
    <row r="178">
      <c r="A178" s="35"/>
      <c r="B178" s="35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52"/>
    </row>
    <row r="179">
      <c r="A179" s="35"/>
      <c r="B179" s="35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52"/>
    </row>
    <row r="180">
      <c r="A180" s="35"/>
      <c r="B180" s="35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52"/>
    </row>
    <row r="181">
      <c r="A181" s="35"/>
      <c r="B181" s="35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52"/>
    </row>
    <row r="182">
      <c r="A182" s="35"/>
      <c r="B182" s="35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52"/>
    </row>
    <row r="183">
      <c r="A183" s="35"/>
      <c r="B183" s="35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52"/>
    </row>
    <row r="184">
      <c r="A184" s="35"/>
      <c r="B184" s="35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52"/>
    </row>
    <row r="185">
      <c r="A185" s="35"/>
      <c r="B185" s="35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52"/>
    </row>
    <row r="186">
      <c r="A186" s="35"/>
      <c r="B186" s="35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52"/>
    </row>
    <row r="187">
      <c r="A187" s="35"/>
      <c r="B187" s="35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52"/>
    </row>
    <row r="188">
      <c r="A188" s="35"/>
      <c r="B188" s="35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52"/>
    </row>
    <row r="189">
      <c r="A189" s="35"/>
      <c r="B189" s="35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52"/>
    </row>
    <row r="190">
      <c r="A190" s="35"/>
      <c r="B190" s="35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52"/>
    </row>
    <row r="191">
      <c r="A191" s="35"/>
      <c r="B191" s="35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52"/>
    </row>
    <row r="192">
      <c r="A192" s="35"/>
      <c r="B192" s="35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52"/>
    </row>
    <row r="193">
      <c r="A193" s="35"/>
      <c r="B193" s="35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52"/>
    </row>
    <row r="194">
      <c r="A194" s="35"/>
      <c r="B194" s="35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52"/>
    </row>
    <row r="195">
      <c r="A195" s="35"/>
      <c r="B195" s="35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52"/>
    </row>
    <row r="196">
      <c r="A196" s="35"/>
      <c r="B196" s="35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52"/>
    </row>
    <row r="197">
      <c r="A197" s="35"/>
      <c r="B197" s="35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52"/>
    </row>
    <row r="198">
      <c r="A198" s="35"/>
      <c r="B198" s="35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52"/>
    </row>
    <row r="199">
      <c r="A199" s="35"/>
      <c r="B199" s="35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52"/>
    </row>
    <row r="200">
      <c r="A200" s="35"/>
      <c r="B200" s="35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52"/>
    </row>
    <row r="201">
      <c r="A201" s="35"/>
      <c r="B201" s="35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52"/>
    </row>
    <row r="202">
      <c r="A202" s="35"/>
      <c r="B202" s="35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52"/>
    </row>
    <row r="203">
      <c r="A203" s="35"/>
      <c r="B203" s="35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52"/>
    </row>
    <row r="204">
      <c r="A204" s="35"/>
      <c r="B204" s="35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52"/>
    </row>
    <row r="205">
      <c r="A205" s="35"/>
      <c r="B205" s="35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52"/>
    </row>
    <row r="206">
      <c r="A206" s="35"/>
      <c r="B206" s="35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52"/>
    </row>
    <row r="207">
      <c r="A207" s="35"/>
      <c r="B207" s="35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52"/>
    </row>
    <row r="208">
      <c r="A208" s="35"/>
      <c r="B208" s="35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52"/>
    </row>
    <row r="209">
      <c r="A209" s="35"/>
      <c r="B209" s="35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52"/>
    </row>
    <row r="210">
      <c r="A210" s="35"/>
      <c r="B210" s="35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52"/>
    </row>
    <row r="211">
      <c r="A211" s="35"/>
      <c r="B211" s="35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52"/>
    </row>
    <row r="212">
      <c r="A212" s="35"/>
      <c r="B212" s="35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52"/>
    </row>
    <row r="213">
      <c r="A213" s="35"/>
      <c r="B213" s="35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52"/>
    </row>
    <row r="214">
      <c r="A214" s="35"/>
      <c r="B214" s="35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52"/>
    </row>
    <row r="215">
      <c r="A215" s="35"/>
      <c r="B215" s="35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52"/>
    </row>
    <row r="216">
      <c r="A216" s="35"/>
      <c r="B216" s="35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52"/>
    </row>
    <row r="217">
      <c r="A217" s="35"/>
      <c r="B217" s="35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52"/>
    </row>
    <row r="218">
      <c r="A218" s="35"/>
      <c r="B218" s="35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52"/>
    </row>
    <row r="219">
      <c r="A219" s="35"/>
      <c r="B219" s="35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52"/>
    </row>
    <row r="220">
      <c r="A220" s="35"/>
      <c r="B220" s="35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52"/>
    </row>
    <row r="221">
      <c r="A221" s="35"/>
      <c r="B221" s="35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52"/>
    </row>
    <row r="222">
      <c r="A222" s="35"/>
      <c r="B222" s="35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52"/>
    </row>
    <row r="223">
      <c r="A223" s="35"/>
      <c r="B223" s="35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52"/>
    </row>
    <row r="224">
      <c r="A224" s="35"/>
      <c r="B224" s="35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52"/>
    </row>
    <row r="225">
      <c r="A225" s="35"/>
      <c r="B225" s="35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52"/>
    </row>
    <row r="226">
      <c r="A226" s="35"/>
      <c r="B226" s="35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52"/>
    </row>
    <row r="227">
      <c r="A227" s="35"/>
      <c r="B227" s="35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52"/>
    </row>
    <row r="228">
      <c r="A228" s="35"/>
      <c r="B228" s="35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52"/>
    </row>
    <row r="229">
      <c r="A229" s="35"/>
      <c r="B229" s="35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52"/>
    </row>
    <row r="230">
      <c r="A230" s="35"/>
      <c r="B230" s="35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52"/>
    </row>
    <row r="231">
      <c r="A231" s="35"/>
      <c r="B231" s="35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52"/>
    </row>
    <row r="232">
      <c r="A232" s="35"/>
      <c r="B232" s="35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52"/>
    </row>
    <row r="233">
      <c r="A233" s="35"/>
      <c r="B233" s="35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52"/>
    </row>
    <row r="234">
      <c r="A234" s="35"/>
      <c r="B234" s="35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52"/>
    </row>
    <row r="235">
      <c r="A235" s="35"/>
      <c r="B235" s="35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52"/>
    </row>
    <row r="236">
      <c r="A236" s="35"/>
      <c r="B236" s="35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52"/>
    </row>
    <row r="237">
      <c r="A237" s="35"/>
      <c r="B237" s="35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52"/>
    </row>
    <row r="238">
      <c r="A238" s="35"/>
      <c r="B238" s="35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52"/>
    </row>
    <row r="239">
      <c r="A239" s="35"/>
      <c r="B239" s="35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52"/>
    </row>
    <row r="240">
      <c r="A240" s="35"/>
      <c r="B240" s="35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52"/>
    </row>
    <row r="241">
      <c r="A241" s="35"/>
      <c r="B241" s="35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52"/>
    </row>
    <row r="242">
      <c r="A242" s="35"/>
      <c r="B242" s="35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52"/>
    </row>
    <row r="243">
      <c r="A243" s="35"/>
      <c r="B243" s="35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52"/>
    </row>
    <row r="244">
      <c r="A244" s="35"/>
      <c r="B244" s="35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52"/>
    </row>
    <row r="245">
      <c r="A245" s="35"/>
      <c r="B245" s="35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52"/>
    </row>
    <row r="246">
      <c r="A246" s="35"/>
      <c r="B246" s="35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52"/>
    </row>
    <row r="247">
      <c r="A247" s="35"/>
      <c r="B247" s="35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52"/>
    </row>
    <row r="248">
      <c r="A248" s="35"/>
      <c r="B248" s="35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52"/>
    </row>
    <row r="249">
      <c r="A249" s="35"/>
      <c r="B249" s="35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52"/>
    </row>
    <row r="250">
      <c r="A250" s="35"/>
      <c r="B250" s="35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52"/>
    </row>
    <row r="251">
      <c r="A251" s="35"/>
      <c r="B251" s="35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52"/>
    </row>
    <row r="252">
      <c r="A252" s="35"/>
      <c r="B252" s="35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52"/>
    </row>
    <row r="253">
      <c r="A253" s="35"/>
      <c r="B253" s="35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52"/>
    </row>
    <row r="254">
      <c r="A254" s="35"/>
      <c r="B254" s="35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52"/>
    </row>
    <row r="255">
      <c r="A255" s="35"/>
      <c r="B255" s="35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52"/>
    </row>
    <row r="256">
      <c r="A256" s="35"/>
      <c r="B256" s="35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52"/>
    </row>
    <row r="257">
      <c r="A257" s="35"/>
      <c r="B257" s="35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52"/>
    </row>
    <row r="258">
      <c r="A258" s="35"/>
      <c r="B258" s="35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52"/>
    </row>
    <row r="259">
      <c r="A259" s="35"/>
      <c r="B259" s="35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52"/>
    </row>
    <row r="260">
      <c r="A260" s="35"/>
      <c r="B260" s="35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52"/>
    </row>
    <row r="261">
      <c r="A261" s="35"/>
      <c r="B261" s="35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52"/>
    </row>
    <row r="262">
      <c r="A262" s="35"/>
      <c r="B262" s="35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52"/>
    </row>
    <row r="263">
      <c r="A263" s="35"/>
      <c r="B263" s="35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52"/>
    </row>
    <row r="264">
      <c r="A264" s="35"/>
      <c r="B264" s="35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52"/>
    </row>
    <row r="265">
      <c r="A265" s="35"/>
      <c r="B265" s="35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52"/>
    </row>
    <row r="266">
      <c r="A266" s="35"/>
      <c r="B266" s="35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52"/>
    </row>
    <row r="267">
      <c r="A267" s="35"/>
      <c r="B267" s="35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52"/>
    </row>
    <row r="268">
      <c r="A268" s="35"/>
      <c r="B268" s="35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52"/>
    </row>
    <row r="269">
      <c r="A269" s="35"/>
      <c r="B269" s="35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52"/>
    </row>
    <row r="270">
      <c r="A270" s="35"/>
      <c r="B270" s="35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52"/>
    </row>
    <row r="271">
      <c r="A271" s="35"/>
      <c r="B271" s="35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52"/>
    </row>
    <row r="272">
      <c r="A272" s="35"/>
      <c r="B272" s="35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52"/>
    </row>
    <row r="273">
      <c r="A273" s="35"/>
      <c r="B273" s="35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52"/>
    </row>
    <row r="274">
      <c r="A274" s="35"/>
      <c r="B274" s="35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52"/>
    </row>
    <row r="275">
      <c r="A275" s="35"/>
      <c r="B275" s="35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52"/>
    </row>
    <row r="276">
      <c r="A276" s="35"/>
      <c r="B276" s="35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52"/>
    </row>
    <row r="277">
      <c r="A277" s="35"/>
      <c r="B277" s="35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52"/>
    </row>
    <row r="278">
      <c r="A278" s="35"/>
      <c r="B278" s="35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52"/>
    </row>
    <row r="279">
      <c r="A279" s="35"/>
      <c r="B279" s="35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52"/>
    </row>
    <row r="280">
      <c r="A280" s="35"/>
      <c r="B280" s="35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52"/>
    </row>
    <row r="281">
      <c r="A281" s="35"/>
      <c r="B281" s="35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52"/>
    </row>
    <row r="282">
      <c r="A282" s="35"/>
      <c r="B282" s="35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52"/>
    </row>
    <row r="283">
      <c r="A283" s="35"/>
      <c r="B283" s="35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52"/>
    </row>
    <row r="284">
      <c r="A284" s="35"/>
      <c r="B284" s="35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52"/>
    </row>
    <row r="285">
      <c r="A285" s="35"/>
      <c r="B285" s="35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52"/>
    </row>
    <row r="286">
      <c r="A286" s="35"/>
      <c r="B286" s="35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52"/>
    </row>
    <row r="287">
      <c r="A287" s="35"/>
      <c r="B287" s="35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52"/>
    </row>
    <row r="288">
      <c r="A288" s="35"/>
      <c r="B288" s="35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52"/>
    </row>
    <row r="289">
      <c r="A289" s="35"/>
      <c r="B289" s="35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52"/>
    </row>
    <row r="290">
      <c r="A290" s="35"/>
      <c r="B290" s="35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52"/>
    </row>
    <row r="291">
      <c r="A291" s="35"/>
      <c r="B291" s="35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52"/>
    </row>
    <row r="292">
      <c r="A292" s="35"/>
      <c r="B292" s="35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52"/>
    </row>
    <row r="293">
      <c r="A293" s="35"/>
      <c r="B293" s="35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52"/>
    </row>
    <row r="294">
      <c r="A294" s="35"/>
      <c r="B294" s="35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52"/>
    </row>
    <row r="295">
      <c r="A295" s="35"/>
      <c r="B295" s="35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52"/>
    </row>
    <row r="296">
      <c r="A296" s="35"/>
      <c r="B296" s="35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52"/>
    </row>
    <row r="297">
      <c r="A297" s="35"/>
      <c r="B297" s="35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52"/>
    </row>
    <row r="298">
      <c r="A298" s="35"/>
      <c r="B298" s="35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52"/>
    </row>
    <row r="299">
      <c r="A299" s="35"/>
      <c r="B299" s="35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52"/>
    </row>
    <row r="300">
      <c r="A300" s="35"/>
      <c r="B300" s="35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52"/>
    </row>
    <row r="301">
      <c r="A301" s="35"/>
      <c r="B301" s="35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52"/>
    </row>
    <row r="302">
      <c r="A302" s="35"/>
      <c r="B302" s="35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52"/>
    </row>
    <row r="303">
      <c r="A303" s="35"/>
      <c r="B303" s="35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52"/>
    </row>
    <row r="304">
      <c r="A304" s="35"/>
      <c r="B304" s="35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52"/>
    </row>
    <row r="305">
      <c r="A305" s="35"/>
      <c r="B305" s="35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52"/>
    </row>
    <row r="306">
      <c r="A306" s="35"/>
      <c r="B306" s="35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52"/>
    </row>
    <row r="307">
      <c r="A307" s="35"/>
      <c r="B307" s="35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52"/>
    </row>
    <row r="308">
      <c r="A308" s="35"/>
      <c r="B308" s="35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52"/>
    </row>
    <row r="309">
      <c r="A309" s="35"/>
      <c r="B309" s="35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52"/>
    </row>
    <row r="310">
      <c r="A310" s="35"/>
      <c r="B310" s="35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52"/>
    </row>
    <row r="311">
      <c r="A311" s="35"/>
      <c r="B311" s="35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52"/>
    </row>
    <row r="312">
      <c r="A312" s="35"/>
      <c r="B312" s="35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52"/>
    </row>
    <row r="313">
      <c r="A313" s="35"/>
      <c r="B313" s="35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52"/>
    </row>
    <row r="314">
      <c r="A314" s="35"/>
      <c r="B314" s="35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52"/>
    </row>
    <row r="315">
      <c r="A315" s="35"/>
      <c r="B315" s="35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52"/>
    </row>
    <row r="316">
      <c r="A316" s="35"/>
      <c r="B316" s="35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52"/>
    </row>
    <row r="317">
      <c r="A317" s="35"/>
      <c r="B317" s="35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52"/>
    </row>
    <row r="318">
      <c r="A318" s="35"/>
      <c r="B318" s="35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52"/>
    </row>
    <row r="319">
      <c r="A319" s="35"/>
      <c r="B319" s="35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52"/>
    </row>
    <row r="320">
      <c r="A320" s="35"/>
      <c r="B320" s="35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52"/>
    </row>
    <row r="321">
      <c r="A321" s="35"/>
      <c r="B321" s="35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52"/>
    </row>
    <row r="322">
      <c r="A322" s="35"/>
      <c r="B322" s="35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52"/>
    </row>
    <row r="323">
      <c r="A323" s="35"/>
      <c r="B323" s="35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52"/>
    </row>
    <row r="324">
      <c r="A324" s="35"/>
      <c r="B324" s="35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52"/>
    </row>
    <row r="325">
      <c r="A325" s="35"/>
      <c r="B325" s="35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52"/>
    </row>
    <row r="326">
      <c r="A326" s="35"/>
      <c r="B326" s="35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52"/>
    </row>
    <row r="327">
      <c r="A327" s="35"/>
      <c r="B327" s="35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52"/>
    </row>
    <row r="328">
      <c r="A328" s="35"/>
      <c r="B328" s="35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52"/>
    </row>
    <row r="329">
      <c r="A329" s="35"/>
      <c r="B329" s="35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52"/>
    </row>
    <row r="330">
      <c r="A330" s="35"/>
      <c r="B330" s="35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52"/>
    </row>
    <row r="331">
      <c r="A331" s="35"/>
      <c r="B331" s="35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52"/>
    </row>
    <row r="332">
      <c r="A332" s="35"/>
      <c r="B332" s="35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52"/>
    </row>
    <row r="333">
      <c r="A333" s="35"/>
      <c r="B333" s="35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52"/>
    </row>
    <row r="334">
      <c r="A334" s="35"/>
      <c r="B334" s="35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52"/>
    </row>
    <row r="335">
      <c r="A335" s="35"/>
      <c r="B335" s="35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52"/>
    </row>
    <row r="336">
      <c r="A336" s="35"/>
      <c r="B336" s="35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52"/>
    </row>
    <row r="337">
      <c r="A337" s="35"/>
      <c r="B337" s="35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52"/>
    </row>
    <row r="338">
      <c r="A338" s="35"/>
      <c r="B338" s="35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52"/>
    </row>
    <row r="339">
      <c r="A339" s="35"/>
      <c r="B339" s="35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52"/>
    </row>
    <row r="340">
      <c r="A340" s="35"/>
      <c r="B340" s="35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52"/>
    </row>
    <row r="341">
      <c r="A341" s="35"/>
      <c r="B341" s="35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52"/>
    </row>
    <row r="342">
      <c r="A342" s="35"/>
      <c r="B342" s="35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52"/>
    </row>
    <row r="343">
      <c r="A343" s="35"/>
      <c r="B343" s="35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52"/>
    </row>
    <row r="344">
      <c r="A344" s="35"/>
      <c r="B344" s="35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52"/>
    </row>
    <row r="345">
      <c r="A345" s="35"/>
      <c r="B345" s="35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52"/>
    </row>
    <row r="346">
      <c r="A346" s="35"/>
      <c r="B346" s="35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52"/>
    </row>
    <row r="347">
      <c r="A347" s="35"/>
      <c r="B347" s="35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52"/>
    </row>
    <row r="348">
      <c r="A348" s="35"/>
      <c r="B348" s="35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52"/>
    </row>
    <row r="349">
      <c r="A349" s="35"/>
      <c r="B349" s="35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52"/>
    </row>
    <row r="350">
      <c r="A350" s="35"/>
      <c r="B350" s="35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52"/>
    </row>
    <row r="351">
      <c r="A351" s="35"/>
      <c r="B351" s="35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52"/>
    </row>
    <row r="352">
      <c r="A352" s="35"/>
      <c r="B352" s="35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52"/>
    </row>
    <row r="353">
      <c r="A353" s="35"/>
      <c r="B353" s="35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52"/>
    </row>
    <row r="354">
      <c r="A354" s="35"/>
      <c r="B354" s="35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52"/>
    </row>
    <row r="355">
      <c r="A355" s="35"/>
      <c r="B355" s="35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52"/>
    </row>
    <row r="356">
      <c r="A356" s="35"/>
      <c r="B356" s="35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52"/>
    </row>
    <row r="357">
      <c r="A357" s="35"/>
      <c r="B357" s="35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52"/>
    </row>
    <row r="358">
      <c r="A358" s="35"/>
      <c r="B358" s="35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52"/>
    </row>
    <row r="359">
      <c r="A359" s="35"/>
      <c r="B359" s="35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52"/>
    </row>
    <row r="360">
      <c r="A360" s="35"/>
      <c r="B360" s="35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52"/>
    </row>
    <row r="361">
      <c r="A361" s="35"/>
      <c r="B361" s="35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52"/>
    </row>
    <row r="362">
      <c r="A362" s="35"/>
      <c r="B362" s="35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52"/>
    </row>
    <row r="363">
      <c r="A363" s="35"/>
      <c r="B363" s="35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52"/>
    </row>
    <row r="364">
      <c r="A364" s="35"/>
      <c r="B364" s="35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52"/>
    </row>
    <row r="365">
      <c r="A365" s="35"/>
      <c r="B365" s="35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52"/>
    </row>
    <row r="366">
      <c r="A366" s="35"/>
      <c r="B366" s="35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52"/>
    </row>
    <row r="367">
      <c r="A367" s="35"/>
      <c r="B367" s="35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52"/>
    </row>
    <row r="368">
      <c r="A368" s="35"/>
      <c r="B368" s="35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52"/>
    </row>
    <row r="369">
      <c r="A369" s="35"/>
      <c r="B369" s="35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52"/>
    </row>
    <row r="370">
      <c r="A370" s="35"/>
      <c r="B370" s="35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52"/>
    </row>
    <row r="371">
      <c r="A371" s="35"/>
      <c r="B371" s="35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52"/>
    </row>
    <row r="372">
      <c r="A372" s="35"/>
      <c r="B372" s="35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52"/>
    </row>
    <row r="373">
      <c r="A373" s="35"/>
      <c r="B373" s="35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52"/>
    </row>
    <row r="374">
      <c r="A374" s="35"/>
      <c r="B374" s="35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52"/>
    </row>
    <row r="375">
      <c r="A375" s="35"/>
      <c r="B375" s="35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52"/>
    </row>
    <row r="376">
      <c r="A376" s="35"/>
      <c r="B376" s="35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52"/>
    </row>
    <row r="377">
      <c r="A377" s="35"/>
      <c r="B377" s="35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52"/>
    </row>
    <row r="378">
      <c r="A378" s="35"/>
      <c r="B378" s="35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52"/>
    </row>
    <row r="379">
      <c r="A379" s="35"/>
      <c r="B379" s="35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52"/>
    </row>
    <row r="380">
      <c r="A380" s="35"/>
      <c r="B380" s="35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52"/>
    </row>
    <row r="381">
      <c r="A381" s="35"/>
      <c r="B381" s="35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52"/>
    </row>
    <row r="382">
      <c r="A382" s="35"/>
      <c r="B382" s="35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52"/>
    </row>
    <row r="383">
      <c r="A383" s="35"/>
      <c r="B383" s="35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52"/>
    </row>
    <row r="384">
      <c r="A384" s="35"/>
      <c r="B384" s="35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52"/>
    </row>
    <row r="385">
      <c r="A385" s="35"/>
      <c r="B385" s="35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52"/>
    </row>
    <row r="386">
      <c r="A386" s="35"/>
      <c r="B386" s="35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52"/>
    </row>
    <row r="387">
      <c r="A387" s="35"/>
      <c r="B387" s="35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52"/>
    </row>
    <row r="388">
      <c r="A388" s="35"/>
      <c r="B388" s="35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52"/>
    </row>
    <row r="389">
      <c r="A389" s="35"/>
      <c r="B389" s="35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52"/>
    </row>
    <row r="390">
      <c r="A390" s="35"/>
      <c r="B390" s="35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52"/>
    </row>
    <row r="391">
      <c r="A391" s="35"/>
      <c r="B391" s="35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52"/>
    </row>
    <row r="392">
      <c r="A392" s="35"/>
      <c r="B392" s="35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52"/>
    </row>
    <row r="393">
      <c r="A393" s="35"/>
      <c r="B393" s="35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52"/>
    </row>
    <row r="394">
      <c r="A394" s="35"/>
      <c r="B394" s="35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52"/>
    </row>
    <row r="395">
      <c r="A395" s="35"/>
      <c r="B395" s="35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52"/>
    </row>
    <row r="396">
      <c r="A396" s="35"/>
      <c r="B396" s="35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52"/>
    </row>
    <row r="397">
      <c r="A397" s="35"/>
      <c r="B397" s="35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52"/>
    </row>
    <row r="398">
      <c r="A398" s="35"/>
      <c r="B398" s="35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52"/>
    </row>
    <row r="399">
      <c r="A399" s="35"/>
      <c r="B399" s="35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52"/>
    </row>
    <row r="400">
      <c r="A400" s="35"/>
      <c r="B400" s="35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52"/>
    </row>
    <row r="401">
      <c r="A401" s="35"/>
      <c r="B401" s="35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52"/>
    </row>
    <row r="402">
      <c r="A402" s="35"/>
      <c r="B402" s="35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52"/>
    </row>
    <row r="403">
      <c r="A403" s="35"/>
      <c r="B403" s="35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52"/>
    </row>
    <row r="404">
      <c r="A404" s="35"/>
      <c r="B404" s="35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52"/>
    </row>
    <row r="405">
      <c r="A405" s="35"/>
      <c r="B405" s="35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52"/>
    </row>
    <row r="406">
      <c r="A406" s="35"/>
      <c r="B406" s="35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52"/>
    </row>
    <row r="407">
      <c r="A407" s="35"/>
      <c r="B407" s="35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52"/>
    </row>
    <row r="408">
      <c r="A408" s="35"/>
      <c r="B408" s="35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52"/>
    </row>
    <row r="409">
      <c r="A409" s="35"/>
      <c r="B409" s="35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52"/>
    </row>
    <row r="410">
      <c r="A410" s="35"/>
      <c r="B410" s="35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52"/>
    </row>
    <row r="411">
      <c r="A411" s="35"/>
      <c r="B411" s="35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52"/>
    </row>
    <row r="412">
      <c r="A412" s="35"/>
      <c r="B412" s="35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52"/>
    </row>
    <row r="413">
      <c r="A413" s="35"/>
      <c r="B413" s="35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52"/>
    </row>
    <row r="414">
      <c r="A414" s="35"/>
      <c r="B414" s="35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52"/>
    </row>
    <row r="415">
      <c r="A415" s="35"/>
      <c r="B415" s="35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52"/>
    </row>
    <row r="416">
      <c r="A416" s="35"/>
      <c r="B416" s="35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52"/>
    </row>
    <row r="417">
      <c r="A417" s="35"/>
      <c r="B417" s="35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52"/>
    </row>
    <row r="418">
      <c r="A418" s="35"/>
      <c r="B418" s="35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52"/>
    </row>
    <row r="419">
      <c r="A419" s="35"/>
      <c r="B419" s="35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52"/>
    </row>
    <row r="420">
      <c r="A420" s="35"/>
      <c r="B420" s="35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52"/>
    </row>
    <row r="421">
      <c r="A421" s="35"/>
      <c r="B421" s="35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52"/>
    </row>
    <row r="422">
      <c r="A422" s="35"/>
      <c r="B422" s="35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52"/>
    </row>
    <row r="423">
      <c r="A423" s="35"/>
      <c r="B423" s="35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52"/>
    </row>
    <row r="424">
      <c r="A424" s="35"/>
      <c r="B424" s="35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52"/>
    </row>
    <row r="425">
      <c r="A425" s="35"/>
      <c r="B425" s="35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52"/>
    </row>
    <row r="426">
      <c r="A426" s="35"/>
      <c r="B426" s="35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52"/>
    </row>
    <row r="427">
      <c r="A427" s="35"/>
      <c r="B427" s="35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52"/>
    </row>
    <row r="428">
      <c r="A428" s="35"/>
      <c r="B428" s="35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52"/>
    </row>
    <row r="429">
      <c r="A429" s="35"/>
      <c r="B429" s="35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52"/>
    </row>
    <row r="430">
      <c r="A430" s="35"/>
      <c r="B430" s="35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52"/>
    </row>
    <row r="431">
      <c r="A431" s="35"/>
      <c r="B431" s="35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52"/>
    </row>
    <row r="432">
      <c r="A432" s="35"/>
      <c r="B432" s="35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52"/>
    </row>
    <row r="433">
      <c r="A433" s="35"/>
      <c r="B433" s="35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52"/>
    </row>
    <row r="434">
      <c r="A434" s="35"/>
      <c r="B434" s="35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52"/>
    </row>
    <row r="435">
      <c r="A435" s="35"/>
      <c r="B435" s="35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52"/>
    </row>
    <row r="436">
      <c r="A436" s="35"/>
      <c r="B436" s="35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52"/>
    </row>
    <row r="437">
      <c r="A437" s="35"/>
      <c r="B437" s="35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52"/>
    </row>
    <row r="438">
      <c r="A438" s="35"/>
      <c r="B438" s="35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52"/>
    </row>
    <row r="439">
      <c r="A439" s="35"/>
      <c r="B439" s="35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52"/>
    </row>
    <row r="440">
      <c r="A440" s="35"/>
      <c r="B440" s="35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52"/>
    </row>
    <row r="441">
      <c r="A441" s="35"/>
      <c r="B441" s="35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52"/>
    </row>
    <row r="442">
      <c r="A442" s="35"/>
      <c r="B442" s="35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52"/>
    </row>
    <row r="443">
      <c r="A443" s="35"/>
      <c r="B443" s="35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52"/>
    </row>
    <row r="444">
      <c r="A444" s="35"/>
      <c r="B444" s="35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52"/>
    </row>
    <row r="445">
      <c r="A445" s="35"/>
      <c r="B445" s="35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52"/>
    </row>
    <row r="446">
      <c r="A446" s="35"/>
      <c r="B446" s="35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52"/>
    </row>
    <row r="447">
      <c r="A447" s="35"/>
      <c r="B447" s="35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52"/>
    </row>
    <row r="448">
      <c r="A448" s="35"/>
      <c r="B448" s="35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52"/>
    </row>
    <row r="449">
      <c r="A449" s="35"/>
      <c r="B449" s="35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52"/>
    </row>
    <row r="450">
      <c r="A450" s="35"/>
      <c r="B450" s="35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52"/>
    </row>
    <row r="451">
      <c r="A451" s="35"/>
      <c r="B451" s="35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52"/>
    </row>
    <row r="452">
      <c r="A452" s="35"/>
      <c r="B452" s="35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52"/>
    </row>
    <row r="453">
      <c r="A453" s="35"/>
      <c r="B453" s="35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52"/>
    </row>
    <row r="454">
      <c r="A454" s="35"/>
      <c r="B454" s="35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52"/>
    </row>
    <row r="455">
      <c r="A455" s="35"/>
      <c r="B455" s="35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52"/>
    </row>
    <row r="456">
      <c r="A456" s="35"/>
      <c r="B456" s="35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52"/>
    </row>
    <row r="457">
      <c r="A457" s="35"/>
      <c r="B457" s="35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52"/>
    </row>
    <row r="458">
      <c r="A458" s="35"/>
      <c r="B458" s="35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52"/>
    </row>
    <row r="459">
      <c r="A459" s="35"/>
      <c r="B459" s="35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52"/>
    </row>
    <row r="460">
      <c r="A460" s="35"/>
      <c r="B460" s="35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52"/>
    </row>
    <row r="461">
      <c r="A461" s="35"/>
      <c r="B461" s="35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52"/>
    </row>
    <row r="462">
      <c r="A462" s="35"/>
      <c r="B462" s="35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52"/>
    </row>
    <row r="463">
      <c r="A463" s="35"/>
      <c r="B463" s="35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52"/>
    </row>
    <row r="464">
      <c r="A464" s="35"/>
      <c r="B464" s="35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52"/>
    </row>
    <row r="465">
      <c r="A465" s="35"/>
      <c r="B465" s="35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52"/>
    </row>
    <row r="466">
      <c r="A466" s="35"/>
      <c r="B466" s="35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52"/>
    </row>
    <row r="467">
      <c r="A467" s="35"/>
      <c r="B467" s="35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52"/>
    </row>
    <row r="468">
      <c r="A468" s="35"/>
      <c r="B468" s="35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52"/>
    </row>
    <row r="469">
      <c r="A469" s="35"/>
      <c r="B469" s="35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52"/>
    </row>
    <row r="470">
      <c r="A470" s="35"/>
      <c r="B470" s="35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52"/>
    </row>
    <row r="471">
      <c r="A471" s="35"/>
      <c r="B471" s="35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52"/>
    </row>
    <row r="472">
      <c r="A472" s="35"/>
      <c r="B472" s="35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52"/>
    </row>
    <row r="473">
      <c r="A473" s="35"/>
      <c r="B473" s="35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52"/>
    </row>
    <row r="474">
      <c r="A474" s="35"/>
      <c r="B474" s="35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52"/>
    </row>
    <row r="475">
      <c r="A475" s="35"/>
      <c r="B475" s="35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52"/>
    </row>
    <row r="476">
      <c r="A476" s="35"/>
      <c r="B476" s="35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52"/>
    </row>
    <row r="477">
      <c r="A477" s="35"/>
      <c r="B477" s="35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52"/>
    </row>
    <row r="478">
      <c r="A478" s="35"/>
      <c r="B478" s="35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52"/>
    </row>
    <row r="479">
      <c r="A479" s="35"/>
      <c r="B479" s="35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52"/>
    </row>
    <row r="480">
      <c r="A480" s="35"/>
      <c r="B480" s="35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52"/>
    </row>
    <row r="481">
      <c r="A481" s="35"/>
      <c r="B481" s="35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52"/>
    </row>
    <row r="482">
      <c r="A482" s="35"/>
      <c r="B482" s="35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52"/>
    </row>
    <row r="483">
      <c r="A483" s="35"/>
      <c r="B483" s="35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52"/>
    </row>
    <row r="484">
      <c r="A484" s="35"/>
      <c r="B484" s="35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52"/>
    </row>
    <row r="485">
      <c r="A485" s="35"/>
      <c r="B485" s="35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52"/>
    </row>
    <row r="486">
      <c r="A486" s="35"/>
      <c r="B486" s="35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52"/>
    </row>
    <row r="487">
      <c r="A487" s="35"/>
      <c r="B487" s="35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52"/>
    </row>
    <row r="488">
      <c r="A488" s="35"/>
      <c r="B488" s="35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52"/>
    </row>
    <row r="489">
      <c r="A489" s="35"/>
      <c r="B489" s="35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52"/>
    </row>
    <row r="490">
      <c r="A490" s="35"/>
      <c r="B490" s="35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52"/>
    </row>
    <row r="491">
      <c r="A491" s="35"/>
      <c r="B491" s="35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52"/>
    </row>
    <row r="492">
      <c r="A492" s="35"/>
      <c r="B492" s="35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52"/>
    </row>
    <row r="493">
      <c r="A493" s="35"/>
      <c r="B493" s="35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52"/>
    </row>
    <row r="494">
      <c r="A494" s="35"/>
      <c r="B494" s="35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52"/>
    </row>
    <row r="495">
      <c r="A495" s="35"/>
      <c r="B495" s="35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52"/>
    </row>
    <row r="496">
      <c r="A496" s="35"/>
      <c r="B496" s="35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52"/>
    </row>
    <row r="497">
      <c r="A497" s="35"/>
      <c r="B497" s="35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52"/>
    </row>
    <row r="498">
      <c r="A498" s="35"/>
      <c r="B498" s="35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52"/>
    </row>
    <row r="499">
      <c r="A499" s="35"/>
      <c r="B499" s="35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52"/>
    </row>
    <row r="500">
      <c r="A500" s="35"/>
      <c r="B500" s="35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52"/>
    </row>
    <row r="501">
      <c r="A501" s="35"/>
      <c r="B501" s="35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52"/>
    </row>
    <row r="502">
      <c r="A502" s="35"/>
      <c r="B502" s="35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52"/>
    </row>
    <row r="503">
      <c r="A503" s="35"/>
      <c r="B503" s="35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52"/>
    </row>
    <row r="504">
      <c r="A504" s="35"/>
      <c r="B504" s="35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52"/>
    </row>
    <row r="505">
      <c r="A505" s="35"/>
      <c r="B505" s="35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52"/>
    </row>
    <row r="506">
      <c r="A506" s="35"/>
      <c r="B506" s="35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52"/>
    </row>
    <row r="507">
      <c r="A507" s="35"/>
      <c r="B507" s="35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52"/>
    </row>
    <row r="508">
      <c r="A508" s="35"/>
      <c r="B508" s="35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52"/>
    </row>
    <row r="509">
      <c r="A509" s="35"/>
      <c r="B509" s="35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52"/>
    </row>
    <row r="510">
      <c r="A510" s="35"/>
      <c r="B510" s="35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52"/>
    </row>
    <row r="511">
      <c r="A511" s="35"/>
      <c r="B511" s="35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52"/>
    </row>
    <row r="512">
      <c r="A512" s="35"/>
      <c r="B512" s="35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52"/>
    </row>
    <row r="513">
      <c r="A513" s="35"/>
      <c r="B513" s="35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52"/>
    </row>
    <row r="514">
      <c r="A514" s="35"/>
      <c r="B514" s="35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52"/>
    </row>
    <row r="515">
      <c r="A515" s="35"/>
      <c r="B515" s="35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52"/>
    </row>
    <row r="516">
      <c r="A516" s="35"/>
      <c r="B516" s="35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52"/>
    </row>
    <row r="517">
      <c r="A517" s="35"/>
      <c r="B517" s="35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52"/>
    </row>
    <row r="518">
      <c r="A518" s="35"/>
      <c r="B518" s="35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52"/>
    </row>
    <row r="519">
      <c r="A519" s="35"/>
      <c r="B519" s="35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52"/>
    </row>
    <row r="520">
      <c r="A520" s="35"/>
      <c r="B520" s="35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52"/>
    </row>
    <row r="521">
      <c r="A521" s="35"/>
      <c r="B521" s="35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52"/>
    </row>
    <row r="522">
      <c r="A522" s="35"/>
      <c r="B522" s="35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52"/>
    </row>
    <row r="523">
      <c r="A523" s="35"/>
      <c r="B523" s="35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52"/>
    </row>
    <row r="524">
      <c r="A524" s="35"/>
      <c r="B524" s="35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52"/>
    </row>
    <row r="525">
      <c r="A525" s="35"/>
      <c r="B525" s="35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52"/>
    </row>
    <row r="526">
      <c r="A526" s="35"/>
      <c r="B526" s="35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52"/>
    </row>
    <row r="527">
      <c r="A527" s="35"/>
      <c r="B527" s="35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52"/>
    </row>
    <row r="528">
      <c r="A528" s="35"/>
      <c r="B528" s="35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52"/>
    </row>
    <row r="529">
      <c r="A529" s="35"/>
      <c r="B529" s="35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52"/>
    </row>
    <row r="530">
      <c r="A530" s="35"/>
      <c r="B530" s="35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52"/>
    </row>
    <row r="531">
      <c r="A531" s="35"/>
      <c r="B531" s="35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52"/>
    </row>
    <row r="532">
      <c r="A532" s="35"/>
      <c r="B532" s="35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52"/>
    </row>
    <row r="533">
      <c r="A533" s="35"/>
      <c r="B533" s="35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52"/>
    </row>
    <row r="534">
      <c r="A534" s="35"/>
      <c r="B534" s="35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52"/>
    </row>
    <row r="535">
      <c r="A535" s="35"/>
      <c r="B535" s="35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52"/>
    </row>
    <row r="536">
      <c r="A536" s="35"/>
      <c r="B536" s="35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52"/>
    </row>
    <row r="537">
      <c r="A537" s="35"/>
      <c r="B537" s="35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52"/>
    </row>
    <row r="538">
      <c r="A538" s="35"/>
      <c r="B538" s="35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52"/>
    </row>
    <row r="539">
      <c r="A539" s="35"/>
      <c r="B539" s="35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52"/>
    </row>
    <row r="540">
      <c r="A540" s="35"/>
      <c r="B540" s="35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52"/>
    </row>
    <row r="541">
      <c r="A541" s="35"/>
      <c r="B541" s="35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52"/>
    </row>
    <row r="542">
      <c r="A542" s="35"/>
      <c r="B542" s="35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52"/>
    </row>
    <row r="543">
      <c r="A543" s="35"/>
      <c r="B543" s="35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52"/>
    </row>
    <row r="544">
      <c r="A544" s="35"/>
      <c r="B544" s="35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52"/>
    </row>
    <row r="545">
      <c r="A545" s="35"/>
      <c r="B545" s="35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52"/>
    </row>
    <row r="546">
      <c r="A546" s="35"/>
      <c r="B546" s="35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52"/>
    </row>
    <row r="547">
      <c r="A547" s="35"/>
      <c r="B547" s="35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52"/>
    </row>
    <row r="548">
      <c r="A548" s="35"/>
      <c r="B548" s="35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52"/>
    </row>
    <row r="549">
      <c r="A549" s="35"/>
      <c r="B549" s="35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52"/>
    </row>
    <row r="550">
      <c r="A550" s="35"/>
      <c r="B550" s="35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52"/>
    </row>
    <row r="551">
      <c r="A551" s="35"/>
      <c r="B551" s="35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52"/>
    </row>
    <row r="552">
      <c r="A552" s="35"/>
      <c r="B552" s="35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52"/>
    </row>
    <row r="553">
      <c r="A553" s="35"/>
      <c r="B553" s="35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52"/>
    </row>
    <row r="554">
      <c r="A554" s="35"/>
      <c r="B554" s="35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52"/>
    </row>
    <row r="555">
      <c r="A555" s="35"/>
      <c r="B555" s="35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52"/>
    </row>
    <row r="556">
      <c r="A556" s="35"/>
      <c r="B556" s="35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52"/>
    </row>
    <row r="557">
      <c r="A557" s="35"/>
      <c r="B557" s="35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52"/>
    </row>
    <row r="558">
      <c r="A558" s="35"/>
      <c r="B558" s="35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52"/>
    </row>
    <row r="559">
      <c r="A559" s="35"/>
      <c r="B559" s="35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52"/>
    </row>
    <row r="560">
      <c r="A560" s="35"/>
      <c r="B560" s="35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52"/>
    </row>
    <row r="561">
      <c r="A561" s="35"/>
      <c r="B561" s="35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52"/>
    </row>
    <row r="562">
      <c r="A562" s="35"/>
      <c r="B562" s="35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52"/>
    </row>
    <row r="563">
      <c r="A563" s="35"/>
      <c r="B563" s="35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52"/>
    </row>
    <row r="564">
      <c r="A564" s="35"/>
      <c r="B564" s="35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52"/>
    </row>
    <row r="565">
      <c r="A565" s="35"/>
      <c r="B565" s="35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52"/>
    </row>
    <row r="566">
      <c r="A566" s="35"/>
      <c r="B566" s="35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52"/>
    </row>
    <row r="567">
      <c r="A567" s="35"/>
      <c r="B567" s="35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52"/>
    </row>
    <row r="568">
      <c r="A568" s="35"/>
      <c r="B568" s="35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52"/>
    </row>
    <row r="569">
      <c r="A569" s="35"/>
      <c r="B569" s="35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52"/>
    </row>
    <row r="570">
      <c r="A570" s="35"/>
      <c r="B570" s="35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52"/>
    </row>
    <row r="571">
      <c r="A571" s="35"/>
      <c r="B571" s="35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52"/>
    </row>
    <row r="572">
      <c r="A572" s="35"/>
      <c r="B572" s="35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52"/>
    </row>
    <row r="573">
      <c r="A573" s="35"/>
      <c r="B573" s="35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52"/>
    </row>
    <row r="574">
      <c r="A574" s="35"/>
      <c r="B574" s="35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52"/>
    </row>
    <row r="575">
      <c r="A575" s="35"/>
      <c r="B575" s="35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52"/>
    </row>
    <row r="576">
      <c r="A576" s="35"/>
      <c r="B576" s="35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52"/>
    </row>
    <row r="577">
      <c r="A577" s="35"/>
      <c r="B577" s="35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52"/>
    </row>
    <row r="578">
      <c r="A578" s="35"/>
      <c r="B578" s="35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52"/>
    </row>
    <row r="579">
      <c r="A579" s="35"/>
      <c r="B579" s="35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52"/>
    </row>
    <row r="580">
      <c r="A580" s="35"/>
      <c r="B580" s="35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52"/>
    </row>
    <row r="581">
      <c r="A581" s="35"/>
      <c r="B581" s="35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52"/>
    </row>
    <row r="582">
      <c r="A582" s="35"/>
      <c r="B582" s="35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52"/>
    </row>
    <row r="583">
      <c r="A583" s="35"/>
      <c r="B583" s="35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52"/>
    </row>
    <row r="584">
      <c r="A584" s="35"/>
      <c r="B584" s="35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52"/>
    </row>
    <row r="585">
      <c r="A585" s="35"/>
      <c r="B585" s="35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52"/>
    </row>
    <row r="586">
      <c r="A586" s="35"/>
      <c r="B586" s="35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52"/>
    </row>
    <row r="587">
      <c r="A587" s="35"/>
      <c r="B587" s="35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52"/>
    </row>
    <row r="588">
      <c r="A588" s="35"/>
      <c r="B588" s="35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52"/>
    </row>
    <row r="589">
      <c r="A589" s="35"/>
      <c r="B589" s="35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52"/>
    </row>
    <row r="590">
      <c r="A590" s="35"/>
      <c r="B590" s="35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52"/>
    </row>
    <row r="591">
      <c r="A591" s="35"/>
      <c r="B591" s="35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52"/>
    </row>
    <row r="592">
      <c r="A592" s="35"/>
      <c r="B592" s="35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52"/>
    </row>
    <row r="593">
      <c r="A593" s="35"/>
      <c r="B593" s="35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52"/>
    </row>
    <row r="594">
      <c r="A594" s="35"/>
      <c r="B594" s="35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52"/>
    </row>
    <row r="595">
      <c r="A595" s="35"/>
      <c r="B595" s="35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52"/>
    </row>
    <row r="596">
      <c r="A596" s="35"/>
      <c r="B596" s="35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52"/>
    </row>
    <row r="597">
      <c r="A597" s="35"/>
      <c r="B597" s="35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52"/>
    </row>
    <row r="598">
      <c r="A598" s="35"/>
      <c r="B598" s="35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52"/>
    </row>
    <row r="599">
      <c r="A599" s="35"/>
      <c r="B599" s="35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52"/>
    </row>
    <row r="600">
      <c r="A600" s="35"/>
      <c r="B600" s="35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52"/>
    </row>
    <row r="601">
      <c r="A601" s="35"/>
      <c r="B601" s="35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52"/>
    </row>
    <row r="602">
      <c r="A602" s="35"/>
      <c r="B602" s="35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52"/>
    </row>
    <row r="603">
      <c r="A603" s="35"/>
      <c r="B603" s="35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52"/>
    </row>
    <row r="604">
      <c r="A604" s="35"/>
      <c r="B604" s="35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52"/>
    </row>
    <row r="605">
      <c r="A605" s="35"/>
      <c r="B605" s="35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52"/>
    </row>
    <row r="606">
      <c r="A606" s="35"/>
      <c r="B606" s="35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52"/>
    </row>
    <row r="607">
      <c r="A607" s="35"/>
      <c r="B607" s="35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52"/>
    </row>
    <row r="608">
      <c r="A608" s="35"/>
      <c r="B608" s="35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52"/>
    </row>
    <row r="609">
      <c r="A609" s="35"/>
      <c r="B609" s="35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52"/>
    </row>
    <row r="610">
      <c r="A610" s="35"/>
      <c r="B610" s="35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52"/>
    </row>
    <row r="611">
      <c r="A611" s="35"/>
      <c r="B611" s="35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52"/>
    </row>
    <row r="612">
      <c r="A612" s="35"/>
      <c r="B612" s="35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52"/>
    </row>
    <row r="613">
      <c r="A613" s="35"/>
      <c r="B613" s="35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52"/>
    </row>
    <row r="614">
      <c r="A614" s="35"/>
      <c r="B614" s="35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52"/>
    </row>
    <row r="615">
      <c r="A615" s="35"/>
      <c r="B615" s="35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52"/>
    </row>
    <row r="616">
      <c r="A616" s="35"/>
      <c r="B616" s="35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52"/>
    </row>
    <row r="617">
      <c r="A617" s="35"/>
      <c r="B617" s="35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52"/>
    </row>
    <row r="618">
      <c r="A618" s="35"/>
      <c r="B618" s="35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52"/>
    </row>
    <row r="619">
      <c r="A619" s="35"/>
      <c r="B619" s="35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52"/>
    </row>
    <row r="620">
      <c r="A620" s="35"/>
      <c r="B620" s="35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52"/>
    </row>
    <row r="621">
      <c r="A621" s="35"/>
      <c r="B621" s="35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52"/>
    </row>
    <row r="622">
      <c r="A622" s="35"/>
      <c r="B622" s="35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52"/>
    </row>
    <row r="623">
      <c r="A623" s="35"/>
      <c r="B623" s="35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52"/>
    </row>
    <row r="624">
      <c r="A624" s="35"/>
      <c r="B624" s="35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52"/>
    </row>
    <row r="625">
      <c r="A625" s="35"/>
      <c r="B625" s="35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52"/>
    </row>
    <row r="626">
      <c r="A626" s="35"/>
      <c r="B626" s="35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52"/>
    </row>
    <row r="627">
      <c r="A627" s="35"/>
      <c r="B627" s="35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52"/>
    </row>
    <row r="628">
      <c r="A628" s="35"/>
      <c r="B628" s="35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52"/>
    </row>
    <row r="629">
      <c r="A629" s="35"/>
      <c r="B629" s="35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52"/>
    </row>
    <row r="630">
      <c r="A630" s="35"/>
      <c r="B630" s="35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52"/>
    </row>
    <row r="631">
      <c r="A631" s="35"/>
      <c r="B631" s="35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52"/>
    </row>
    <row r="632">
      <c r="A632" s="35"/>
      <c r="B632" s="35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52"/>
    </row>
    <row r="633">
      <c r="A633" s="35"/>
      <c r="B633" s="35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52"/>
    </row>
    <row r="634">
      <c r="A634" s="35"/>
      <c r="B634" s="35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52"/>
    </row>
    <row r="635">
      <c r="A635" s="35"/>
      <c r="B635" s="35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52"/>
    </row>
    <row r="636">
      <c r="A636" s="35"/>
      <c r="B636" s="35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52"/>
    </row>
    <row r="637">
      <c r="A637" s="35"/>
      <c r="B637" s="35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52"/>
    </row>
    <row r="638">
      <c r="A638" s="35"/>
      <c r="B638" s="35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52"/>
    </row>
    <row r="639">
      <c r="A639" s="35"/>
      <c r="B639" s="35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52"/>
    </row>
    <row r="640">
      <c r="A640" s="35"/>
      <c r="B640" s="35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52"/>
    </row>
    <row r="641">
      <c r="A641" s="35"/>
      <c r="B641" s="35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52"/>
    </row>
    <row r="642">
      <c r="A642" s="35"/>
      <c r="B642" s="35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52"/>
    </row>
    <row r="643">
      <c r="A643" s="35"/>
      <c r="B643" s="35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52"/>
    </row>
    <row r="644">
      <c r="A644" s="35"/>
      <c r="B644" s="35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52"/>
    </row>
    <row r="645">
      <c r="A645" s="35"/>
      <c r="B645" s="35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52"/>
    </row>
    <row r="646">
      <c r="A646" s="35"/>
      <c r="B646" s="35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52"/>
    </row>
    <row r="647">
      <c r="A647" s="35"/>
      <c r="B647" s="35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52"/>
    </row>
    <row r="648">
      <c r="A648" s="35"/>
      <c r="B648" s="35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52"/>
    </row>
    <row r="649">
      <c r="A649" s="35"/>
      <c r="B649" s="35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52"/>
    </row>
    <row r="650">
      <c r="A650" s="35"/>
      <c r="B650" s="35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52"/>
    </row>
    <row r="651">
      <c r="A651" s="35"/>
      <c r="B651" s="35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52"/>
    </row>
    <row r="652">
      <c r="A652" s="35"/>
      <c r="B652" s="35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52"/>
    </row>
    <row r="653">
      <c r="A653" s="35"/>
      <c r="B653" s="35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52"/>
    </row>
    <row r="654">
      <c r="A654" s="35"/>
      <c r="B654" s="35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52"/>
    </row>
    <row r="655">
      <c r="A655" s="35"/>
      <c r="B655" s="35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52"/>
    </row>
    <row r="656">
      <c r="A656" s="35"/>
      <c r="B656" s="35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52"/>
    </row>
    <row r="657">
      <c r="A657" s="35"/>
      <c r="B657" s="35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52"/>
    </row>
    <row r="658">
      <c r="A658" s="35"/>
      <c r="B658" s="35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52"/>
    </row>
    <row r="659">
      <c r="A659" s="35"/>
      <c r="B659" s="35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52"/>
    </row>
    <row r="660">
      <c r="A660" s="35"/>
      <c r="B660" s="35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52"/>
    </row>
    <row r="661">
      <c r="A661" s="35"/>
      <c r="B661" s="35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52"/>
    </row>
    <row r="662">
      <c r="A662" s="35"/>
      <c r="B662" s="35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52"/>
    </row>
    <row r="663">
      <c r="A663" s="35"/>
      <c r="B663" s="35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52"/>
    </row>
    <row r="664">
      <c r="A664" s="35"/>
      <c r="B664" s="35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52"/>
    </row>
    <row r="665">
      <c r="A665" s="35"/>
      <c r="B665" s="35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52"/>
    </row>
    <row r="666">
      <c r="A666" s="35"/>
      <c r="B666" s="35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52"/>
    </row>
    <row r="667">
      <c r="A667" s="35"/>
      <c r="B667" s="35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52"/>
    </row>
    <row r="668">
      <c r="A668" s="35"/>
      <c r="B668" s="35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52"/>
    </row>
    <row r="669">
      <c r="A669" s="35"/>
      <c r="B669" s="35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52"/>
    </row>
    <row r="670">
      <c r="A670" s="35"/>
      <c r="B670" s="35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52"/>
    </row>
    <row r="671">
      <c r="A671" s="35"/>
      <c r="B671" s="35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52"/>
    </row>
    <row r="672">
      <c r="A672" s="35"/>
      <c r="B672" s="35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52"/>
    </row>
    <row r="673">
      <c r="A673" s="35"/>
      <c r="B673" s="35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52"/>
    </row>
    <row r="674">
      <c r="A674" s="35"/>
      <c r="B674" s="35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52"/>
    </row>
    <row r="675">
      <c r="A675" s="35"/>
      <c r="B675" s="35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52"/>
    </row>
    <row r="676">
      <c r="A676" s="35"/>
      <c r="B676" s="35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52"/>
    </row>
    <row r="677">
      <c r="A677" s="35"/>
      <c r="B677" s="35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52"/>
    </row>
    <row r="678">
      <c r="A678" s="35"/>
      <c r="B678" s="35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52"/>
    </row>
    <row r="679">
      <c r="A679" s="35"/>
      <c r="B679" s="35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52"/>
    </row>
    <row r="680">
      <c r="A680" s="35"/>
      <c r="B680" s="35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52"/>
    </row>
    <row r="681">
      <c r="A681" s="35"/>
      <c r="B681" s="35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52"/>
    </row>
    <row r="682">
      <c r="A682" s="35"/>
      <c r="B682" s="35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52"/>
    </row>
    <row r="683">
      <c r="A683" s="35"/>
      <c r="B683" s="35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52"/>
    </row>
    <row r="684">
      <c r="A684" s="35"/>
      <c r="B684" s="35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52"/>
    </row>
    <row r="685">
      <c r="A685" s="35"/>
      <c r="B685" s="35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52"/>
    </row>
    <row r="686">
      <c r="A686" s="35"/>
      <c r="B686" s="35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52"/>
    </row>
    <row r="687">
      <c r="A687" s="35"/>
      <c r="B687" s="35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52"/>
    </row>
    <row r="688">
      <c r="A688" s="35"/>
      <c r="B688" s="35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52"/>
    </row>
    <row r="689">
      <c r="A689" s="35"/>
      <c r="B689" s="35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52"/>
    </row>
    <row r="690">
      <c r="A690" s="35"/>
      <c r="B690" s="35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52"/>
    </row>
    <row r="691">
      <c r="A691" s="35"/>
      <c r="B691" s="35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52"/>
    </row>
    <row r="692">
      <c r="A692" s="35"/>
      <c r="B692" s="35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52"/>
    </row>
    <row r="693">
      <c r="A693" s="35"/>
      <c r="B693" s="35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52"/>
    </row>
    <row r="694">
      <c r="A694" s="35"/>
      <c r="B694" s="35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52"/>
    </row>
    <row r="695">
      <c r="A695" s="35"/>
      <c r="B695" s="35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52"/>
    </row>
    <row r="696">
      <c r="A696" s="35"/>
      <c r="B696" s="35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52"/>
    </row>
    <row r="697">
      <c r="A697" s="35"/>
      <c r="B697" s="35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52"/>
    </row>
    <row r="698">
      <c r="A698" s="35"/>
      <c r="B698" s="35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52"/>
    </row>
    <row r="699">
      <c r="A699" s="35"/>
      <c r="B699" s="35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52"/>
    </row>
    <row r="700">
      <c r="A700" s="35"/>
      <c r="B700" s="35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52"/>
    </row>
    <row r="701">
      <c r="A701" s="35"/>
      <c r="B701" s="35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52"/>
    </row>
    <row r="702">
      <c r="A702" s="35"/>
      <c r="B702" s="35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52"/>
    </row>
    <row r="703">
      <c r="A703" s="35"/>
      <c r="B703" s="35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52"/>
    </row>
    <row r="704">
      <c r="A704" s="35"/>
      <c r="B704" s="35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52"/>
    </row>
    <row r="705">
      <c r="A705" s="35"/>
      <c r="B705" s="35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52"/>
    </row>
    <row r="706">
      <c r="A706" s="35"/>
      <c r="B706" s="35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52"/>
    </row>
    <row r="707">
      <c r="A707" s="35"/>
      <c r="B707" s="35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52"/>
    </row>
    <row r="708">
      <c r="A708" s="35"/>
      <c r="B708" s="35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52"/>
    </row>
    <row r="709">
      <c r="A709" s="35"/>
      <c r="B709" s="35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52"/>
    </row>
    <row r="710">
      <c r="A710" s="35"/>
      <c r="B710" s="35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52"/>
    </row>
    <row r="711">
      <c r="A711" s="35"/>
      <c r="B711" s="35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52"/>
    </row>
    <row r="712">
      <c r="A712" s="35"/>
      <c r="B712" s="35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52"/>
    </row>
    <row r="713">
      <c r="A713" s="35"/>
      <c r="B713" s="35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52"/>
    </row>
    <row r="714">
      <c r="A714" s="35"/>
      <c r="B714" s="35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52"/>
    </row>
    <row r="715">
      <c r="A715" s="35"/>
      <c r="B715" s="35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52"/>
    </row>
    <row r="716">
      <c r="A716" s="35"/>
      <c r="B716" s="35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52"/>
    </row>
    <row r="717">
      <c r="A717" s="35"/>
      <c r="B717" s="35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52"/>
    </row>
    <row r="718">
      <c r="A718" s="35"/>
      <c r="B718" s="35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52"/>
    </row>
    <row r="719">
      <c r="A719" s="35"/>
      <c r="B719" s="35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52"/>
    </row>
    <row r="720">
      <c r="A720" s="35"/>
      <c r="B720" s="35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52"/>
    </row>
    <row r="721">
      <c r="A721" s="35"/>
      <c r="B721" s="35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52"/>
    </row>
    <row r="722">
      <c r="A722" s="35"/>
      <c r="B722" s="35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52"/>
    </row>
    <row r="723">
      <c r="A723" s="35"/>
      <c r="B723" s="35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52"/>
    </row>
    <row r="724">
      <c r="A724" s="35"/>
      <c r="B724" s="35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52"/>
    </row>
    <row r="725">
      <c r="A725" s="35"/>
      <c r="B725" s="35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52"/>
    </row>
    <row r="726">
      <c r="A726" s="35"/>
      <c r="B726" s="35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52"/>
    </row>
    <row r="727">
      <c r="A727" s="35"/>
      <c r="B727" s="35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52"/>
    </row>
    <row r="728">
      <c r="A728" s="35"/>
      <c r="B728" s="35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52"/>
    </row>
    <row r="729">
      <c r="A729" s="35"/>
      <c r="B729" s="35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52"/>
    </row>
    <row r="730">
      <c r="A730" s="35"/>
      <c r="B730" s="35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52"/>
    </row>
    <row r="731">
      <c r="A731" s="35"/>
      <c r="B731" s="35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52"/>
    </row>
    <row r="732">
      <c r="A732" s="35"/>
      <c r="B732" s="35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52"/>
    </row>
    <row r="733">
      <c r="A733" s="35"/>
      <c r="B733" s="35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52"/>
    </row>
    <row r="734">
      <c r="A734" s="35"/>
      <c r="B734" s="35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52"/>
    </row>
    <row r="735">
      <c r="A735" s="35"/>
      <c r="B735" s="35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52"/>
    </row>
    <row r="736">
      <c r="A736" s="35"/>
      <c r="B736" s="35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52"/>
    </row>
    <row r="737">
      <c r="A737" s="35"/>
      <c r="B737" s="35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52"/>
    </row>
    <row r="738">
      <c r="A738" s="35"/>
      <c r="B738" s="35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52"/>
    </row>
    <row r="739">
      <c r="A739" s="35"/>
      <c r="B739" s="35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52"/>
    </row>
    <row r="740">
      <c r="A740" s="35"/>
      <c r="B740" s="35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52"/>
    </row>
    <row r="741">
      <c r="A741" s="35"/>
      <c r="B741" s="35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52"/>
    </row>
    <row r="742">
      <c r="A742" s="35"/>
      <c r="B742" s="35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52"/>
    </row>
    <row r="743">
      <c r="A743" s="35"/>
      <c r="B743" s="35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52"/>
    </row>
    <row r="744">
      <c r="A744" s="35"/>
      <c r="B744" s="35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52"/>
    </row>
    <row r="745">
      <c r="A745" s="35"/>
      <c r="B745" s="35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52"/>
    </row>
    <row r="746">
      <c r="A746" s="35"/>
      <c r="B746" s="35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52"/>
    </row>
    <row r="747">
      <c r="A747" s="35"/>
      <c r="B747" s="35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52"/>
    </row>
    <row r="748">
      <c r="A748" s="35"/>
      <c r="B748" s="35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52"/>
    </row>
    <row r="749">
      <c r="A749" s="35"/>
      <c r="B749" s="35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52"/>
    </row>
    <row r="750">
      <c r="A750" s="35"/>
      <c r="B750" s="35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52"/>
    </row>
    <row r="751">
      <c r="A751" s="35"/>
      <c r="B751" s="35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52"/>
    </row>
    <row r="752">
      <c r="A752" s="35"/>
      <c r="B752" s="35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52"/>
    </row>
    <row r="753">
      <c r="A753" s="35"/>
      <c r="B753" s="35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52"/>
    </row>
    <row r="754">
      <c r="A754" s="35"/>
      <c r="B754" s="35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52"/>
    </row>
    <row r="755">
      <c r="A755" s="35"/>
      <c r="B755" s="35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52"/>
    </row>
    <row r="756">
      <c r="A756" s="35"/>
      <c r="B756" s="35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52"/>
    </row>
    <row r="757">
      <c r="A757" s="35"/>
      <c r="B757" s="35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52"/>
    </row>
    <row r="758">
      <c r="A758" s="35"/>
      <c r="B758" s="35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52"/>
    </row>
    <row r="759">
      <c r="A759" s="35"/>
      <c r="B759" s="35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52"/>
    </row>
    <row r="760">
      <c r="A760" s="35"/>
      <c r="B760" s="35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52"/>
    </row>
    <row r="761">
      <c r="A761" s="35"/>
      <c r="B761" s="35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52"/>
    </row>
    <row r="762">
      <c r="A762" s="35"/>
      <c r="B762" s="35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52"/>
    </row>
    <row r="763">
      <c r="A763" s="35"/>
      <c r="B763" s="35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52"/>
    </row>
    <row r="764">
      <c r="A764" s="35"/>
      <c r="B764" s="35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52"/>
    </row>
    <row r="765">
      <c r="A765" s="35"/>
      <c r="B765" s="35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52"/>
    </row>
    <row r="766">
      <c r="A766" s="35"/>
      <c r="B766" s="35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52"/>
    </row>
    <row r="767">
      <c r="A767" s="35"/>
      <c r="B767" s="35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52"/>
    </row>
    <row r="768">
      <c r="A768" s="35"/>
      <c r="B768" s="35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52"/>
    </row>
    <row r="769">
      <c r="A769" s="35"/>
      <c r="B769" s="35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52"/>
    </row>
    <row r="770">
      <c r="A770" s="35"/>
      <c r="B770" s="35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52"/>
    </row>
    <row r="771">
      <c r="A771" s="35"/>
      <c r="B771" s="35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52"/>
    </row>
    <row r="772">
      <c r="A772" s="35"/>
      <c r="B772" s="35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52"/>
    </row>
    <row r="773">
      <c r="A773" s="35"/>
      <c r="B773" s="35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52"/>
    </row>
    <row r="774">
      <c r="A774" s="35"/>
      <c r="B774" s="35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52"/>
    </row>
    <row r="775">
      <c r="A775" s="35"/>
      <c r="B775" s="35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52"/>
    </row>
    <row r="776">
      <c r="A776" s="35"/>
      <c r="B776" s="35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52"/>
    </row>
    <row r="777">
      <c r="A777" s="35"/>
      <c r="B777" s="35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52"/>
    </row>
    <row r="778">
      <c r="A778" s="35"/>
      <c r="B778" s="35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52"/>
    </row>
    <row r="779">
      <c r="A779" s="35"/>
      <c r="B779" s="35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52"/>
    </row>
    <row r="780">
      <c r="A780" s="35"/>
      <c r="B780" s="35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52"/>
    </row>
    <row r="781">
      <c r="A781" s="35"/>
      <c r="B781" s="35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52"/>
    </row>
    <row r="782">
      <c r="A782" s="35"/>
      <c r="B782" s="35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52"/>
    </row>
    <row r="783">
      <c r="A783" s="35"/>
      <c r="B783" s="35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52"/>
    </row>
    <row r="784">
      <c r="A784" s="35"/>
      <c r="B784" s="35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52"/>
    </row>
    <row r="785">
      <c r="A785" s="35"/>
      <c r="B785" s="35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52"/>
    </row>
    <row r="786">
      <c r="A786" s="35"/>
      <c r="B786" s="35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52"/>
    </row>
    <row r="787">
      <c r="A787" s="35"/>
      <c r="B787" s="35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52"/>
    </row>
    <row r="788">
      <c r="A788" s="35"/>
      <c r="B788" s="35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52"/>
    </row>
    <row r="789">
      <c r="A789" s="35"/>
      <c r="B789" s="35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52"/>
    </row>
    <row r="790">
      <c r="A790" s="35"/>
      <c r="B790" s="35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52"/>
    </row>
    <row r="791">
      <c r="A791" s="35"/>
      <c r="B791" s="35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52"/>
    </row>
    <row r="792">
      <c r="A792" s="35"/>
      <c r="B792" s="35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52"/>
    </row>
    <row r="793">
      <c r="A793" s="35"/>
      <c r="B793" s="35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52"/>
    </row>
    <row r="794">
      <c r="A794" s="35"/>
      <c r="B794" s="35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52"/>
    </row>
    <row r="795">
      <c r="A795" s="35"/>
      <c r="B795" s="35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52"/>
    </row>
    <row r="796">
      <c r="A796" s="35"/>
      <c r="B796" s="35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52"/>
    </row>
    <row r="797">
      <c r="A797" s="35"/>
      <c r="B797" s="35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52"/>
    </row>
    <row r="798">
      <c r="A798" s="35"/>
      <c r="B798" s="35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52"/>
    </row>
    <row r="799">
      <c r="A799" s="35"/>
      <c r="B799" s="35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52"/>
    </row>
    <row r="800">
      <c r="A800" s="35"/>
      <c r="B800" s="35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52"/>
    </row>
    <row r="801">
      <c r="A801" s="35"/>
      <c r="B801" s="35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52"/>
    </row>
    <row r="802">
      <c r="A802" s="35"/>
      <c r="B802" s="35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52"/>
    </row>
    <row r="803">
      <c r="A803" s="35"/>
      <c r="B803" s="35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52"/>
    </row>
    <row r="804">
      <c r="A804" s="35"/>
      <c r="B804" s="35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52"/>
    </row>
    <row r="805">
      <c r="A805" s="35"/>
      <c r="B805" s="35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52"/>
    </row>
    <row r="806">
      <c r="A806" s="35"/>
      <c r="B806" s="35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52"/>
    </row>
    <row r="807">
      <c r="A807" s="35"/>
      <c r="B807" s="35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52"/>
    </row>
    <row r="808">
      <c r="A808" s="35"/>
      <c r="B808" s="35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52"/>
    </row>
    <row r="809">
      <c r="A809" s="35"/>
      <c r="B809" s="35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52"/>
    </row>
    <row r="810">
      <c r="A810" s="35"/>
      <c r="B810" s="35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52"/>
    </row>
    <row r="811">
      <c r="A811" s="35"/>
      <c r="B811" s="35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52"/>
    </row>
    <row r="812">
      <c r="A812" s="35"/>
      <c r="B812" s="35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52"/>
    </row>
    <row r="813">
      <c r="A813" s="35"/>
      <c r="B813" s="35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52"/>
    </row>
    <row r="814">
      <c r="A814" s="35"/>
      <c r="B814" s="35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52"/>
    </row>
    <row r="815">
      <c r="A815" s="35"/>
      <c r="B815" s="35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52"/>
    </row>
    <row r="816">
      <c r="A816" s="35"/>
      <c r="B816" s="35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52"/>
    </row>
    <row r="817">
      <c r="A817" s="35"/>
      <c r="B817" s="35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52"/>
    </row>
    <row r="818">
      <c r="A818" s="35"/>
      <c r="B818" s="35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52"/>
    </row>
    <row r="819">
      <c r="A819" s="35"/>
      <c r="B819" s="35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52"/>
    </row>
    <row r="820">
      <c r="A820" s="35"/>
      <c r="B820" s="35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52"/>
    </row>
    <row r="821">
      <c r="A821" s="35"/>
      <c r="B821" s="35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52"/>
    </row>
    <row r="822">
      <c r="A822" s="35"/>
      <c r="B822" s="35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52"/>
    </row>
    <row r="823">
      <c r="A823" s="35"/>
      <c r="B823" s="35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52"/>
    </row>
    <row r="824">
      <c r="A824" s="35"/>
      <c r="B824" s="35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52"/>
    </row>
    <row r="825">
      <c r="A825" s="35"/>
      <c r="B825" s="35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52"/>
    </row>
    <row r="826">
      <c r="A826" s="35"/>
      <c r="B826" s="35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52"/>
    </row>
    <row r="827">
      <c r="A827" s="35"/>
      <c r="B827" s="35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52"/>
    </row>
    <row r="828">
      <c r="A828" s="35"/>
      <c r="B828" s="35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52"/>
    </row>
    <row r="829">
      <c r="A829" s="35"/>
      <c r="B829" s="35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52"/>
    </row>
    <row r="830">
      <c r="A830" s="35"/>
      <c r="B830" s="35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52"/>
    </row>
    <row r="831">
      <c r="A831" s="35"/>
      <c r="B831" s="35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52"/>
    </row>
    <row r="832">
      <c r="A832" s="35"/>
      <c r="B832" s="35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52"/>
    </row>
    <row r="833">
      <c r="A833" s="35"/>
      <c r="B833" s="35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52"/>
    </row>
    <row r="834">
      <c r="A834" s="35"/>
      <c r="B834" s="35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52"/>
    </row>
    <row r="835">
      <c r="A835" s="35"/>
      <c r="B835" s="35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52"/>
    </row>
    <row r="836">
      <c r="A836" s="35"/>
      <c r="B836" s="35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52"/>
    </row>
    <row r="837">
      <c r="A837" s="35"/>
      <c r="B837" s="35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52"/>
    </row>
    <row r="838">
      <c r="A838" s="35"/>
      <c r="B838" s="35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52"/>
    </row>
    <row r="839">
      <c r="A839" s="35"/>
      <c r="B839" s="35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52"/>
    </row>
    <row r="840">
      <c r="A840" s="35"/>
      <c r="B840" s="35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52"/>
    </row>
    <row r="841">
      <c r="A841" s="35"/>
      <c r="B841" s="35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52"/>
    </row>
    <row r="842">
      <c r="A842" s="35"/>
      <c r="B842" s="35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52"/>
    </row>
    <row r="843">
      <c r="A843" s="35"/>
      <c r="B843" s="35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52"/>
    </row>
    <row r="844">
      <c r="A844" s="35"/>
      <c r="B844" s="35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52"/>
    </row>
    <row r="845">
      <c r="A845" s="35"/>
      <c r="B845" s="35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52"/>
    </row>
    <row r="846">
      <c r="A846" s="35"/>
      <c r="B846" s="35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52"/>
    </row>
    <row r="847">
      <c r="A847" s="35"/>
      <c r="B847" s="35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52"/>
    </row>
    <row r="848">
      <c r="A848" s="35"/>
      <c r="B848" s="35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52"/>
    </row>
    <row r="849">
      <c r="A849" s="35"/>
      <c r="B849" s="35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52"/>
    </row>
    <row r="850">
      <c r="A850" s="35"/>
      <c r="B850" s="35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52"/>
    </row>
    <row r="851">
      <c r="A851" s="35"/>
      <c r="B851" s="35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52"/>
    </row>
    <row r="852">
      <c r="A852" s="35"/>
      <c r="B852" s="35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52"/>
    </row>
    <row r="853">
      <c r="A853" s="35"/>
      <c r="B853" s="35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52"/>
    </row>
    <row r="854">
      <c r="A854" s="35"/>
      <c r="B854" s="35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52"/>
    </row>
    <row r="855">
      <c r="A855" s="35"/>
      <c r="B855" s="35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52"/>
    </row>
    <row r="856">
      <c r="A856" s="35"/>
      <c r="B856" s="35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52"/>
    </row>
    <row r="857">
      <c r="A857" s="35"/>
      <c r="B857" s="35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52"/>
    </row>
    <row r="858">
      <c r="A858" s="35"/>
      <c r="B858" s="35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52"/>
    </row>
    <row r="859">
      <c r="A859" s="35"/>
      <c r="B859" s="35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52"/>
    </row>
    <row r="860">
      <c r="A860" s="35"/>
      <c r="B860" s="35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52"/>
    </row>
    <row r="861">
      <c r="A861" s="35"/>
      <c r="B861" s="35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52"/>
    </row>
    <row r="862">
      <c r="A862" s="35"/>
      <c r="B862" s="35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52"/>
    </row>
    <row r="863">
      <c r="A863" s="35"/>
      <c r="B863" s="35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52"/>
    </row>
    <row r="864">
      <c r="A864" s="35"/>
      <c r="B864" s="35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52"/>
    </row>
    <row r="865">
      <c r="A865" s="35"/>
      <c r="B865" s="35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52"/>
    </row>
    <row r="866">
      <c r="A866" s="35"/>
      <c r="B866" s="35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52"/>
    </row>
    <row r="867">
      <c r="A867" s="35"/>
      <c r="B867" s="35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52"/>
    </row>
    <row r="868">
      <c r="A868" s="35"/>
      <c r="B868" s="35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52"/>
    </row>
    <row r="869">
      <c r="A869" s="35"/>
      <c r="B869" s="35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52"/>
    </row>
    <row r="870">
      <c r="A870" s="35"/>
      <c r="B870" s="35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52"/>
    </row>
    <row r="871">
      <c r="A871" s="35"/>
      <c r="B871" s="35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52"/>
    </row>
    <row r="872">
      <c r="A872" s="35"/>
      <c r="B872" s="35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52"/>
    </row>
    <row r="873">
      <c r="A873" s="35"/>
      <c r="B873" s="35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52"/>
    </row>
    <row r="874">
      <c r="A874" s="35"/>
      <c r="B874" s="35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52"/>
    </row>
    <row r="875">
      <c r="A875" s="35"/>
      <c r="B875" s="35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52"/>
    </row>
    <row r="876">
      <c r="A876" s="35"/>
      <c r="B876" s="35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52"/>
    </row>
    <row r="877">
      <c r="A877" s="35"/>
      <c r="B877" s="35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52"/>
    </row>
    <row r="878">
      <c r="A878" s="35"/>
      <c r="B878" s="35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52"/>
    </row>
    <row r="879">
      <c r="A879" s="35"/>
      <c r="B879" s="35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52"/>
    </row>
    <row r="880">
      <c r="A880" s="35"/>
      <c r="B880" s="35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52"/>
    </row>
    <row r="881">
      <c r="A881" s="35"/>
      <c r="B881" s="35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52"/>
    </row>
    <row r="882">
      <c r="A882" s="35"/>
      <c r="B882" s="35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52"/>
    </row>
    <row r="883">
      <c r="A883" s="35"/>
      <c r="B883" s="35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52"/>
    </row>
    <row r="884">
      <c r="A884" s="35"/>
      <c r="B884" s="35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52"/>
    </row>
    <row r="885">
      <c r="A885" s="35"/>
      <c r="B885" s="35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52"/>
    </row>
    <row r="886">
      <c r="A886" s="35"/>
      <c r="B886" s="35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52"/>
    </row>
    <row r="887">
      <c r="A887" s="35"/>
      <c r="B887" s="35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52"/>
    </row>
    <row r="888">
      <c r="A888" s="35"/>
      <c r="B888" s="35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52"/>
    </row>
    <row r="889">
      <c r="A889" s="35"/>
      <c r="B889" s="35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52"/>
    </row>
    <row r="890">
      <c r="A890" s="35"/>
      <c r="B890" s="35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52"/>
    </row>
    <row r="891">
      <c r="A891" s="35"/>
      <c r="B891" s="35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52"/>
    </row>
    <row r="892">
      <c r="A892" s="35"/>
      <c r="B892" s="35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52"/>
    </row>
    <row r="893">
      <c r="A893" s="35"/>
      <c r="B893" s="35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52"/>
    </row>
    <row r="894">
      <c r="A894" s="35"/>
      <c r="B894" s="35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52"/>
    </row>
    <row r="895">
      <c r="A895" s="35"/>
      <c r="B895" s="35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52"/>
    </row>
    <row r="896">
      <c r="A896" s="35"/>
      <c r="B896" s="35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52"/>
    </row>
    <row r="897">
      <c r="A897" s="35"/>
      <c r="B897" s="35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52"/>
    </row>
    <row r="898">
      <c r="A898" s="35"/>
      <c r="B898" s="35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52"/>
    </row>
    <row r="899">
      <c r="A899" s="35"/>
      <c r="B899" s="35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52"/>
    </row>
    <row r="900">
      <c r="A900" s="35"/>
      <c r="B900" s="35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52"/>
    </row>
    <row r="901">
      <c r="A901" s="35"/>
      <c r="B901" s="35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52"/>
    </row>
    <row r="902">
      <c r="A902" s="35"/>
      <c r="B902" s="35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52"/>
    </row>
    <row r="903">
      <c r="A903" s="35"/>
      <c r="B903" s="35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52"/>
    </row>
    <row r="904">
      <c r="A904" s="35"/>
      <c r="B904" s="35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52"/>
    </row>
    <row r="905">
      <c r="A905" s="35"/>
      <c r="B905" s="35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52"/>
    </row>
    <row r="906">
      <c r="A906" s="35"/>
      <c r="B906" s="35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52"/>
    </row>
    <row r="907">
      <c r="A907" s="35"/>
      <c r="B907" s="35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52"/>
    </row>
    <row r="908">
      <c r="A908" s="35"/>
      <c r="B908" s="35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52"/>
    </row>
    <row r="909">
      <c r="A909" s="35"/>
      <c r="B909" s="35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52"/>
    </row>
    <row r="910">
      <c r="A910" s="35"/>
      <c r="B910" s="35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52"/>
    </row>
    <row r="911">
      <c r="A911" s="35"/>
      <c r="B911" s="35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52"/>
    </row>
    <row r="912">
      <c r="A912" s="35"/>
      <c r="B912" s="35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52"/>
    </row>
    <row r="913">
      <c r="A913" s="35"/>
      <c r="B913" s="35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52"/>
    </row>
    <row r="914">
      <c r="A914" s="35"/>
      <c r="B914" s="35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52"/>
    </row>
    <row r="915">
      <c r="A915" s="35"/>
      <c r="B915" s="35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52"/>
    </row>
    <row r="916">
      <c r="A916" s="35"/>
      <c r="B916" s="35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52"/>
    </row>
    <row r="917">
      <c r="A917" s="35"/>
      <c r="B917" s="35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52"/>
    </row>
    <row r="918">
      <c r="A918" s="35"/>
      <c r="B918" s="35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52"/>
    </row>
    <row r="919">
      <c r="A919" s="35"/>
      <c r="B919" s="35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52"/>
    </row>
    <row r="920">
      <c r="A920" s="35"/>
      <c r="B920" s="35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52"/>
    </row>
    <row r="921">
      <c r="A921" s="35"/>
      <c r="B921" s="35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52"/>
    </row>
    <row r="922">
      <c r="A922" s="35"/>
      <c r="B922" s="35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52"/>
    </row>
    <row r="923">
      <c r="A923" s="35"/>
      <c r="B923" s="35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52"/>
    </row>
    <row r="924">
      <c r="A924" s="35"/>
      <c r="B924" s="35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52"/>
    </row>
    <row r="925">
      <c r="A925" s="35"/>
      <c r="B925" s="35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52"/>
    </row>
    <row r="926">
      <c r="A926" s="35"/>
      <c r="B926" s="35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52"/>
    </row>
    <row r="927">
      <c r="A927" s="35"/>
      <c r="B927" s="35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52"/>
    </row>
    <row r="928">
      <c r="A928" s="35"/>
      <c r="B928" s="35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52"/>
    </row>
    <row r="929">
      <c r="A929" s="35"/>
      <c r="B929" s="35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52"/>
    </row>
    <row r="930">
      <c r="A930" s="35"/>
      <c r="B930" s="35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52"/>
    </row>
    <row r="931">
      <c r="A931" s="35"/>
      <c r="B931" s="35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52"/>
    </row>
    <row r="932">
      <c r="A932" s="35"/>
      <c r="B932" s="35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52"/>
    </row>
    <row r="933">
      <c r="A933" s="35"/>
      <c r="B933" s="35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52"/>
    </row>
    <row r="934">
      <c r="A934" s="35"/>
      <c r="B934" s="35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52"/>
    </row>
    <row r="935">
      <c r="A935" s="35"/>
      <c r="B935" s="35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52"/>
    </row>
    <row r="936">
      <c r="A936" s="35"/>
      <c r="B936" s="35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52"/>
    </row>
    <row r="937">
      <c r="A937" s="35"/>
      <c r="B937" s="35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52"/>
    </row>
    <row r="938">
      <c r="A938" s="35"/>
      <c r="B938" s="35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52"/>
    </row>
    <row r="939">
      <c r="A939" s="35"/>
      <c r="B939" s="35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52"/>
    </row>
    <row r="940">
      <c r="A940" s="35"/>
      <c r="B940" s="35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52"/>
    </row>
    <row r="941">
      <c r="A941" s="35"/>
      <c r="B941" s="35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52"/>
    </row>
    <row r="942">
      <c r="A942" s="35"/>
      <c r="B942" s="35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52"/>
    </row>
    <row r="943">
      <c r="A943" s="35"/>
      <c r="B943" s="35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52"/>
    </row>
    <row r="944">
      <c r="A944" s="35"/>
      <c r="B944" s="35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52"/>
    </row>
    <row r="945">
      <c r="A945" s="35"/>
      <c r="B945" s="35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52"/>
    </row>
    <row r="946">
      <c r="A946" s="35"/>
      <c r="B946" s="35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52"/>
    </row>
    <row r="947">
      <c r="A947" s="35"/>
      <c r="B947" s="35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52"/>
    </row>
    <row r="948">
      <c r="A948" s="35"/>
      <c r="B948" s="35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52"/>
    </row>
    <row r="949">
      <c r="A949" s="35"/>
      <c r="B949" s="35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52"/>
    </row>
    <row r="950">
      <c r="A950" s="35"/>
      <c r="B950" s="35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52"/>
    </row>
    <row r="951">
      <c r="A951" s="35"/>
      <c r="B951" s="35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52"/>
    </row>
    <row r="952">
      <c r="A952" s="35"/>
      <c r="B952" s="35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52"/>
    </row>
    <row r="953">
      <c r="A953" s="35"/>
      <c r="B953" s="35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52"/>
    </row>
    <row r="954">
      <c r="A954" s="35"/>
      <c r="B954" s="35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52"/>
    </row>
    <row r="955">
      <c r="A955" s="35"/>
      <c r="B955" s="35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52"/>
    </row>
    <row r="956">
      <c r="A956" s="35"/>
      <c r="B956" s="35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52"/>
    </row>
    <row r="957">
      <c r="A957" s="35"/>
      <c r="B957" s="35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52"/>
    </row>
    <row r="958">
      <c r="A958" s="35"/>
      <c r="B958" s="35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52"/>
    </row>
    <row r="959">
      <c r="A959" s="35"/>
      <c r="B959" s="35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52"/>
    </row>
    <row r="960">
      <c r="A960" s="35"/>
      <c r="B960" s="35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52"/>
    </row>
    <row r="961">
      <c r="A961" s="35"/>
      <c r="B961" s="35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52"/>
    </row>
    <row r="962">
      <c r="A962" s="35"/>
      <c r="B962" s="35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52"/>
    </row>
    <row r="963">
      <c r="A963" s="35"/>
      <c r="B963" s="35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52"/>
    </row>
    <row r="964">
      <c r="A964" s="35"/>
      <c r="B964" s="35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52"/>
    </row>
    <row r="965">
      <c r="A965" s="35"/>
      <c r="B965" s="35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52"/>
    </row>
    <row r="966">
      <c r="A966" s="35"/>
      <c r="B966" s="35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52"/>
    </row>
    <row r="967">
      <c r="A967" s="35"/>
      <c r="B967" s="35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52"/>
    </row>
    <row r="968">
      <c r="A968" s="35"/>
      <c r="B968" s="35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52"/>
    </row>
    <row r="969">
      <c r="A969" s="35"/>
      <c r="B969" s="35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52"/>
    </row>
    <row r="970">
      <c r="A970" s="35"/>
      <c r="B970" s="35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52"/>
    </row>
    <row r="971">
      <c r="A971" s="35"/>
      <c r="B971" s="35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52"/>
    </row>
    <row r="972">
      <c r="A972" s="35"/>
      <c r="B972" s="35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52"/>
    </row>
    <row r="973">
      <c r="A973" s="35"/>
      <c r="B973" s="35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52"/>
    </row>
    <row r="974">
      <c r="A974" s="35"/>
      <c r="B974" s="35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52"/>
    </row>
    <row r="975">
      <c r="A975" s="35"/>
      <c r="B975" s="35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52"/>
    </row>
    <row r="976">
      <c r="A976" s="35"/>
      <c r="B976" s="35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52"/>
    </row>
    <row r="977">
      <c r="A977" s="35"/>
      <c r="B977" s="35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52"/>
    </row>
    <row r="978">
      <c r="A978" s="35"/>
      <c r="B978" s="35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52"/>
    </row>
    <row r="979">
      <c r="A979" s="35"/>
      <c r="B979" s="35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52"/>
    </row>
    <row r="980">
      <c r="A980" s="35"/>
      <c r="B980" s="35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52"/>
    </row>
    <row r="981">
      <c r="A981" s="35"/>
      <c r="B981" s="35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52"/>
    </row>
    <row r="982">
      <c r="A982" s="35"/>
      <c r="B982" s="35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52"/>
    </row>
    <row r="983">
      <c r="A983" s="35"/>
      <c r="B983" s="35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52"/>
    </row>
    <row r="984">
      <c r="A984" s="35"/>
      <c r="B984" s="35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52"/>
    </row>
    <row r="985">
      <c r="A985" s="35"/>
      <c r="B985" s="35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52"/>
    </row>
    <row r="986">
      <c r="A986" s="35"/>
      <c r="B986" s="35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52"/>
    </row>
    <row r="987">
      <c r="A987" s="35"/>
      <c r="B987" s="35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52"/>
    </row>
    <row r="988">
      <c r="A988" s="35"/>
      <c r="B988" s="35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52"/>
    </row>
    <row r="989">
      <c r="A989" s="35"/>
      <c r="B989" s="35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52"/>
    </row>
    <row r="990">
      <c r="A990" s="35"/>
      <c r="B990" s="35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52"/>
    </row>
    <row r="991">
      <c r="A991" s="35"/>
      <c r="B991" s="35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52"/>
    </row>
    <row r="992">
      <c r="A992" s="35"/>
      <c r="B992" s="35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52"/>
    </row>
    <row r="993">
      <c r="A993" s="35"/>
      <c r="B993" s="35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52"/>
    </row>
    <row r="994">
      <c r="A994" s="35"/>
      <c r="B994" s="35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52"/>
    </row>
    <row r="995">
      <c r="A995" s="35"/>
      <c r="B995" s="35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52"/>
    </row>
    <row r="996">
      <c r="A996" s="35"/>
      <c r="B996" s="35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52"/>
    </row>
    <row r="997">
      <c r="A997" s="35"/>
      <c r="B997" s="35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52"/>
    </row>
    <row r="998">
      <c r="A998" s="35"/>
      <c r="B998" s="35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52"/>
    </row>
    <row r="999">
      <c r="A999" s="35"/>
      <c r="B999" s="35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52"/>
    </row>
    <row r="1000">
      <c r="A1000" s="35"/>
      <c r="B1000" s="35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52"/>
    </row>
  </sheetData>
  <mergeCells count="10">
    <mergeCell ref="N4:V4"/>
    <mergeCell ref="W4:AE4"/>
    <mergeCell ref="A3:A5"/>
    <mergeCell ref="B3:B5"/>
    <mergeCell ref="C3:C5"/>
    <mergeCell ref="D3:M3"/>
    <mergeCell ref="N3:AE3"/>
    <mergeCell ref="AF3:AN3"/>
    <mergeCell ref="D4:L4"/>
    <mergeCell ref="AF4:AN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5.25"/>
    <col customWidth="1" min="3" max="3" width="32.5"/>
    <col customWidth="1" min="8" max="8" width="19.5"/>
    <col customWidth="1" min="9" max="9" width="9.0"/>
    <col customWidth="1" min="10" max="10" width="8.38"/>
    <col customWidth="1" min="11" max="11" width="9.13"/>
  </cols>
  <sheetData>
    <row r="1">
      <c r="A1" s="34"/>
      <c r="B1" s="35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>
      <c r="A2" s="35"/>
      <c r="B2" s="35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15" t="s">
        <v>0</v>
      </c>
      <c r="B3" s="15" t="s">
        <v>1</v>
      </c>
      <c r="C3" s="15" t="s">
        <v>2</v>
      </c>
      <c r="D3" s="53" t="s">
        <v>137</v>
      </c>
      <c r="E3" s="18"/>
      <c r="F3" s="53" t="s">
        <v>138</v>
      </c>
      <c r="G3" s="18"/>
      <c r="H3" s="54" t="s">
        <v>139</v>
      </c>
      <c r="I3" s="60" t="s">
        <v>152</v>
      </c>
      <c r="J3" s="60" t="s">
        <v>153</v>
      </c>
      <c r="K3" s="60" t="s">
        <v>154</v>
      </c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44"/>
      <c r="B4" s="44"/>
      <c r="C4" s="44"/>
      <c r="D4" s="54" t="s">
        <v>140</v>
      </c>
      <c r="E4" s="54" t="s">
        <v>141</v>
      </c>
      <c r="F4" s="54" t="s">
        <v>142</v>
      </c>
      <c r="G4" s="54" t="s">
        <v>155</v>
      </c>
      <c r="H4" s="54" t="s">
        <v>156</v>
      </c>
      <c r="I4" s="44"/>
      <c r="J4" s="44"/>
      <c r="K4" s="44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19"/>
      <c r="B5" s="19"/>
      <c r="C5" s="19"/>
      <c r="D5" s="47">
        <v>0.1</v>
      </c>
      <c r="E5" s="47">
        <v>0.1</v>
      </c>
      <c r="F5" s="47">
        <v>0.1</v>
      </c>
      <c r="G5" s="47">
        <v>0.2</v>
      </c>
      <c r="H5" s="47">
        <v>0.5</v>
      </c>
      <c r="I5" s="19"/>
      <c r="J5" s="19"/>
      <c r="K5" s="19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21">
        <f>'INPUT DAFTAR PESERTA'!A4</f>
        <v>1</v>
      </c>
      <c r="B6" s="21">
        <f>'INPUT DAFTAR PESERTA'!B4</f>
        <v>2109046048</v>
      </c>
      <c r="C6" s="22" t="str">
        <f>'INPUT DAFTAR PESERTA'!C4</f>
        <v>Rafif Fitriansyah Nasution</v>
      </c>
      <c r="D6" s="48">
        <f>'NILAI HARIAN'!L6</f>
        <v>100</v>
      </c>
      <c r="E6" s="25">
        <f>'NILAI HARIAN'!M6</f>
        <v>75.0625</v>
      </c>
      <c r="F6" s="25">
        <f>'NILAI HARIAN'!V6</f>
        <v>0</v>
      </c>
      <c r="G6" s="25">
        <f>'NILAI HARIAN'!AE6</f>
        <v>47.5</v>
      </c>
      <c r="H6" s="25">
        <f>'NILAI HARIAN'!AN6</f>
        <v>74.625</v>
      </c>
      <c r="I6" s="25">
        <f t="shared" ref="I6:I99" si="1">(D6*$D$5)+(E6*$E$5)+(F6*$F$5)+(G6*$G$5)+(H6*$H$5)</f>
        <v>64.31875</v>
      </c>
      <c r="J6" s="50" t="str">
        <f t="shared" ref="J6:J99" si="2">IF(I6&lt;=39.9,"0.0",IF(I6&lt;=49.9,"1.0",IF(I6&lt;=59.9,"1.5",IF(I6&lt;=64.9,"2.0",IF(I6&lt;=69.9,"2.5",IF(I6&lt;=74.9,"3.0",IF(I6&lt;=79.99,"3.5",IF(I6&gt;=80,"4.0"))))))))</f>
        <v>2.0</v>
      </c>
      <c r="K6" s="50" t="str">
        <f t="shared" ref="K6:K99" si="3">IF(I6&gt;=80,"A",IF(I6&gt;=70,"B",IF(I6&gt;=60,"C",IF(I6&gt;=40,"D","E"))))</f>
        <v>C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21">
        <f>'INPUT DAFTAR PESERTA'!A5</f>
        <v>2</v>
      </c>
      <c r="B7" s="21">
        <f>'INPUT DAFTAR PESERTA'!B5</f>
        <v>2109046053</v>
      </c>
      <c r="C7" s="22" t="str">
        <f>'INPUT DAFTAR PESERTA'!C5</f>
        <v>Muhamaad Rizky Ramdani</v>
      </c>
      <c r="D7" s="48">
        <f>'NILAI HARIAN'!L7</f>
        <v>100</v>
      </c>
      <c r="E7" s="25">
        <f>'NILAI HARIAN'!M7</f>
        <v>63.5</v>
      </c>
      <c r="F7" s="25">
        <f>'NILAI HARIAN'!V7</f>
        <v>7.5</v>
      </c>
      <c r="G7" s="50">
        <f>'NILAI HARIAN'!AE7</f>
        <v>42.5</v>
      </c>
      <c r="H7" s="25">
        <f>'NILAI HARIAN'!AN7</f>
        <v>72</v>
      </c>
      <c r="I7" s="25">
        <f t="shared" si="1"/>
        <v>61.6</v>
      </c>
      <c r="J7" s="50" t="str">
        <f t="shared" si="2"/>
        <v>2.0</v>
      </c>
      <c r="K7" s="50" t="str">
        <f t="shared" si="3"/>
        <v>C</v>
      </c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21">
        <f>'INPUT DAFTAR PESERTA'!A6</f>
        <v>3</v>
      </c>
      <c r="B8" s="21">
        <f>'INPUT DAFTAR PESERTA'!B6</f>
        <v>2409046015</v>
      </c>
      <c r="C8" s="22" t="str">
        <f>'INPUT DAFTAR PESERTA'!C6</f>
        <v>Nur Fadillah Septadi</v>
      </c>
      <c r="D8" s="48">
        <f>'NILAI HARIAN'!L8</f>
        <v>100</v>
      </c>
      <c r="E8" s="25">
        <f>'NILAI HARIAN'!M8</f>
        <v>66.5625</v>
      </c>
      <c r="F8" s="25">
        <f>'NILAI HARIAN'!V8</f>
        <v>62</v>
      </c>
      <c r="G8" s="50">
        <f>'NILAI HARIAN'!AE8</f>
        <v>36.25</v>
      </c>
      <c r="H8" s="25">
        <f>'NILAI HARIAN'!AN8</f>
        <v>74.25</v>
      </c>
      <c r="I8" s="25">
        <f t="shared" si="1"/>
        <v>67.23125</v>
      </c>
      <c r="J8" s="50" t="str">
        <f t="shared" si="2"/>
        <v>2.5</v>
      </c>
      <c r="K8" s="50" t="str">
        <f t="shared" si="3"/>
        <v>C</v>
      </c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21">
        <f>'INPUT DAFTAR PESERTA'!A7</f>
        <v>4</v>
      </c>
      <c r="B9" s="21">
        <f>'INPUT DAFTAR PESERTA'!B7</f>
        <v>2409046026</v>
      </c>
      <c r="C9" s="22" t="str">
        <f>'INPUT DAFTAR PESERTA'!C7</f>
        <v>Aisha Aqmarina Fathiyya Hawwa</v>
      </c>
      <c r="D9" s="48">
        <f>'NILAI HARIAN'!L9</f>
        <v>100</v>
      </c>
      <c r="E9" s="25">
        <f>'NILAI HARIAN'!M9</f>
        <v>68.6875</v>
      </c>
      <c r="F9" s="25">
        <f>'NILAI HARIAN'!V9</f>
        <v>0</v>
      </c>
      <c r="G9" s="50">
        <f>'NILAI HARIAN'!AE9</f>
        <v>42.5</v>
      </c>
      <c r="H9" s="25">
        <f>'NILAI HARIAN'!AN9</f>
        <v>69.75</v>
      </c>
      <c r="I9" s="25">
        <f t="shared" si="1"/>
        <v>60.24375</v>
      </c>
      <c r="J9" s="50" t="str">
        <f t="shared" si="2"/>
        <v>2.0</v>
      </c>
      <c r="K9" s="50" t="str">
        <f t="shared" si="3"/>
        <v>C</v>
      </c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21">
        <f>'INPUT DAFTAR PESERTA'!A8</f>
        <v>5</v>
      </c>
      <c r="B10" s="21">
        <f>'INPUT DAFTAR PESERTA'!B8</f>
        <v>2409046027</v>
      </c>
      <c r="C10" s="22" t="str">
        <f>'INPUT DAFTAR PESERTA'!C8</f>
        <v>Faykar Alfarisi Armadani</v>
      </c>
      <c r="D10" s="48">
        <f>'NILAI HARIAN'!L10</f>
        <v>100</v>
      </c>
      <c r="E10" s="25">
        <f>'NILAI HARIAN'!M10</f>
        <v>69.5625</v>
      </c>
      <c r="F10" s="25">
        <f>'NILAI HARIAN'!V10</f>
        <v>0</v>
      </c>
      <c r="G10" s="50">
        <f>'NILAI HARIAN'!AE10</f>
        <v>65</v>
      </c>
      <c r="H10" s="25">
        <f>'NILAI HARIAN'!AN10</f>
        <v>73.125</v>
      </c>
      <c r="I10" s="25">
        <f t="shared" si="1"/>
        <v>66.51875</v>
      </c>
      <c r="J10" s="50" t="str">
        <f t="shared" si="2"/>
        <v>2.5</v>
      </c>
      <c r="K10" s="50" t="str">
        <f t="shared" si="3"/>
        <v>C</v>
      </c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21">
        <f>'INPUT DAFTAR PESERTA'!A9</f>
        <v>6</v>
      </c>
      <c r="B11" s="21">
        <f>'INPUT DAFTAR PESERTA'!B9</f>
        <v>2409046034</v>
      </c>
      <c r="C11" s="22" t="str">
        <f>'INPUT DAFTAR PESERTA'!C9</f>
        <v>Annisa Nurdin</v>
      </c>
      <c r="D11" s="48">
        <f>'NILAI HARIAN'!L11</f>
        <v>87.5</v>
      </c>
      <c r="E11" s="25">
        <f>'NILAI HARIAN'!M11</f>
        <v>66</v>
      </c>
      <c r="F11" s="25">
        <f>'NILAI HARIAN'!V11</f>
        <v>0</v>
      </c>
      <c r="G11" s="50">
        <f>'NILAI HARIAN'!AE11</f>
        <v>30</v>
      </c>
      <c r="H11" s="25">
        <f>'NILAI HARIAN'!AN11</f>
        <v>78.375</v>
      </c>
      <c r="I11" s="25">
        <f t="shared" si="1"/>
        <v>60.5375</v>
      </c>
      <c r="J11" s="50" t="str">
        <f t="shared" si="2"/>
        <v>2.0</v>
      </c>
      <c r="K11" s="50" t="str">
        <f t="shared" si="3"/>
        <v>C</v>
      </c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21">
        <f>'INPUT DAFTAR PESERTA'!A10</f>
        <v>7</v>
      </c>
      <c r="B12" s="21">
        <f>'INPUT DAFTAR PESERTA'!B10</f>
        <v>2409046042</v>
      </c>
      <c r="C12" s="22" t="str">
        <f>'INPUT DAFTAR PESERTA'!C10</f>
        <v>Aflahal Aula</v>
      </c>
      <c r="D12" s="48">
        <f>'NILAI HARIAN'!L12</f>
        <v>100</v>
      </c>
      <c r="E12" s="25">
        <f>'NILAI HARIAN'!M12</f>
        <v>75.3125</v>
      </c>
      <c r="F12" s="25">
        <f>'NILAI HARIAN'!V12</f>
        <v>96</v>
      </c>
      <c r="G12" s="50">
        <f>'NILAI HARIAN'!AE12</f>
        <v>51.25</v>
      </c>
      <c r="H12" s="25">
        <f>'NILAI HARIAN'!AN12</f>
        <v>75</v>
      </c>
      <c r="I12" s="25">
        <f t="shared" si="1"/>
        <v>74.88125</v>
      </c>
      <c r="J12" s="50" t="str">
        <f t="shared" si="2"/>
        <v>3.0</v>
      </c>
      <c r="K12" s="50" t="str">
        <f t="shared" si="3"/>
        <v>B</v>
      </c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21">
        <f>'INPUT DAFTAR PESERTA'!A11</f>
        <v>8</v>
      </c>
      <c r="B13" s="21">
        <f>'INPUT DAFTAR PESERTA'!B11</f>
        <v>2409046045</v>
      </c>
      <c r="C13" s="22" t="str">
        <f>'INPUT DAFTAR PESERTA'!C11</f>
        <v>Jofan Ananda Sulle</v>
      </c>
      <c r="D13" s="48">
        <f>'NILAI HARIAN'!L13</f>
        <v>100</v>
      </c>
      <c r="E13" s="25">
        <f>'NILAI HARIAN'!M13</f>
        <v>73.1875</v>
      </c>
      <c r="F13" s="25">
        <f>'NILAI HARIAN'!V13</f>
        <v>0</v>
      </c>
      <c r="G13" s="50">
        <f>'NILAI HARIAN'!AE13</f>
        <v>55</v>
      </c>
      <c r="H13" s="25">
        <f>'NILAI HARIAN'!AN13</f>
        <v>73.125</v>
      </c>
      <c r="I13" s="25">
        <f t="shared" si="1"/>
        <v>64.88125</v>
      </c>
      <c r="J13" s="50" t="str">
        <f t="shared" si="2"/>
        <v>2.0</v>
      </c>
      <c r="K13" s="50" t="str">
        <f t="shared" si="3"/>
        <v>C</v>
      </c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21">
        <f>'INPUT DAFTAR PESERTA'!A12</f>
        <v>9</v>
      </c>
      <c r="B14" s="21">
        <f>'INPUT DAFTAR PESERTA'!B12</f>
        <v>2409046046</v>
      </c>
      <c r="C14" s="22" t="str">
        <f>'INPUT DAFTAR PESERTA'!C12</f>
        <v>Muhammad Ananda Harisyah Putra</v>
      </c>
      <c r="D14" s="48">
        <f>'NILAI HARIAN'!L14</f>
        <v>100</v>
      </c>
      <c r="E14" s="25">
        <f>'NILAI HARIAN'!M14</f>
        <v>81.1875</v>
      </c>
      <c r="F14" s="25">
        <f>'NILAI HARIAN'!V14</f>
        <v>98</v>
      </c>
      <c r="G14" s="50">
        <f>'NILAI HARIAN'!AE14</f>
        <v>62.5</v>
      </c>
      <c r="H14" s="25">
        <f>'NILAI HARIAN'!AN14</f>
        <v>82.125</v>
      </c>
      <c r="I14" s="25">
        <f t="shared" si="1"/>
        <v>81.48125</v>
      </c>
      <c r="J14" s="50" t="str">
        <f t="shared" si="2"/>
        <v>4.0</v>
      </c>
      <c r="K14" s="50" t="str">
        <f t="shared" si="3"/>
        <v>A</v>
      </c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21">
        <f>'INPUT DAFTAR PESERTA'!A13</f>
        <v>10</v>
      </c>
      <c r="B15" s="21">
        <f>'INPUT DAFTAR PESERTA'!B13</f>
        <v>2409046048</v>
      </c>
      <c r="C15" s="22" t="str">
        <f>'INPUT DAFTAR PESERTA'!C13</f>
        <v>Zaid Iman At-Tamam</v>
      </c>
      <c r="D15" s="48">
        <f>'NILAI HARIAN'!L15</f>
        <v>100</v>
      </c>
      <c r="E15" s="25">
        <f>'NILAI HARIAN'!M15</f>
        <v>63</v>
      </c>
      <c r="F15" s="25">
        <f>'NILAI HARIAN'!V15</f>
        <v>48</v>
      </c>
      <c r="G15" s="50">
        <f>'NILAI HARIAN'!AE15</f>
        <v>53.75</v>
      </c>
      <c r="H15" s="25">
        <f>'NILAI HARIAN'!AN15</f>
        <v>72.75</v>
      </c>
      <c r="I15" s="25">
        <f t="shared" si="1"/>
        <v>68.225</v>
      </c>
      <c r="J15" s="50" t="str">
        <f t="shared" si="2"/>
        <v>2.5</v>
      </c>
      <c r="K15" s="50" t="str">
        <f t="shared" si="3"/>
        <v>C</v>
      </c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21">
        <f>'INPUT DAFTAR PESERTA'!A14</f>
        <v>11</v>
      </c>
      <c r="B16" s="21">
        <f>'INPUT DAFTAR PESERTA'!B14</f>
        <v>2409046050</v>
      </c>
      <c r="C16" s="22" t="str">
        <f>'INPUT DAFTAR PESERTA'!C14</f>
        <v>Fachri Zia Pasha</v>
      </c>
      <c r="D16" s="48">
        <f>'NILAI HARIAN'!L16</f>
        <v>100</v>
      </c>
      <c r="E16" s="25">
        <f>'NILAI HARIAN'!M16</f>
        <v>75.5</v>
      </c>
      <c r="F16" s="25">
        <f>'NILAI HARIAN'!V16</f>
        <v>96</v>
      </c>
      <c r="G16" s="50">
        <f>'NILAI HARIAN'!AE16</f>
        <v>66.25</v>
      </c>
      <c r="H16" s="25">
        <f>'NILAI HARIAN'!AN16</f>
        <v>84</v>
      </c>
      <c r="I16" s="25">
        <f t="shared" si="1"/>
        <v>82.4</v>
      </c>
      <c r="J16" s="50" t="str">
        <f t="shared" si="2"/>
        <v>4.0</v>
      </c>
      <c r="K16" s="50" t="str">
        <f t="shared" si="3"/>
        <v>A</v>
      </c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21">
        <f>'INPUT DAFTAR PESERTA'!A15</f>
        <v>12</v>
      </c>
      <c r="B17" s="21">
        <f>'INPUT DAFTAR PESERTA'!B15</f>
        <v>2409046051</v>
      </c>
      <c r="C17" s="22" t="str">
        <f>'INPUT DAFTAR PESERTA'!C15</f>
        <v>Aziffa Reisazalea</v>
      </c>
      <c r="D17" s="48">
        <f>'NILAI HARIAN'!L17</f>
        <v>100</v>
      </c>
      <c r="E17" s="25">
        <f>'NILAI HARIAN'!M17</f>
        <v>83.5625</v>
      </c>
      <c r="F17" s="25">
        <f>'NILAI HARIAN'!V17</f>
        <v>94</v>
      </c>
      <c r="G17" s="50">
        <f>'NILAI HARIAN'!AE17</f>
        <v>68.75</v>
      </c>
      <c r="H17" s="25">
        <f>'NILAI HARIAN'!AN17</f>
        <v>84</v>
      </c>
      <c r="I17" s="25">
        <f t="shared" si="1"/>
        <v>83.50625</v>
      </c>
      <c r="J17" s="50" t="str">
        <f t="shared" si="2"/>
        <v>4.0</v>
      </c>
      <c r="K17" s="50" t="str">
        <f t="shared" si="3"/>
        <v>A</v>
      </c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21">
        <f>'INPUT DAFTAR PESERTA'!A16</f>
        <v>13</v>
      </c>
      <c r="B18" s="21">
        <f>'INPUT DAFTAR PESERTA'!B16</f>
        <v>2409046054</v>
      </c>
      <c r="C18" s="22" t="str">
        <f>'INPUT DAFTAR PESERTA'!C16</f>
        <v>Suci Andra Pramitha</v>
      </c>
      <c r="D18" s="48">
        <f>'NILAI HARIAN'!L18</f>
        <v>100</v>
      </c>
      <c r="E18" s="25">
        <f>'NILAI HARIAN'!M18</f>
        <v>51.625</v>
      </c>
      <c r="F18" s="25">
        <f>'NILAI HARIAN'!V18</f>
        <v>0</v>
      </c>
      <c r="G18" s="50">
        <f>'NILAI HARIAN'!AE18</f>
        <v>33.75</v>
      </c>
      <c r="H18" s="25">
        <f>'NILAI HARIAN'!AN18</f>
        <v>72</v>
      </c>
      <c r="I18" s="25">
        <f t="shared" si="1"/>
        <v>57.9125</v>
      </c>
      <c r="J18" s="50" t="str">
        <f t="shared" si="2"/>
        <v>1.5</v>
      </c>
      <c r="K18" s="50" t="str">
        <f t="shared" si="3"/>
        <v>D</v>
      </c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21">
        <f>'INPUT DAFTAR PESERTA'!A17</f>
        <v>14</v>
      </c>
      <c r="B19" s="21">
        <f>'INPUT DAFTAR PESERTA'!B17</f>
        <v>2409046056</v>
      </c>
      <c r="C19" s="22" t="str">
        <f>'INPUT DAFTAR PESERTA'!C17</f>
        <v>Reira Praditha</v>
      </c>
      <c r="D19" s="48">
        <f>'NILAI HARIAN'!L19</f>
        <v>100</v>
      </c>
      <c r="E19" s="25">
        <f>'NILAI HARIAN'!M19</f>
        <v>77.0625</v>
      </c>
      <c r="F19" s="25">
        <f>'NILAI HARIAN'!V19</f>
        <v>92</v>
      </c>
      <c r="G19" s="50">
        <f>'NILAI HARIAN'!AE19</f>
        <v>60</v>
      </c>
      <c r="H19" s="25">
        <f>'NILAI HARIAN'!AN19</f>
        <v>79.125</v>
      </c>
      <c r="I19" s="25">
        <f t="shared" si="1"/>
        <v>78.46875</v>
      </c>
      <c r="J19" s="50" t="str">
        <f t="shared" si="2"/>
        <v>3.5</v>
      </c>
      <c r="K19" s="50" t="str">
        <f t="shared" si="3"/>
        <v>B</v>
      </c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21">
        <f>'INPUT DAFTAR PESERTA'!A18</f>
        <v>15</v>
      </c>
      <c r="B20" s="21">
        <f>'INPUT DAFTAR PESERTA'!B18</f>
        <v>2409046060</v>
      </c>
      <c r="C20" s="22" t="str">
        <f>'INPUT DAFTAR PESERTA'!C18</f>
        <v>Ainaya Salsabila</v>
      </c>
      <c r="D20" s="48">
        <f>'NILAI HARIAN'!L20</f>
        <v>100</v>
      </c>
      <c r="E20" s="25">
        <f>'NILAI HARIAN'!M20</f>
        <v>83.9375</v>
      </c>
      <c r="F20" s="25">
        <f>'NILAI HARIAN'!V20</f>
        <v>98</v>
      </c>
      <c r="G20" s="50">
        <f>'NILAI HARIAN'!AE20</f>
        <v>67.5</v>
      </c>
      <c r="H20" s="25">
        <f>'NILAI HARIAN'!AN20</f>
        <v>82.5</v>
      </c>
      <c r="I20" s="25">
        <f t="shared" si="1"/>
        <v>82.94375</v>
      </c>
      <c r="J20" s="50" t="str">
        <f t="shared" si="2"/>
        <v>4.0</v>
      </c>
      <c r="K20" s="50" t="str">
        <f t="shared" si="3"/>
        <v>A</v>
      </c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>
      <c r="A21" s="21">
        <f>'INPUT DAFTAR PESERTA'!A19</f>
        <v>16</v>
      </c>
      <c r="B21" s="21">
        <f>'INPUT DAFTAR PESERTA'!B19</f>
        <v>2504096069</v>
      </c>
      <c r="C21" s="22" t="str">
        <f>'INPUT DAFTAR PESERTA'!C19</f>
        <v>Hafidz Ihsan Izzuddin</v>
      </c>
      <c r="D21" s="48">
        <f>'NILAI HARIAN'!L21</f>
        <v>62.5</v>
      </c>
      <c r="E21" s="25">
        <f>'NILAI HARIAN'!M21</f>
        <v>9.125</v>
      </c>
      <c r="F21" s="25">
        <f>'NILAI HARIAN'!V21</f>
        <v>94</v>
      </c>
      <c r="G21" s="50">
        <f>'NILAI HARIAN'!AE21</f>
        <v>0</v>
      </c>
      <c r="H21" s="25">
        <f>'NILAI HARIAN'!AN21</f>
        <v>40.125</v>
      </c>
      <c r="I21" s="25">
        <f t="shared" si="1"/>
        <v>36.625</v>
      </c>
      <c r="J21" s="50" t="str">
        <f t="shared" si="2"/>
        <v>0.0</v>
      </c>
      <c r="K21" s="50" t="str">
        <f t="shared" si="3"/>
        <v>E</v>
      </c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>
      <c r="A22" s="21">
        <f>'INPUT DAFTAR PESERTA'!A20</f>
        <v>17</v>
      </c>
      <c r="B22" s="21">
        <f>'INPUT DAFTAR PESERTA'!B20</f>
        <v>2509046001</v>
      </c>
      <c r="C22" s="22" t="str">
        <f>'INPUT DAFTAR PESERTA'!C20</f>
        <v>Nurman Dwi Prasetyo</v>
      </c>
      <c r="D22" s="48">
        <f>'NILAI HARIAN'!L22</f>
        <v>100</v>
      </c>
      <c r="E22" s="25">
        <f>'NILAI HARIAN'!M22</f>
        <v>55.875</v>
      </c>
      <c r="F22" s="25">
        <f>'NILAI HARIAN'!V22</f>
        <v>88</v>
      </c>
      <c r="G22" s="50">
        <f>'NILAI HARIAN'!AE22</f>
        <v>62.5</v>
      </c>
      <c r="H22" s="25">
        <f>'NILAI HARIAN'!AN22</f>
        <v>67.125</v>
      </c>
      <c r="I22" s="25">
        <f t="shared" si="1"/>
        <v>70.45</v>
      </c>
      <c r="J22" s="50" t="str">
        <f t="shared" si="2"/>
        <v>3.0</v>
      </c>
      <c r="K22" s="50" t="str">
        <f t="shared" si="3"/>
        <v>B</v>
      </c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>
      <c r="A23" s="21">
        <f>'INPUT DAFTAR PESERTA'!A21</f>
        <v>18</v>
      </c>
      <c r="B23" s="21">
        <f>'INPUT DAFTAR PESERTA'!B21</f>
        <v>2509046002</v>
      </c>
      <c r="C23" s="22" t="str">
        <f>'INPUT DAFTAR PESERTA'!C21</f>
        <v>Farid Akmal</v>
      </c>
      <c r="D23" s="48">
        <f>'NILAI HARIAN'!L23</f>
        <v>100</v>
      </c>
      <c r="E23" s="25">
        <f>'NILAI HARIAN'!M23</f>
        <v>76.75</v>
      </c>
      <c r="F23" s="25">
        <f>'NILAI HARIAN'!V23</f>
        <v>96</v>
      </c>
      <c r="G23" s="50">
        <f>'NILAI HARIAN'!AE23</f>
        <v>75</v>
      </c>
      <c r="H23" s="25">
        <f>'NILAI HARIAN'!AN23</f>
        <v>73.5</v>
      </c>
      <c r="I23" s="25">
        <f t="shared" si="1"/>
        <v>79.025</v>
      </c>
      <c r="J23" s="50" t="str">
        <f t="shared" si="2"/>
        <v>3.5</v>
      </c>
      <c r="K23" s="50" t="str">
        <f t="shared" si="3"/>
        <v>B</v>
      </c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>
      <c r="A24" s="21">
        <f>'INPUT DAFTAR PESERTA'!A22</f>
        <v>19</v>
      </c>
      <c r="B24" s="21">
        <f>'INPUT DAFTAR PESERTA'!B22</f>
        <v>2509046003</v>
      </c>
      <c r="C24" s="22" t="str">
        <f>'INPUT DAFTAR PESERTA'!C22</f>
        <v>Azzahra Tusitha</v>
      </c>
      <c r="D24" s="48">
        <f>'NILAI HARIAN'!L24</f>
        <v>100</v>
      </c>
      <c r="E24" s="25">
        <f>'NILAI HARIAN'!M24</f>
        <v>82.5</v>
      </c>
      <c r="F24" s="25">
        <f>'NILAI HARIAN'!V24</f>
        <v>76</v>
      </c>
      <c r="G24" s="50">
        <f>'NILAI HARIAN'!AE24</f>
        <v>73.75</v>
      </c>
      <c r="H24" s="25">
        <f>'NILAI HARIAN'!AN24</f>
        <v>84</v>
      </c>
      <c r="I24" s="25">
        <f t="shared" si="1"/>
        <v>82.6</v>
      </c>
      <c r="J24" s="50" t="str">
        <f t="shared" si="2"/>
        <v>4.0</v>
      </c>
      <c r="K24" s="50" t="str">
        <f t="shared" si="3"/>
        <v>A</v>
      </c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>
      <c r="A25" s="21">
        <f>'INPUT DAFTAR PESERTA'!A23</f>
        <v>20</v>
      </c>
      <c r="B25" s="21">
        <f>'INPUT DAFTAR PESERTA'!B23</f>
        <v>2509046004</v>
      </c>
      <c r="C25" s="22" t="str">
        <f>'INPUT DAFTAR PESERTA'!C23</f>
        <v>Ahmadia Syarifah Lauradinta</v>
      </c>
      <c r="D25" s="48">
        <f>'NILAI HARIAN'!L25</f>
        <v>100</v>
      </c>
      <c r="E25" s="25">
        <f>'NILAI HARIAN'!M25</f>
        <v>55.8125</v>
      </c>
      <c r="F25" s="25">
        <f>'NILAI HARIAN'!V25</f>
        <v>88</v>
      </c>
      <c r="G25" s="50">
        <f>'NILAI HARIAN'!AE25</f>
        <v>63.75</v>
      </c>
      <c r="H25" s="25">
        <f>'NILAI HARIAN'!AN25</f>
        <v>69</v>
      </c>
      <c r="I25" s="25">
        <f t="shared" si="1"/>
        <v>71.63125</v>
      </c>
      <c r="J25" s="50" t="str">
        <f t="shared" si="2"/>
        <v>3.0</v>
      </c>
      <c r="K25" s="50" t="str">
        <f t="shared" si="3"/>
        <v>B</v>
      </c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>
      <c r="A26" s="21">
        <f>'INPUT DAFTAR PESERTA'!A24</f>
        <v>21</v>
      </c>
      <c r="B26" s="21">
        <f>'INPUT DAFTAR PESERTA'!B24</f>
        <v>2509046005</v>
      </c>
      <c r="C26" s="22" t="str">
        <f>'INPUT DAFTAR PESERTA'!C24</f>
        <v>Seysa Puji Annura</v>
      </c>
      <c r="D26" s="48">
        <f>'NILAI HARIAN'!L26</f>
        <v>100</v>
      </c>
      <c r="E26" s="25">
        <f>'NILAI HARIAN'!M26</f>
        <v>44.09375</v>
      </c>
      <c r="F26" s="25">
        <f>'NILAI HARIAN'!V26</f>
        <v>46</v>
      </c>
      <c r="G26" s="50">
        <f>'NILAI HARIAN'!AE26</f>
        <v>55</v>
      </c>
      <c r="H26" s="25">
        <f>'NILAI HARIAN'!AN26</f>
        <v>57.75</v>
      </c>
      <c r="I26" s="25">
        <f t="shared" si="1"/>
        <v>58.884375</v>
      </c>
      <c r="J26" s="50" t="str">
        <f t="shared" si="2"/>
        <v>1.5</v>
      </c>
      <c r="K26" s="50" t="str">
        <f t="shared" si="3"/>
        <v>D</v>
      </c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>
      <c r="A27" s="21">
        <f>'INPUT DAFTAR PESERTA'!A25</f>
        <v>22</v>
      </c>
      <c r="B27" s="21">
        <f>'INPUT DAFTAR PESERTA'!B25</f>
        <v>2509046006</v>
      </c>
      <c r="C27" s="22" t="str">
        <f>'INPUT DAFTAR PESERTA'!C25</f>
        <v>Gita Ramadhani Supriyadi</v>
      </c>
      <c r="D27" s="48">
        <f>'NILAI HARIAN'!L27</f>
        <v>50</v>
      </c>
      <c r="E27" s="25">
        <f>'NILAI HARIAN'!M27</f>
        <v>0</v>
      </c>
      <c r="F27" s="25">
        <f>'NILAI HARIAN'!V27</f>
        <v>0</v>
      </c>
      <c r="G27" s="50">
        <f>'NILAI HARIAN'!AE27</f>
        <v>0</v>
      </c>
      <c r="H27" s="25">
        <f>'NILAI HARIAN'!AN27</f>
        <v>7.5</v>
      </c>
      <c r="I27" s="25">
        <f t="shared" si="1"/>
        <v>8.75</v>
      </c>
      <c r="J27" s="50" t="str">
        <f t="shared" si="2"/>
        <v>0.0</v>
      </c>
      <c r="K27" s="50" t="str">
        <f t="shared" si="3"/>
        <v>E</v>
      </c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>
      <c r="A28" s="21">
        <f>'INPUT DAFTAR PESERTA'!A26</f>
        <v>23</v>
      </c>
      <c r="B28" s="21">
        <f>'INPUT DAFTAR PESERTA'!B26</f>
        <v>2509046007</v>
      </c>
      <c r="C28" s="22" t="str">
        <f>'INPUT DAFTAR PESERTA'!C26</f>
        <v>Fabio Cannavaro Sinaga</v>
      </c>
      <c r="D28" s="48">
        <f>'NILAI HARIAN'!L28</f>
        <v>100</v>
      </c>
      <c r="E28" s="25">
        <f>'NILAI HARIAN'!M28</f>
        <v>75.9375</v>
      </c>
      <c r="F28" s="25">
        <f>'NILAI HARIAN'!V28</f>
        <v>0</v>
      </c>
      <c r="G28" s="50">
        <f>'NILAI HARIAN'!AE28</f>
        <v>66.25</v>
      </c>
      <c r="H28" s="25">
        <f>'NILAI HARIAN'!AN28</f>
        <v>77.625</v>
      </c>
      <c r="I28" s="25">
        <f t="shared" si="1"/>
        <v>69.65625</v>
      </c>
      <c r="J28" s="50" t="str">
        <f t="shared" si="2"/>
        <v>2.5</v>
      </c>
      <c r="K28" s="50" t="str">
        <f t="shared" si="3"/>
        <v>C</v>
      </c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>
      <c r="A29" s="21">
        <f>'INPUT DAFTAR PESERTA'!A27</f>
        <v>24</v>
      </c>
      <c r="B29" s="21">
        <f>'INPUT DAFTAR PESERTA'!B27</f>
        <v>2509046008</v>
      </c>
      <c r="C29" s="22" t="str">
        <f>'INPUT DAFTAR PESERTA'!C27</f>
        <v>Hayatun Nisa</v>
      </c>
      <c r="D29" s="48">
        <f>'NILAI HARIAN'!L29</f>
        <v>100</v>
      </c>
      <c r="E29" s="25">
        <f>'NILAI HARIAN'!M29</f>
        <v>58.625</v>
      </c>
      <c r="F29" s="25">
        <f>'NILAI HARIAN'!V29</f>
        <v>96</v>
      </c>
      <c r="G29" s="50">
        <f>'NILAI HARIAN'!AE29</f>
        <v>61.25</v>
      </c>
      <c r="H29" s="25">
        <f>'NILAI HARIAN'!AN29</f>
        <v>65.625</v>
      </c>
      <c r="I29" s="25">
        <f t="shared" si="1"/>
        <v>70.525</v>
      </c>
      <c r="J29" s="50" t="str">
        <f t="shared" si="2"/>
        <v>3.0</v>
      </c>
      <c r="K29" s="50" t="str">
        <f t="shared" si="3"/>
        <v>B</v>
      </c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>
      <c r="A30" s="21">
        <f>'INPUT DAFTAR PESERTA'!A28</f>
        <v>25</v>
      </c>
      <c r="B30" s="21">
        <f>'INPUT DAFTAR PESERTA'!B28</f>
        <v>2509046009</v>
      </c>
      <c r="C30" s="22" t="str">
        <f>'INPUT DAFTAR PESERTA'!C28</f>
        <v>Khalilah Denissa Ardia Cahyani</v>
      </c>
      <c r="D30" s="48">
        <f>'NILAI HARIAN'!L30</f>
        <v>96.25</v>
      </c>
      <c r="E30" s="25">
        <f>'NILAI HARIAN'!M30</f>
        <v>36.875</v>
      </c>
      <c r="F30" s="25">
        <f>'NILAI HARIAN'!V30</f>
        <v>90</v>
      </c>
      <c r="G30" s="50">
        <f>'NILAI HARIAN'!AE30</f>
        <v>36.25</v>
      </c>
      <c r="H30" s="25">
        <f>'NILAI HARIAN'!AN30</f>
        <v>59.25</v>
      </c>
      <c r="I30" s="25">
        <f t="shared" si="1"/>
        <v>59.1875</v>
      </c>
      <c r="J30" s="50" t="str">
        <f t="shared" si="2"/>
        <v>1.5</v>
      </c>
      <c r="K30" s="50" t="str">
        <f t="shared" si="3"/>
        <v>D</v>
      </c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>
      <c r="A31" s="21">
        <f>'INPUT DAFTAR PESERTA'!A29</f>
        <v>26</v>
      </c>
      <c r="B31" s="21">
        <f>'INPUT DAFTAR PESERTA'!B29</f>
        <v>2509046010</v>
      </c>
      <c r="C31" s="22" t="str">
        <f>'INPUT DAFTAR PESERTA'!C29</f>
        <v>Athila Nadya Zalikha</v>
      </c>
      <c r="D31" s="48">
        <f>'NILAI HARIAN'!L31</f>
        <v>62.5</v>
      </c>
      <c r="E31" s="25">
        <f>'NILAI HARIAN'!M31</f>
        <v>10.5625</v>
      </c>
      <c r="F31" s="25">
        <f>'NILAI HARIAN'!V31</f>
        <v>62</v>
      </c>
      <c r="G31" s="50">
        <f>'NILAI HARIAN'!AE31</f>
        <v>7.5</v>
      </c>
      <c r="H31" s="25">
        <f>'NILAI HARIAN'!AN31</f>
        <v>37.5</v>
      </c>
      <c r="I31" s="25">
        <f t="shared" si="1"/>
        <v>33.75625</v>
      </c>
      <c r="J31" s="50" t="str">
        <f t="shared" si="2"/>
        <v>0.0</v>
      </c>
      <c r="K31" s="50" t="str">
        <f t="shared" si="3"/>
        <v>E</v>
      </c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>
      <c r="A32" s="21">
        <f>'INPUT DAFTAR PESERTA'!A30</f>
        <v>27</v>
      </c>
      <c r="B32" s="21">
        <f>'INPUT DAFTAR PESERTA'!B30</f>
        <v>2509046011</v>
      </c>
      <c r="C32" s="22" t="str">
        <f>'INPUT DAFTAR PESERTA'!C30</f>
        <v>Aditya Pratama</v>
      </c>
      <c r="D32" s="48">
        <f>'NILAI HARIAN'!L32</f>
        <v>87.5</v>
      </c>
      <c r="E32" s="25">
        <f>'NILAI HARIAN'!M32</f>
        <v>4.6875</v>
      </c>
      <c r="F32" s="25">
        <f>'NILAI HARIAN'!V32</f>
        <v>98</v>
      </c>
      <c r="G32" s="50">
        <f>'NILAI HARIAN'!AE32</f>
        <v>7.5</v>
      </c>
      <c r="H32" s="25">
        <f>'NILAI HARIAN'!AN32</f>
        <v>27.75</v>
      </c>
      <c r="I32" s="25">
        <f t="shared" si="1"/>
        <v>34.39375</v>
      </c>
      <c r="J32" s="50" t="str">
        <f t="shared" si="2"/>
        <v>0.0</v>
      </c>
      <c r="K32" s="50" t="str">
        <f t="shared" si="3"/>
        <v>E</v>
      </c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>
      <c r="A33" s="21">
        <f>'INPUT DAFTAR PESERTA'!A31</f>
        <v>28</v>
      </c>
      <c r="B33" s="21">
        <f>'INPUT DAFTAR PESERTA'!B31</f>
        <v>2509046012</v>
      </c>
      <c r="C33" s="22" t="str">
        <f>'INPUT DAFTAR PESERTA'!C31</f>
        <v>Atiiqah Permata Hati</v>
      </c>
      <c r="D33" s="48">
        <f>'NILAI HARIAN'!L33</f>
        <v>100</v>
      </c>
      <c r="E33" s="25">
        <f>'NILAI HARIAN'!M33</f>
        <v>43.625</v>
      </c>
      <c r="F33" s="25">
        <f>'NILAI HARIAN'!V33</f>
        <v>94</v>
      </c>
      <c r="G33" s="50">
        <f>'NILAI HARIAN'!AE33</f>
        <v>40</v>
      </c>
      <c r="H33" s="25">
        <f>'NILAI HARIAN'!AN33</f>
        <v>57</v>
      </c>
      <c r="I33" s="25">
        <f t="shared" si="1"/>
        <v>60.2625</v>
      </c>
      <c r="J33" s="50" t="str">
        <f t="shared" si="2"/>
        <v>2.0</v>
      </c>
      <c r="K33" s="50" t="str">
        <f t="shared" si="3"/>
        <v>C</v>
      </c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>
      <c r="A34" s="21">
        <f>'INPUT DAFTAR PESERTA'!A32</f>
        <v>29</v>
      </c>
      <c r="B34" s="21">
        <f>'INPUT DAFTAR PESERTA'!B32</f>
        <v>2509046013</v>
      </c>
      <c r="C34" s="22" t="str">
        <f>'INPUT DAFTAR PESERTA'!C32</f>
        <v>Yolanda Denis Aprilia</v>
      </c>
      <c r="D34" s="48">
        <f>'NILAI HARIAN'!L34</f>
        <v>100</v>
      </c>
      <c r="E34" s="25">
        <f>'NILAI HARIAN'!M34</f>
        <v>54.9375</v>
      </c>
      <c r="F34" s="25">
        <f>'NILAI HARIAN'!V34</f>
        <v>0</v>
      </c>
      <c r="G34" s="50">
        <f>'NILAI HARIAN'!AE34</f>
        <v>55</v>
      </c>
      <c r="H34" s="25">
        <f>'NILAI HARIAN'!AN34</f>
        <v>61.125</v>
      </c>
      <c r="I34" s="25">
        <f t="shared" si="1"/>
        <v>57.05625</v>
      </c>
      <c r="J34" s="50" t="str">
        <f t="shared" si="2"/>
        <v>1.5</v>
      </c>
      <c r="K34" s="50" t="str">
        <f t="shared" si="3"/>
        <v>D</v>
      </c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>
      <c r="A35" s="21">
        <f>'INPUT DAFTAR PESERTA'!A33</f>
        <v>30</v>
      </c>
      <c r="B35" s="21">
        <f>'INPUT DAFTAR PESERTA'!B33</f>
        <v>2509046014</v>
      </c>
      <c r="C35" s="22" t="str">
        <f>'INPUT DAFTAR PESERTA'!C33</f>
        <v>Farah Najma</v>
      </c>
      <c r="D35" s="48">
        <f>'NILAI HARIAN'!L35</f>
        <v>100</v>
      </c>
      <c r="E35" s="25">
        <f>'NILAI HARIAN'!M35</f>
        <v>39</v>
      </c>
      <c r="F35" s="25">
        <f>'NILAI HARIAN'!V35</f>
        <v>100</v>
      </c>
      <c r="G35" s="50">
        <f>'NILAI HARIAN'!AE35</f>
        <v>45</v>
      </c>
      <c r="H35" s="25">
        <f>'NILAI HARIAN'!AN35</f>
        <v>59.625</v>
      </c>
      <c r="I35" s="25">
        <f t="shared" si="1"/>
        <v>62.7125</v>
      </c>
      <c r="J35" s="50" t="str">
        <f t="shared" si="2"/>
        <v>2.0</v>
      </c>
      <c r="K35" s="50" t="str">
        <f t="shared" si="3"/>
        <v>C</v>
      </c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>
      <c r="A36" s="21">
        <f>'INPUT DAFTAR PESERTA'!A34</f>
        <v>31</v>
      </c>
      <c r="B36" s="21">
        <f>'INPUT DAFTAR PESERTA'!B34</f>
        <v>2509046015</v>
      </c>
      <c r="C36" s="22" t="str">
        <f>'INPUT DAFTAR PESERTA'!C34</f>
        <v>Muhammad Abdul Mu'in</v>
      </c>
      <c r="D36" s="48">
        <f>'NILAI HARIAN'!L36</f>
        <v>100</v>
      </c>
      <c r="E36" s="25">
        <f>'NILAI HARIAN'!M36</f>
        <v>59.0625</v>
      </c>
      <c r="F36" s="25">
        <f>'NILAI HARIAN'!V36</f>
        <v>98</v>
      </c>
      <c r="G36" s="50">
        <f>'NILAI HARIAN'!AE36</f>
        <v>60</v>
      </c>
      <c r="H36" s="25">
        <f>'NILAI HARIAN'!AN36</f>
        <v>59.25</v>
      </c>
      <c r="I36" s="25">
        <f t="shared" si="1"/>
        <v>67.33125</v>
      </c>
      <c r="J36" s="50" t="str">
        <f t="shared" si="2"/>
        <v>2.5</v>
      </c>
      <c r="K36" s="50" t="str">
        <f t="shared" si="3"/>
        <v>C</v>
      </c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>
      <c r="A37" s="21">
        <f>'INPUT DAFTAR PESERTA'!A35</f>
        <v>32</v>
      </c>
      <c r="B37" s="21">
        <f>'INPUT DAFTAR PESERTA'!B35</f>
        <v>2509046016</v>
      </c>
      <c r="C37" s="22" t="str">
        <f>'INPUT DAFTAR PESERTA'!C35</f>
        <v>Muhammad Rofiq Al-Hakim</v>
      </c>
      <c r="D37" s="48">
        <f>'NILAI HARIAN'!L37</f>
        <v>86.875</v>
      </c>
      <c r="E37" s="25">
        <f>'NILAI HARIAN'!M37</f>
        <v>15.05625</v>
      </c>
      <c r="F37" s="25">
        <f>'NILAI HARIAN'!V37</f>
        <v>94</v>
      </c>
      <c r="G37" s="50">
        <f>'NILAI HARIAN'!AE37</f>
        <v>3.75</v>
      </c>
      <c r="H37" s="25">
        <f>'NILAI HARIAN'!AN37</f>
        <v>56.625</v>
      </c>
      <c r="I37" s="25">
        <f t="shared" si="1"/>
        <v>48.655625</v>
      </c>
      <c r="J37" s="50" t="str">
        <f t="shared" si="2"/>
        <v>1.0</v>
      </c>
      <c r="K37" s="50" t="str">
        <f t="shared" si="3"/>
        <v>D</v>
      </c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>
      <c r="A38" s="21">
        <f>'INPUT DAFTAR PESERTA'!A36</f>
        <v>33</v>
      </c>
      <c r="B38" s="21">
        <f>'INPUT DAFTAR PESERTA'!B36</f>
        <v>2509046017</v>
      </c>
      <c r="C38" s="22" t="str">
        <f>'INPUT DAFTAR PESERTA'!C36</f>
        <v>Nadia Eka Pratiwi</v>
      </c>
      <c r="D38" s="48">
        <f>'NILAI HARIAN'!L38</f>
        <v>100</v>
      </c>
      <c r="E38" s="25">
        <f>'NILAI HARIAN'!M38</f>
        <v>76.375</v>
      </c>
      <c r="F38" s="25">
        <f>'NILAI HARIAN'!V38</f>
        <v>84</v>
      </c>
      <c r="G38" s="50">
        <f>'NILAI HARIAN'!AE38</f>
        <v>76.25</v>
      </c>
      <c r="H38" s="25">
        <f>'NILAI HARIAN'!AN38</f>
        <v>73.875</v>
      </c>
      <c r="I38" s="25">
        <f t="shared" si="1"/>
        <v>78.225</v>
      </c>
      <c r="J38" s="50" t="str">
        <f t="shared" si="2"/>
        <v>3.5</v>
      </c>
      <c r="K38" s="50" t="str">
        <f t="shared" si="3"/>
        <v>B</v>
      </c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>
      <c r="A39" s="21">
        <f>'INPUT DAFTAR PESERTA'!A37</f>
        <v>34</v>
      </c>
      <c r="B39" s="21">
        <f>'INPUT DAFTAR PESERTA'!B37</f>
        <v>2509046018</v>
      </c>
      <c r="C39" s="22" t="str">
        <f>'INPUT DAFTAR PESERTA'!C37</f>
        <v>Rayhana Erda Affiyah</v>
      </c>
      <c r="D39" s="48">
        <f>'NILAI HARIAN'!L39</f>
        <v>100</v>
      </c>
      <c r="E39" s="25">
        <f>'NILAI HARIAN'!M39</f>
        <v>78.53125</v>
      </c>
      <c r="F39" s="25">
        <f>'NILAI HARIAN'!V39</f>
        <v>70</v>
      </c>
      <c r="G39" s="50">
        <f>'NILAI HARIAN'!AE39</f>
        <v>72.5</v>
      </c>
      <c r="H39" s="25">
        <f>'NILAI HARIAN'!AN39</f>
        <v>73.5</v>
      </c>
      <c r="I39" s="25">
        <f t="shared" si="1"/>
        <v>76.103125</v>
      </c>
      <c r="J39" s="50" t="str">
        <f t="shared" si="2"/>
        <v>3.5</v>
      </c>
      <c r="K39" s="50" t="str">
        <f t="shared" si="3"/>
        <v>B</v>
      </c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>
      <c r="A40" s="21">
        <f>'INPUT DAFTAR PESERTA'!A38</f>
        <v>35</v>
      </c>
      <c r="B40" s="21">
        <f>'INPUT DAFTAR PESERTA'!B38</f>
        <v>2509046019</v>
      </c>
      <c r="C40" s="22" t="str">
        <f>'INPUT DAFTAR PESERTA'!C38</f>
        <v>Astrina Nadhiroh Illiyin</v>
      </c>
      <c r="D40" s="48">
        <f>'NILAI HARIAN'!L40</f>
        <v>100</v>
      </c>
      <c r="E40" s="25">
        <f>'NILAI HARIAN'!M40</f>
        <v>71.375</v>
      </c>
      <c r="F40" s="25">
        <f>'NILAI HARIAN'!V40</f>
        <v>100</v>
      </c>
      <c r="G40" s="50">
        <f>'NILAI HARIAN'!AE40</f>
        <v>65</v>
      </c>
      <c r="H40" s="25">
        <f>'NILAI HARIAN'!AN40</f>
        <v>72.9375</v>
      </c>
      <c r="I40" s="25">
        <f t="shared" si="1"/>
        <v>76.60625</v>
      </c>
      <c r="J40" s="50" t="str">
        <f t="shared" si="2"/>
        <v>3.5</v>
      </c>
      <c r="K40" s="50" t="str">
        <f t="shared" si="3"/>
        <v>B</v>
      </c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>
      <c r="A41" s="21">
        <f>'INPUT DAFTAR PESERTA'!A39</f>
        <v>36</v>
      </c>
      <c r="B41" s="21">
        <f>'INPUT DAFTAR PESERTA'!B39</f>
        <v>2509046020</v>
      </c>
      <c r="C41" s="22" t="str">
        <f>'INPUT DAFTAR PESERTA'!C39</f>
        <v>Muhammad Davindia Akmaluza</v>
      </c>
      <c r="D41" s="48">
        <f>'NILAI HARIAN'!L41</f>
        <v>62.5</v>
      </c>
      <c r="E41" s="25">
        <f>'NILAI HARIAN'!M41</f>
        <v>3</v>
      </c>
      <c r="F41" s="25">
        <f>'NILAI HARIAN'!V41</f>
        <v>0</v>
      </c>
      <c r="G41" s="50">
        <f>'NILAI HARIAN'!AE41</f>
        <v>3.75</v>
      </c>
      <c r="H41" s="25">
        <f>'NILAI HARIAN'!AN41</f>
        <v>30</v>
      </c>
      <c r="I41" s="25">
        <f t="shared" si="1"/>
        <v>22.3</v>
      </c>
      <c r="J41" s="50" t="str">
        <f t="shared" si="2"/>
        <v>0.0</v>
      </c>
      <c r="K41" s="50" t="str">
        <f t="shared" si="3"/>
        <v>E</v>
      </c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>
      <c r="A42" s="21">
        <f>'INPUT DAFTAR PESERTA'!A40</f>
        <v>37</v>
      </c>
      <c r="B42" s="21">
        <f>'INPUT DAFTAR PESERTA'!B40</f>
        <v>2509046021</v>
      </c>
      <c r="C42" s="22" t="str">
        <f>'INPUT DAFTAR PESERTA'!C40</f>
        <v>Muhammad Naufal Sabilillah</v>
      </c>
      <c r="D42" s="48">
        <f>'NILAI HARIAN'!L42</f>
        <v>97.5</v>
      </c>
      <c r="E42" s="25">
        <f>'NILAI HARIAN'!M42</f>
        <v>84.8125</v>
      </c>
      <c r="F42" s="25">
        <f>'NILAI HARIAN'!V42</f>
        <v>94</v>
      </c>
      <c r="G42" s="50">
        <f>'NILAI HARIAN'!AE42</f>
        <v>73.75</v>
      </c>
      <c r="H42" s="25">
        <f>'NILAI HARIAN'!AN42</f>
        <v>76.5</v>
      </c>
      <c r="I42" s="25">
        <f t="shared" si="1"/>
        <v>80.63125</v>
      </c>
      <c r="J42" s="50" t="str">
        <f t="shared" si="2"/>
        <v>4.0</v>
      </c>
      <c r="K42" s="50" t="str">
        <f t="shared" si="3"/>
        <v>A</v>
      </c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>
      <c r="A43" s="21">
        <f>'INPUT DAFTAR PESERTA'!A41</f>
        <v>38</v>
      </c>
      <c r="B43" s="21">
        <f>'INPUT DAFTAR PESERTA'!B41</f>
        <v>2509046022</v>
      </c>
      <c r="C43" s="22" t="str">
        <f>'INPUT DAFTAR PESERTA'!C41</f>
        <v>Miranda Nur Salsabila</v>
      </c>
      <c r="D43" s="48">
        <f>'NILAI HARIAN'!L43</f>
        <v>100</v>
      </c>
      <c r="E43" s="25">
        <f>'NILAI HARIAN'!M43</f>
        <v>66.425</v>
      </c>
      <c r="F43" s="25">
        <f>'NILAI HARIAN'!V43</f>
        <v>84</v>
      </c>
      <c r="G43" s="50">
        <f>'NILAI HARIAN'!AE43</f>
        <v>75</v>
      </c>
      <c r="H43" s="25">
        <f>'NILAI HARIAN'!AN43</f>
        <v>64.875</v>
      </c>
      <c r="I43" s="25">
        <f t="shared" si="1"/>
        <v>72.48</v>
      </c>
      <c r="J43" s="50" t="str">
        <f t="shared" si="2"/>
        <v>3.0</v>
      </c>
      <c r="K43" s="50" t="str">
        <f t="shared" si="3"/>
        <v>B</v>
      </c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>
      <c r="A44" s="21">
        <f>'INPUT DAFTAR PESERTA'!A42</f>
        <v>39</v>
      </c>
      <c r="B44" s="21">
        <f>'INPUT DAFTAR PESERTA'!B42</f>
        <v>2509046023</v>
      </c>
      <c r="C44" s="22" t="str">
        <f>'INPUT DAFTAR PESERTA'!C42</f>
        <v>Dinar Rahmatheta</v>
      </c>
      <c r="D44" s="48">
        <f>'NILAI HARIAN'!L44</f>
        <v>100</v>
      </c>
      <c r="E44" s="25">
        <f>'NILAI HARIAN'!M44</f>
        <v>72.3625</v>
      </c>
      <c r="F44" s="25">
        <f>'NILAI HARIAN'!V44</f>
        <v>100</v>
      </c>
      <c r="G44" s="50">
        <f>'NILAI HARIAN'!AE44</f>
        <v>68.75</v>
      </c>
      <c r="H44" s="25">
        <f>'NILAI HARIAN'!AN44</f>
        <v>69</v>
      </c>
      <c r="I44" s="25">
        <f t="shared" si="1"/>
        <v>75.48625</v>
      </c>
      <c r="J44" s="50" t="str">
        <f t="shared" si="2"/>
        <v>3.5</v>
      </c>
      <c r="K44" s="50" t="str">
        <f t="shared" si="3"/>
        <v>B</v>
      </c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>
      <c r="A45" s="21">
        <f>'INPUT DAFTAR PESERTA'!A43</f>
        <v>40</v>
      </c>
      <c r="B45" s="21">
        <f>'INPUT DAFTAR PESERTA'!B43</f>
        <v>2509046024</v>
      </c>
      <c r="C45" s="22" t="str">
        <f>'INPUT DAFTAR PESERTA'!C43</f>
        <v>Muh. Yasir Naufal</v>
      </c>
      <c r="D45" s="48">
        <f>'NILAI HARIAN'!L45</f>
        <v>62.5</v>
      </c>
      <c r="E45" s="25">
        <f>'NILAI HARIAN'!M45</f>
        <v>6.4375</v>
      </c>
      <c r="F45" s="25">
        <f>'NILAI HARIAN'!V45</f>
        <v>0</v>
      </c>
      <c r="G45" s="50">
        <f>'NILAI HARIAN'!AE45</f>
        <v>3.75</v>
      </c>
      <c r="H45" s="25">
        <f>'NILAI HARIAN'!AN45</f>
        <v>33.375</v>
      </c>
      <c r="I45" s="25">
        <f t="shared" si="1"/>
        <v>24.33125</v>
      </c>
      <c r="J45" s="50" t="str">
        <f t="shared" si="2"/>
        <v>0.0</v>
      </c>
      <c r="K45" s="50" t="str">
        <f t="shared" si="3"/>
        <v>E</v>
      </c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>
      <c r="A46" s="21">
        <f>'INPUT DAFTAR PESERTA'!A44</f>
        <v>41</v>
      </c>
      <c r="B46" s="21">
        <f>'INPUT DAFTAR PESERTA'!B44</f>
        <v>2509046025</v>
      </c>
      <c r="C46" s="22" t="str">
        <f>'INPUT DAFTAR PESERTA'!C44</f>
        <v>Andi Nada Bunga Zahra</v>
      </c>
      <c r="D46" s="48">
        <f>'NILAI HARIAN'!L46</f>
        <v>100</v>
      </c>
      <c r="E46" s="25">
        <f>'NILAI HARIAN'!M46</f>
        <v>67.6875</v>
      </c>
      <c r="F46" s="25">
        <f>'NILAI HARIAN'!V46</f>
        <v>92</v>
      </c>
      <c r="G46" s="50">
        <f>'NILAI HARIAN'!AE46</f>
        <v>70</v>
      </c>
      <c r="H46" s="25">
        <f>'NILAI HARIAN'!AN46</f>
        <v>76.5</v>
      </c>
      <c r="I46" s="25">
        <f t="shared" si="1"/>
        <v>78.21875</v>
      </c>
      <c r="J46" s="50" t="str">
        <f t="shared" si="2"/>
        <v>3.5</v>
      </c>
      <c r="K46" s="50" t="str">
        <f t="shared" si="3"/>
        <v>B</v>
      </c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>
      <c r="A47" s="21">
        <f>'INPUT DAFTAR PESERTA'!A45</f>
        <v>42</v>
      </c>
      <c r="B47" s="21">
        <f>'INPUT DAFTAR PESERTA'!B45</f>
        <v>2509046026</v>
      </c>
      <c r="C47" s="22" t="str">
        <f>'INPUT DAFTAR PESERTA'!C45</f>
        <v>Nabil Rafif Makarim</v>
      </c>
      <c r="D47" s="48">
        <f>'NILAI HARIAN'!L47</f>
        <v>87.5</v>
      </c>
      <c r="E47" s="25">
        <f>'NILAI HARIAN'!M47</f>
        <v>49.875</v>
      </c>
      <c r="F47" s="25">
        <f>'NILAI HARIAN'!V47</f>
        <v>0</v>
      </c>
      <c r="G47" s="50">
        <f>'NILAI HARIAN'!AE47</f>
        <v>55</v>
      </c>
      <c r="H47" s="25">
        <f>'NILAI HARIAN'!AN47</f>
        <v>60</v>
      </c>
      <c r="I47" s="25">
        <f t="shared" si="1"/>
        <v>54.7375</v>
      </c>
      <c r="J47" s="50" t="str">
        <f t="shared" si="2"/>
        <v>1.5</v>
      </c>
      <c r="K47" s="50" t="str">
        <f t="shared" si="3"/>
        <v>D</v>
      </c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>
      <c r="A48" s="21">
        <f>'INPUT DAFTAR PESERTA'!A46</f>
        <v>43</v>
      </c>
      <c r="B48" s="21">
        <f>'INPUT DAFTAR PESERTA'!B46</f>
        <v>2509046027</v>
      </c>
      <c r="C48" s="22" t="str">
        <f>'INPUT DAFTAR PESERTA'!C46</f>
        <v>Natasya Camelia Az-Zahra</v>
      </c>
      <c r="D48" s="48">
        <f>'NILAI HARIAN'!L48</f>
        <v>100</v>
      </c>
      <c r="E48" s="25">
        <f>'NILAI HARIAN'!M48</f>
        <v>71.1875</v>
      </c>
      <c r="F48" s="25">
        <f>'NILAI HARIAN'!V48</f>
        <v>96</v>
      </c>
      <c r="G48" s="50">
        <f>'NILAI HARIAN'!AE48</f>
        <v>67.5</v>
      </c>
      <c r="H48" s="25">
        <f>'NILAI HARIAN'!AN48</f>
        <v>76.5</v>
      </c>
      <c r="I48" s="25">
        <f t="shared" si="1"/>
        <v>78.46875</v>
      </c>
      <c r="J48" s="50" t="str">
        <f t="shared" si="2"/>
        <v>3.5</v>
      </c>
      <c r="K48" s="50" t="str">
        <f t="shared" si="3"/>
        <v>B</v>
      </c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>
      <c r="A49" s="21">
        <f>'INPUT DAFTAR PESERTA'!A47</f>
        <v>44</v>
      </c>
      <c r="B49" s="21">
        <f>'INPUT DAFTAR PESERTA'!B47</f>
        <v>2509046028</v>
      </c>
      <c r="C49" s="22" t="str">
        <f>'INPUT DAFTAR PESERTA'!C47</f>
        <v>Afirah Al Abidah</v>
      </c>
      <c r="D49" s="48">
        <f>'NILAI HARIAN'!L49</f>
        <v>100</v>
      </c>
      <c r="E49" s="25">
        <f>'NILAI HARIAN'!M49</f>
        <v>28.1875</v>
      </c>
      <c r="F49" s="25">
        <f>'NILAI HARIAN'!V49</f>
        <v>86</v>
      </c>
      <c r="G49" s="50">
        <f>'NILAI HARIAN'!AE49</f>
        <v>30</v>
      </c>
      <c r="H49" s="25">
        <f>'NILAI HARIAN'!AN49</f>
        <v>58.125</v>
      </c>
      <c r="I49" s="25">
        <f t="shared" si="1"/>
        <v>56.48125</v>
      </c>
      <c r="J49" s="50" t="str">
        <f t="shared" si="2"/>
        <v>1.5</v>
      </c>
      <c r="K49" s="50" t="str">
        <f t="shared" si="3"/>
        <v>D</v>
      </c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>
      <c r="A50" s="21">
        <f>'INPUT DAFTAR PESERTA'!A48</f>
        <v>45</v>
      </c>
      <c r="B50" s="21">
        <f>'INPUT DAFTAR PESERTA'!B48</f>
        <v>2509046029</v>
      </c>
      <c r="C50" s="22" t="str">
        <f>'INPUT DAFTAR PESERTA'!C48</f>
        <v>Anisa Syalwa</v>
      </c>
      <c r="D50" s="48">
        <f>'NILAI HARIAN'!L50</f>
        <v>100</v>
      </c>
      <c r="E50" s="25">
        <f>'NILAI HARIAN'!M50</f>
        <v>51.875</v>
      </c>
      <c r="F50" s="25">
        <f>'NILAI HARIAN'!V50</f>
        <v>96</v>
      </c>
      <c r="G50" s="50">
        <f>'NILAI HARIAN'!AE50</f>
        <v>35</v>
      </c>
      <c r="H50" s="25">
        <f>'NILAI HARIAN'!AN50</f>
        <v>62.625</v>
      </c>
      <c r="I50" s="25">
        <f t="shared" si="1"/>
        <v>63.1</v>
      </c>
      <c r="J50" s="50" t="str">
        <f t="shared" si="2"/>
        <v>2.0</v>
      </c>
      <c r="K50" s="50" t="str">
        <f t="shared" si="3"/>
        <v>C</v>
      </c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>
      <c r="A51" s="21">
        <f>'INPUT DAFTAR PESERTA'!A49</f>
        <v>46</v>
      </c>
      <c r="B51" s="21">
        <f>'INPUT DAFTAR PESERTA'!B49</f>
        <v>2509046030</v>
      </c>
      <c r="C51" s="22" t="str">
        <f>'INPUT DAFTAR PESERTA'!C49</f>
        <v>Fikri Firoos Kinarya</v>
      </c>
      <c r="D51" s="48">
        <f>'NILAI HARIAN'!L51</f>
        <v>87.5</v>
      </c>
      <c r="E51" s="25">
        <f>'NILAI HARIAN'!M51</f>
        <v>48.9375</v>
      </c>
      <c r="F51" s="25">
        <f>'NILAI HARIAN'!V51</f>
        <v>86</v>
      </c>
      <c r="G51" s="50">
        <f>'NILAI HARIAN'!AE51</f>
        <v>46.25</v>
      </c>
      <c r="H51" s="25">
        <f>'NILAI HARIAN'!AN51</f>
        <v>56.25</v>
      </c>
      <c r="I51" s="25">
        <f t="shared" si="1"/>
        <v>59.61875</v>
      </c>
      <c r="J51" s="50" t="str">
        <f t="shared" si="2"/>
        <v>1.5</v>
      </c>
      <c r="K51" s="50" t="str">
        <f t="shared" si="3"/>
        <v>D</v>
      </c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>
      <c r="A52" s="21">
        <f>'INPUT DAFTAR PESERTA'!A50</f>
        <v>47</v>
      </c>
      <c r="B52" s="21">
        <f>'INPUT DAFTAR PESERTA'!B50</f>
        <v>2509046031</v>
      </c>
      <c r="C52" s="22" t="str">
        <f>'INPUT DAFTAR PESERTA'!C50</f>
        <v>Armitha Luthfiana Andini</v>
      </c>
      <c r="D52" s="48">
        <f>'NILAI HARIAN'!L52</f>
        <v>87.5</v>
      </c>
      <c r="E52" s="25">
        <f>'NILAI HARIAN'!M52</f>
        <v>44.625</v>
      </c>
      <c r="F52" s="25">
        <f>'NILAI HARIAN'!V52</f>
        <v>94</v>
      </c>
      <c r="G52" s="50">
        <f>'NILAI HARIAN'!AE52</f>
        <v>46.25</v>
      </c>
      <c r="H52" s="25">
        <f>'NILAI HARIAN'!AN52</f>
        <v>68.25</v>
      </c>
      <c r="I52" s="25">
        <f t="shared" si="1"/>
        <v>65.9875</v>
      </c>
      <c r="J52" s="50" t="str">
        <f t="shared" si="2"/>
        <v>2.5</v>
      </c>
      <c r="K52" s="50" t="str">
        <f t="shared" si="3"/>
        <v>C</v>
      </c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>
      <c r="A53" s="21">
        <f>'INPUT DAFTAR PESERTA'!A51</f>
        <v>48</v>
      </c>
      <c r="B53" s="21">
        <f>'INPUT DAFTAR PESERTA'!B51</f>
        <v>2509046032</v>
      </c>
      <c r="C53" s="22" t="str">
        <f>'INPUT DAFTAR PESERTA'!C51</f>
        <v>Fabio Aditya Purnomo</v>
      </c>
      <c r="D53" s="48">
        <f>'NILAI HARIAN'!L53</f>
        <v>100</v>
      </c>
      <c r="E53" s="25">
        <f>'NILAI HARIAN'!M53</f>
        <v>71.375</v>
      </c>
      <c r="F53" s="25">
        <f>'NILAI HARIAN'!V53</f>
        <v>92</v>
      </c>
      <c r="G53" s="50">
        <f>'NILAI HARIAN'!AE53</f>
        <v>58.75</v>
      </c>
      <c r="H53" s="25">
        <f>'NILAI HARIAN'!AN53</f>
        <v>71.25</v>
      </c>
      <c r="I53" s="25">
        <f t="shared" si="1"/>
        <v>73.7125</v>
      </c>
      <c r="J53" s="50" t="str">
        <f t="shared" si="2"/>
        <v>3.0</v>
      </c>
      <c r="K53" s="50" t="str">
        <f t="shared" si="3"/>
        <v>B</v>
      </c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>
      <c r="A54" s="21">
        <f>'INPUT DAFTAR PESERTA'!A52</f>
        <v>49</v>
      </c>
      <c r="B54" s="21">
        <f>'INPUT DAFTAR PESERTA'!B52</f>
        <v>2509046033</v>
      </c>
      <c r="C54" s="22" t="str">
        <f>'INPUT DAFTAR PESERTA'!C52</f>
        <v>Rifa Davina Zalfa</v>
      </c>
      <c r="D54" s="48">
        <f>'NILAI HARIAN'!L54</f>
        <v>100</v>
      </c>
      <c r="E54" s="25">
        <f>'NILAI HARIAN'!M54</f>
        <v>63.5</v>
      </c>
      <c r="F54" s="25">
        <f>'NILAI HARIAN'!V54</f>
        <v>100</v>
      </c>
      <c r="G54" s="50">
        <f>'NILAI HARIAN'!AE54</f>
        <v>67.5</v>
      </c>
      <c r="H54" s="25">
        <f>'NILAI HARIAN'!AN54</f>
        <v>71.625</v>
      </c>
      <c r="I54" s="25">
        <f t="shared" si="1"/>
        <v>75.6625</v>
      </c>
      <c r="J54" s="50" t="str">
        <f t="shared" si="2"/>
        <v>3.5</v>
      </c>
      <c r="K54" s="50" t="str">
        <f t="shared" si="3"/>
        <v>B</v>
      </c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>
      <c r="A55" s="21">
        <f>'INPUT DAFTAR PESERTA'!A53</f>
        <v>50</v>
      </c>
      <c r="B55" s="21">
        <f>'INPUT DAFTAR PESERTA'!B53</f>
        <v>2509046034</v>
      </c>
      <c r="C55" s="22" t="str">
        <f>'INPUT DAFTAR PESERTA'!C53</f>
        <v>Nilna Fergita Nouriansa</v>
      </c>
      <c r="D55" s="48">
        <f>'NILAI HARIAN'!L55</f>
        <v>100</v>
      </c>
      <c r="E55" s="25">
        <f>'NILAI HARIAN'!M55</f>
        <v>61.125</v>
      </c>
      <c r="F55" s="25">
        <f>'NILAI HARIAN'!V55</f>
        <v>0</v>
      </c>
      <c r="G55" s="50">
        <f>'NILAI HARIAN'!AE55</f>
        <v>63.75</v>
      </c>
      <c r="H55" s="25">
        <f>'NILAI HARIAN'!AN55</f>
        <v>64.125</v>
      </c>
      <c r="I55" s="25">
        <f t="shared" si="1"/>
        <v>60.925</v>
      </c>
      <c r="J55" s="50" t="str">
        <f t="shared" si="2"/>
        <v>2.0</v>
      </c>
      <c r="K55" s="50" t="str">
        <f t="shared" si="3"/>
        <v>C</v>
      </c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>
      <c r="A56" s="21">
        <f>'INPUT DAFTAR PESERTA'!A54</f>
        <v>51</v>
      </c>
      <c r="B56" s="21">
        <f>'INPUT DAFTAR PESERTA'!B54</f>
        <v>2509046035</v>
      </c>
      <c r="C56" s="22" t="str">
        <f>'INPUT DAFTAR PESERTA'!C54</f>
        <v>Sandi Prakoso</v>
      </c>
      <c r="D56" s="48">
        <f>'NILAI HARIAN'!L56</f>
        <v>50</v>
      </c>
      <c r="E56" s="25">
        <f>'NILAI HARIAN'!M56</f>
        <v>3.25</v>
      </c>
      <c r="F56" s="25">
        <f>'NILAI HARIAN'!V56</f>
        <v>0</v>
      </c>
      <c r="G56" s="50">
        <f>'NILAI HARIAN'!AE56</f>
        <v>3.75</v>
      </c>
      <c r="H56" s="25">
        <f>'NILAI HARIAN'!AN56</f>
        <v>11.25</v>
      </c>
      <c r="I56" s="25">
        <f t="shared" si="1"/>
        <v>11.7</v>
      </c>
      <c r="J56" s="50" t="str">
        <f t="shared" si="2"/>
        <v>0.0</v>
      </c>
      <c r="K56" s="50" t="str">
        <f t="shared" si="3"/>
        <v>E</v>
      </c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>
      <c r="A57" s="21">
        <f>'INPUT DAFTAR PESERTA'!A55</f>
        <v>52</v>
      </c>
      <c r="B57" s="21">
        <f>'INPUT DAFTAR PESERTA'!B55</f>
        <v>2509046036</v>
      </c>
      <c r="C57" s="22" t="str">
        <f>'INPUT DAFTAR PESERTA'!C55</f>
        <v>Yarasy Ebed Petra Richard Nanuru</v>
      </c>
      <c r="D57" s="48">
        <f>'NILAI HARIAN'!L57</f>
        <v>37.5</v>
      </c>
      <c r="E57" s="25">
        <f>'NILAI HARIAN'!M57</f>
        <v>0</v>
      </c>
      <c r="F57" s="25">
        <f>'NILAI HARIAN'!V57</f>
        <v>86</v>
      </c>
      <c r="G57" s="50">
        <f>'NILAI HARIAN'!AE57</f>
        <v>3.75</v>
      </c>
      <c r="H57" s="25">
        <f>'NILAI HARIAN'!AN57</f>
        <v>3.75</v>
      </c>
      <c r="I57" s="25">
        <f t="shared" si="1"/>
        <v>14.975</v>
      </c>
      <c r="J57" s="50" t="str">
        <f t="shared" si="2"/>
        <v>0.0</v>
      </c>
      <c r="K57" s="50" t="str">
        <f t="shared" si="3"/>
        <v>E</v>
      </c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>
      <c r="A58" s="21">
        <f>'INPUT DAFTAR PESERTA'!A56</f>
        <v>53</v>
      </c>
      <c r="B58" s="21">
        <f>'INPUT DAFTAR PESERTA'!B56</f>
        <v>2509046037</v>
      </c>
      <c r="C58" s="22" t="str">
        <f>'INPUT DAFTAR PESERTA'!C56</f>
        <v>Rasya Hanindya Putri</v>
      </c>
      <c r="D58" s="48">
        <f>'NILAI HARIAN'!L58</f>
        <v>50</v>
      </c>
      <c r="E58" s="25">
        <f>'NILAI HARIAN'!M58</f>
        <v>1.0625</v>
      </c>
      <c r="F58" s="25">
        <f>'NILAI HARIAN'!V58</f>
        <v>46</v>
      </c>
      <c r="G58" s="50">
        <f>'NILAI HARIAN'!AE58</f>
        <v>3.75</v>
      </c>
      <c r="H58" s="25">
        <f>'NILAI HARIAN'!AN58</f>
        <v>13.125</v>
      </c>
      <c r="I58" s="25">
        <f t="shared" si="1"/>
        <v>17.01875</v>
      </c>
      <c r="J58" s="50" t="str">
        <f t="shared" si="2"/>
        <v>0.0</v>
      </c>
      <c r="K58" s="50" t="str">
        <f t="shared" si="3"/>
        <v>E</v>
      </c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>
      <c r="A59" s="21">
        <f>'INPUT DAFTAR PESERTA'!A57</f>
        <v>54</v>
      </c>
      <c r="B59" s="21">
        <f>'INPUT DAFTAR PESERTA'!B57</f>
        <v>2509046038</v>
      </c>
      <c r="C59" s="22" t="str">
        <f>'INPUT DAFTAR PESERTA'!C57</f>
        <v>Stefania Diah Pramestirehi</v>
      </c>
      <c r="D59" s="48">
        <f>'NILAI HARIAN'!L59</f>
        <v>100</v>
      </c>
      <c r="E59" s="25">
        <f>'NILAI HARIAN'!M59</f>
        <v>64.625</v>
      </c>
      <c r="F59" s="25">
        <f>'NILAI HARIAN'!V59</f>
        <v>64</v>
      </c>
      <c r="G59" s="50">
        <f>'NILAI HARIAN'!AE59</f>
        <v>67.5</v>
      </c>
      <c r="H59" s="25">
        <f>'NILAI HARIAN'!AN59</f>
        <v>70.125</v>
      </c>
      <c r="I59" s="25">
        <f t="shared" si="1"/>
        <v>71.425</v>
      </c>
      <c r="J59" s="50" t="str">
        <f t="shared" si="2"/>
        <v>3.0</v>
      </c>
      <c r="K59" s="50" t="str">
        <f t="shared" si="3"/>
        <v>B</v>
      </c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>
      <c r="A60" s="21">
        <f>'INPUT DAFTAR PESERTA'!A58</f>
        <v>55</v>
      </c>
      <c r="B60" s="21">
        <f>'INPUT DAFTAR PESERTA'!B58</f>
        <v>2509046039</v>
      </c>
      <c r="C60" s="22" t="str">
        <f>'INPUT DAFTAR PESERTA'!C58</f>
        <v>Azarina Azzahra</v>
      </c>
      <c r="D60" s="48">
        <f>'NILAI HARIAN'!L60</f>
        <v>100</v>
      </c>
      <c r="E60" s="25">
        <f>'NILAI HARIAN'!M60</f>
        <v>87.6875</v>
      </c>
      <c r="F60" s="25">
        <f>'NILAI HARIAN'!V60</f>
        <v>100</v>
      </c>
      <c r="G60" s="50">
        <f>'NILAI HARIAN'!AE60</f>
        <v>76.25</v>
      </c>
      <c r="H60" s="25">
        <f>'NILAI HARIAN'!AN60</f>
        <v>82.875</v>
      </c>
      <c r="I60" s="25">
        <f t="shared" si="1"/>
        <v>85.45625</v>
      </c>
      <c r="J60" s="50" t="str">
        <f t="shared" si="2"/>
        <v>4.0</v>
      </c>
      <c r="K60" s="50" t="str">
        <f t="shared" si="3"/>
        <v>A</v>
      </c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>
      <c r="A61" s="21">
        <f>'INPUT DAFTAR PESERTA'!A59</f>
        <v>56</v>
      </c>
      <c r="B61" s="21">
        <f>'INPUT DAFTAR PESERTA'!B59</f>
        <v>2509046040</v>
      </c>
      <c r="C61" s="22" t="str">
        <f>'INPUT DAFTAR PESERTA'!C59</f>
        <v>Muhammad Bintang Anugrah</v>
      </c>
      <c r="D61" s="48">
        <f>'NILAI HARIAN'!L61</f>
        <v>100</v>
      </c>
      <c r="E61" s="25">
        <f>'NILAI HARIAN'!M61</f>
        <v>77.8125</v>
      </c>
      <c r="F61" s="25">
        <f>'NILAI HARIAN'!V61</f>
        <v>94</v>
      </c>
      <c r="G61" s="50">
        <f>'NILAI HARIAN'!AE61</f>
        <v>66.25</v>
      </c>
      <c r="H61" s="25">
        <f>'NILAI HARIAN'!AN61</f>
        <v>79.125</v>
      </c>
      <c r="I61" s="25">
        <f t="shared" si="1"/>
        <v>79.99375</v>
      </c>
      <c r="J61" s="50" t="b">
        <f t="shared" si="2"/>
        <v>0</v>
      </c>
      <c r="K61" s="50" t="str">
        <f t="shared" si="3"/>
        <v>B</v>
      </c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>
      <c r="A62" s="21">
        <f>'INPUT DAFTAR PESERTA'!A60</f>
        <v>57</v>
      </c>
      <c r="B62" s="21">
        <f>'INPUT DAFTAR PESERTA'!B60</f>
        <v>2509046041</v>
      </c>
      <c r="C62" s="22" t="str">
        <f>'INPUT DAFTAR PESERTA'!C60</f>
        <v>Marcel Rizky Indrawan</v>
      </c>
      <c r="D62" s="48">
        <f>'NILAI HARIAN'!L62</f>
        <v>100</v>
      </c>
      <c r="E62" s="25">
        <f>'NILAI HARIAN'!M62</f>
        <v>51.125</v>
      </c>
      <c r="F62" s="25">
        <f>'NILAI HARIAN'!V62</f>
        <v>100</v>
      </c>
      <c r="G62" s="50">
        <f>'NILAI HARIAN'!AE62</f>
        <v>65</v>
      </c>
      <c r="H62" s="25">
        <f>'NILAI HARIAN'!AN62</f>
        <v>60.375</v>
      </c>
      <c r="I62" s="25">
        <f t="shared" si="1"/>
        <v>68.3</v>
      </c>
      <c r="J62" s="50" t="str">
        <f t="shared" si="2"/>
        <v>2.5</v>
      </c>
      <c r="K62" s="50" t="str">
        <f t="shared" si="3"/>
        <v>C</v>
      </c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>
      <c r="A63" s="21">
        <f>'INPUT DAFTAR PESERTA'!A61</f>
        <v>58</v>
      </c>
      <c r="B63" s="21">
        <f>'INPUT DAFTAR PESERTA'!B61</f>
        <v>2509046042</v>
      </c>
      <c r="C63" s="22" t="str">
        <f>'INPUT DAFTAR PESERTA'!C61</f>
        <v>Mega Dwi Eriyanti</v>
      </c>
      <c r="D63" s="48">
        <f>'NILAI HARIAN'!L63</f>
        <v>100</v>
      </c>
      <c r="E63" s="25">
        <f>'NILAI HARIAN'!M63</f>
        <v>82.375</v>
      </c>
      <c r="F63" s="25">
        <f>'NILAI HARIAN'!V63</f>
        <v>94</v>
      </c>
      <c r="G63" s="50">
        <f>'NILAI HARIAN'!AE63</f>
        <v>76.25</v>
      </c>
      <c r="H63" s="25">
        <f>'NILAI HARIAN'!AN63</f>
        <v>79.875</v>
      </c>
      <c r="I63" s="25">
        <f t="shared" si="1"/>
        <v>82.825</v>
      </c>
      <c r="J63" s="50" t="str">
        <f t="shared" si="2"/>
        <v>4.0</v>
      </c>
      <c r="K63" s="50" t="str">
        <f t="shared" si="3"/>
        <v>A</v>
      </c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>
      <c r="A64" s="21">
        <f>'INPUT DAFTAR PESERTA'!A62</f>
        <v>59</v>
      </c>
      <c r="B64" s="21">
        <f>'INPUT DAFTAR PESERTA'!B62</f>
        <v>2509046043</v>
      </c>
      <c r="C64" s="22" t="str">
        <f>'INPUT DAFTAR PESERTA'!C62</f>
        <v>Jessen Jeremi Sinaga</v>
      </c>
      <c r="D64" s="48">
        <f>'NILAI HARIAN'!L64</f>
        <v>50</v>
      </c>
      <c r="E64" s="25">
        <f>'NILAI HARIAN'!M64</f>
        <v>0</v>
      </c>
      <c r="F64" s="25">
        <f>'NILAI HARIAN'!V64</f>
        <v>86</v>
      </c>
      <c r="G64" s="50">
        <f>'NILAI HARIAN'!AE64</f>
        <v>3.75</v>
      </c>
      <c r="H64" s="25">
        <f>'NILAI HARIAN'!AN64</f>
        <v>3.75</v>
      </c>
      <c r="I64" s="25">
        <f t="shared" si="1"/>
        <v>16.225</v>
      </c>
      <c r="J64" s="50" t="str">
        <f t="shared" si="2"/>
        <v>0.0</v>
      </c>
      <c r="K64" s="50" t="str">
        <f t="shared" si="3"/>
        <v>E</v>
      </c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>
      <c r="A65" s="21">
        <f>'INPUT DAFTAR PESERTA'!A63</f>
        <v>60</v>
      </c>
      <c r="B65" s="21">
        <f>'INPUT DAFTAR PESERTA'!B63</f>
        <v>2509046044</v>
      </c>
      <c r="C65" s="22" t="str">
        <f>'INPUT DAFTAR PESERTA'!C63</f>
        <v>Mohammad Bagus Leo Widiantara</v>
      </c>
      <c r="D65" s="48">
        <f>'NILAI HARIAN'!L65</f>
        <v>50</v>
      </c>
      <c r="E65" s="25">
        <f>'NILAI HARIAN'!M65</f>
        <v>0</v>
      </c>
      <c r="F65" s="25">
        <f>'NILAI HARIAN'!V65</f>
        <v>0</v>
      </c>
      <c r="G65" s="50">
        <f>'NILAI HARIAN'!AE65</f>
        <v>3.75</v>
      </c>
      <c r="H65" s="25">
        <f>'NILAI HARIAN'!AN65</f>
        <v>3.75</v>
      </c>
      <c r="I65" s="25">
        <f t="shared" si="1"/>
        <v>7.625</v>
      </c>
      <c r="J65" s="50" t="str">
        <f t="shared" si="2"/>
        <v>0.0</v>
      </c>
      <c r="K65" s="50" t="str">
        <f t="shared" si="3"/>
        <v>E</v>
      </c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>
      <c r="A66" s="21">
        <f>'INPUT DAFTAR PESERTA'!A64</f>
        <v>61</v>
      </c>
      <c r="B66" s="21">
        <f>'INPUT DAFTAR PESERTA'!B64</f>
        <v>2509046045</v>
      </c>
      <c r="C66" s="22" t="str">
        <f>'INPUT DAFTAR PESERTA'!C64</f>
        <v>Najwa Aliffah Falah</v>
      </c>
      <c r="D66" s="48">
        <f>'NILAI HARIAN'!L66</f>
        <v>50</v>
      </c>
      <c r="E66" s="25">
        <f>'NILAI HARIAN'!M66</f>
        <v>0</v>
      </c>
      <c r="F66" s="25">
        <f>'NILAI HARIAN'!V66</f>
        <v>84</v>
      </c>
      <c r="G66" s="50">
        <f>'NILAI HARIAN'!AE66</f>
        <v>3.75</v>
      </c>
      <c r="H66" s="25">
        <f>'NILAI HARIAN'!AN66</f>
        <v>3.75</v>
      </c>
      <c r="I66" s="25">
        <f t="shared" si="1"/>
        <v>16.025</v>
      </c>
      <c r="J66" s="50" t="str">
        <f t="shared" si="2"/>
        <v>0.0</v>
      </c>
      <c r="K66" s="50" t="str">
        <f t="shared" si="3"/>
        <v>E</v>
      </c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>
      <c r="A67" s="21">
        <f>'INPUT DAFTAR PESERTA'!A65</f>
        <v>62</v>
      </c>
      <c r="B67" s="21">
        <f>'INPUT DAFTAR PESERTA'!B65</f>
        <v>2509046046</v>
      </c>
      <c r="C67" s="22" t="str">
        <f>'INPUT DAFTAR PESERTA'!C65</f>
        <v>Jezlhine Suretno</v>
      </c>
      <c r="D67" s="48">
        <f>'NILAI HARIAN'!L67</f>
        <v>81.25</v>
      </c>
      <c r="E67" s="25">
        <f>'NILAI HARIAN'!M67</f>
        <v>37.5</v>
      </c>
      <c r="F67" s="25">
        <f>'NILAI HARIAN'!V67</f>
        <v>90.625</v>
      </c>
      <c r="G67" s="50">
        <f>'NILAI HARIAN'!AE67</f>
        <v>48.75</v>
      </c>
      <c r="H67" s="25">
        <f>'NILAI HARIAN'!AN67</f>
        <v>54.375</v>
      </c>
      <c r="I67" s="25">
        <f t="shared" si="1"/>
        <v>57.875</v>
      </c>
      <c r="J67" s="50" t="str">
        <f t="shared" si="2"/>
        <v>1.5</v>
      </c>
      <c r="K67" s="50" t="str">
        <f t="shared" si="3"/>
        <v>D</v>
      </c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>
      <c r="A68" s="21">
        <f>'INPUT DAFTAR PESERTA'!A66</f>
        <v>63</v>
      </c>
      <c r="B68" s="21">
        <f>'INPUT DAFTAR PESERTA'!B66</f>
        <v>2509046047</v>
      </c>
      <c r="C68" s="22" t="str">
        <f>'INPUT DAFTAR PESERTA'!C66</f>
        <v>Gideon Giorgy Aipassa</v>
      </c>
      <c r="D68" s="48">
        <f>'NILAI HARIAN'!L68</f>
        <v>100</v>
      </c>
      <c r="E68" s="25">
        <f>'NILAI HARIAN'!M68</f>
        <v>36.75</v>
      </c>
      <c r="F68" s="25">
        <f>'NILAI HARIAN'!V68</f>
        <v>0</v>
      </c>
      <c r="G68" s="50">
        <f>'NILAI HARIAN'!AE68</f>
        <v>42.5</v>
      </c>
      <c r="H68" s="25">
        <f>'NILAI HARIAN'!AN68</f>
        <v>52.5</v>
      </c>
      <c r="I68" s="25">
        <f t="shared" si="1"/>
        <v>48.425</v>
      </c>
      <c r="J68" s="50" t="str">
        <f t="shared" si="2"/>
        <v>1.0</v>
      </c>
      <c r="K68" s="50" t="str">
        <f t="shared" si="3"/>
        <v>D</v>
      </c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>
      <c r="A69" s="21">
        <f>'INPUT DAFTAR PESERTA'!A67</f>
        <v>64</v>
      </c>
      <c r="B69" s="21">
        <f>'INPUT DAFTAR PESERTA'!B67</f>
        <v>2509046048</v>
      </c>
      <c r="C69" s="22" t="str">
        <f>'INPUT DAFTAR PESERTA'!C67</f>
        <v>Talitha Kayana Nugroho</v>
      </c>
      <c r="D69" s="48">
        <f>'NILAI HARIAN'!L69</f>
        <v>87.5</v>
      </c>
      <c r="E69" s="25">
        <f>'NILAI HARIAN'!M69</f>
        <v>45.84375</v>
      </c>
      <c r="F69" s="25">
        <f>'NILAI HARIAN'!V69</f>
        <v>84</v>
      </c>
      <c r="G69" s="50">
        <f>'NILAI HARIAN'!AE69</f>
        <v>46.25</v>
      </c>
      <c r="H69" s="25">
        <f>'NILAI HARIAN'!AN69</f>
        <v>58.875</v>
      </c>
      <c r="I69" s="25">
        <f t="shared" si="1"/>
        <v>60.421875</v>
      </c>
      <c r="J69" s="50" t="str">
        <f t="shared" si="2"/>
        <v>2.0</v>
      </c>
      <c r="K69" s="50" t="str">
        <f t="shared" si="3"/>
        <v>C</v>
      </c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>
      <c r="A70" s="21">
        <f>'INPUT DAFTAR PESERTA'!A68</f>
        <v>65</v>
      </c>
      <c r="B70" s="21">
        <f>'INPUT DAFTAR PESERTA'!B68</f>
        <v>2509046049</v>
      </c>
      <c r="C70" s="22" t="str">
        <f>'INPUT DAFTAR PESERTA'!C68</f>
        <v>Josef Alexandro Wijaya Kusuma</v>
      </c>
      <c r="D70" s="48">
        <f>'NILAI HARIAN'!L70</f>
        <v>50</v>
      </c>
      <c r="E70" s="25">
        <f>'NILAI HARIAN'!M70</f>
        <v>0</v>
      </c>
      <c r="F70" s="25">
        <f>'NILAI HARIAN'!V70</f>
        <v>0</v>
      </c>
      <c r="G70" s="50">
        <f>'NILAI HARIAN'!AE70</f>
        <v>3.75</v>
      </c>
      <c r="H70" s="25">
        <f>'NILAI HARIAN'!AN70</f>
        <v>3.75</v>
      </c>
      <c r="I70" s="25">
        <f t="shared" si="1"/>
        <v>7.625</v>
      </c>
      <c r="J70" s="50" t="str">
        <f t="shared" si="2"/>
        <v>0.0</v>
      </c>
      <c r="K70" s="50" t="str">
        <f t="shared" si="3"/>
        <v>E</v>
      </c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>
      <c r="A71" s="21">
        <f>'INPUT DAFTAR PESERTA'!A69</f>
        <v>66</v>
      </c>
      <c r="B71" s="21">
        <f>'INPUT DAFTAR PESERTA'!B69</f>
        <v>2509046050</v>
      </c>
      <c r="C71" s="22" t="str">
        <f>'INPUT DAFTAR PESERTA'!C69</f>
        <v>Surya Buana Putra Kamil</v>
      </c>
      <c r="D71" s="48">
        <f>'NILAI HARIAN'!L71</f>
        <v>50</v>
      </c>
      <c r="E71" s="25">
        <f>'NILAI HARIAN'!M71</f>
        <v>14.53125</v>
      </c>
      <c r="F71" s="25">
        <f>'NILAI HARIAN'!V71</f>
        <v>0</v>
      </c>
      <c r="G71" s="50">
        <f>'NILAI HARIAN'!AE71</f>
        <v>7.5</v>
      </c>
      <c r="H71" s="25">
        <f>'NILAI HARIAN'!AN71</f>
        <v>7.125</v>
      </c>
      <c r="I71" s="25">
        <f t="shared" si="1"/>
        <v>11.515625</v>
      </c>
      <c r="J71" s="50" t="str">
        <f t="shared" si="2"/>
        <v>0.0</v>
      </c>
      <c r="K71" s="50" t="str">
        <f t="shared" si="3"/>
        <v>E</v>
      </c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>
      <c r="A72" s="21">
        <f>'INPUT DAFTAR PESERTA'!A70</f>
        <v>67</v>
      </c>
      <c r="B72" s="21">
        <f>'INPUT DAFTAR PESERTA'!B70</f>
        <v>2509046051</v>
      </c>
      <c r="C72" s="22" t="str">
        <f>'INPUT DAFTAR PESERTA'!C70</f>
        <v>Arifatus Saidah</v>
      </c>
      <c r="D72" s="48">
        <f>'NILAI HARIAN'!L72</f>
        <v>87.5</v>
      </c>
      <c r="E72" s="25">
        <f>'NILAI HARIAN'!M72</f>
        <v>35.4375</v>
      </c>
      <c r="F72" s="25">
        <f>'NILAI HARIAN'!V72</f>
        <v>86</v>
      </c>
      <c r="G72" s="50">
        <f>'NILAI HARIAN'!AE72</f>
        <v>15</v>
      </c>
      <c r="H72" s="25">
        <f>'NILAI HARIAN'!AN72</f>
        <v>46.5</v>
      </c>
      <c r="I72" s="25">
        <f t="shared" si="1"/>
        <v>47.14375</v>
      </c>
      <c r="J72" s="50" t="str">
        <f t="shared" si="2"/>
        <v>1.0</v>
      </c>
      <c r="K72" s="50" t="str">
        <f t="shared" si="3"/>
        <v>D</v>
      </c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>
      <c r="A73" s="21">
        <f>'INPUT DAFTAR PESERTA'!A71</f>
        <v>68</v>
      </c>
      <c r="B73" s="21">
        <f>'INPUT DAFTAR PESERTA'!B71</f>
        <v>2509046052</v>
      </c>
      <c r="C73" s="22" t="str">
        <f>'INPUT DAFTAR PESERTA'!C71</f>
        <v>Syarifah Sarah Ashilah</v>
      </c>
      <c r="D73" s="48">
        <f>'NILAI HARIAN'!L73</f>
        <v>100</v>
      </c>
      <c r="E73" s="25">
        <f>'NILAI HARIAN'!M73</f>
        <v>66.40625</v>
      </c>
      <c r="F73" s="25">
        <f>'NILAI HARIAN'!V73</f>
        <v>92</v>
      </c>
      <c r="G73" s="50">
        <f>'NILAI HARIAN'!AE73</f>
        <v>66.25</v>
      </c>
      <c r="H73" s="25">
        <f>'NILAI HARIAN'!AN73</f>
        <v>61.875</v>
      </c>
      <c r="I73" s="25">
        <f t="shared" si="1"/>
        <v>70.028125</v>
      </c>
      <c r="J73" s="50" t="str">
        <f t="shared" si="2"/>
        <v>3.0</v>
      </c>
      <c r="K73" s="50" t="str">
        <f t="shared" si="3"/>
        <v>B</v>
      </c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>
      <c r="A74" s="21">
        <f>'INPUT DAFTAR PESERTA'!A72</f>
        <v>69</v>
      </c>
      <c r="B74" s="21">
        <f>'INPUT DAFTAR PESERTA'!B72</f>
        <v>2509046053</v>
      </c>
      <c r="C74" s="22" t="str">
        <f>'INPUT DAFTAR PESERTA'!C72</f>
        <v>Muhammad Aufa Syarif Prabowo</v>
      </c>
      <c r="D74" s="48">
        <f>'NILAI HARIAN'!L74</f>
        <v>75</v>
      </c>
      <c r="E74" s="25">
        <f>'NILAI HARIAN'!M74</f>
        <v>6.25</v>
      </c>
      <c r="F74" s="25">
        <f>'NILAI HARIAN'!V74</f>
        <v>100</v>
      </c>
      <c r="G74" s="50">
        <f>'NILAI HARIAN'!AE74</f>
        <v>0</v>
      </c>
      <c r="H74" s="25">
        <f>'NILAI HARIAN'!AN74</f>
        <v>30.375</v>
      </c>
      <c r="I74" s="25">
        <f t="shared" si="1"/>
        <v>33.3125</v>
      </c>
      <c r="J74" s="50" t="str">
        <f t="shared" si="2"/>
        <v>0.0</v>
      </c>
      <c r="K74" s="50" t="str">
        <f t="shared" si="3"/>
        <v>E</v>
      </c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>
      <c r="A75" s="21">
        <f>'INPUT DAFTAR PESERTA'!A73</f>
        <v>70</v>
      </c>
      <c r="B75" s="21">
        <f>'INPUT DAFTAR PESERTA'!B73</f>
        <v>2509046054</v>
      </c>
      <c r="C75" s="22" t="str">
        <f>'INPUT DAFTAR PESERTA'!C73</f>
        <v>Kezia Aulia Putri</v>
      </c>
      <c r="D75" s="48">
        <f>'NILAI HARIAN'!L75</f>
        <v>75</v>
      </c>
      <c r="E75" s="25">
        <f>'NILAI HARIAN'!M75</f>
        <v>7.375</v>
      </c>
      <c r="F75" s="25">
        <f>'NILAI HARIAN'!V75</f>
        <v>94</v>
      </c>
      <c r="G75" s="50">
        <f>'NILAI HARIAN'!AE75</f>
        <v>0</v>
      </c>
      <c r="H75" s="25">
        <f>'NILAI HARIAN'!AN75</f>
        <v>26.25</v>
      </c>
      <c r="I75" s="25">
        <f t="shared" si="1"/>
        <v>30.7625</v>
      </c>
      <c r="J75" s="50" t="str">
        <f t="shared" si="2"/>
        <v>0.0</v>
      </c>
      <c r="K75" s="50" t="str">
        <f t="shared" si="3"/>
        <v>E</v>
      </c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>
      <c r="A76" s="21">
        <f>'INPUT DAFTAR PESERTA'!A74</f>
        <v>71</v>
      </c>
      <c r="B76" s="21">
        <f>'INPUT DAFTAR PESERTA'!B74</f>
        <v>2509046055</v>
      </c>
      <c r="C76" s="22" t="str">
        <f>'INPUT DAFTAR PESERTA'!C74</f>
        <v>Nailah Aisya Ainurrahman</v>
      </c>
      <c r="D76" s="48">
        <f>'NILAI HARIAN'!L76</f>
        <v>100</v>
      </c>
      <c r="E76" s="25">
        <f>'NILAI HARIAN'!M76</f>
        <v>50.625</v>
      </c>
      <c r="F76" s="25">
        <f>'NILAI HARIAN'!V76</f>
        <v>98</v>
      </c>
      <c r="G76" s="50">
        <f>'NILAI HARIAN'!AE76</f>
        <v>57.5</v>
      </c>
      <c r="H76" s="25">
        <f>'NILAI HARIAN'!AN76</f>
        <v>61.5</v>
      </c>
      <c r="I76" s="25">
        <f t="shared" si="1"/>
        <v>67.1125</v>
      </c>
      <c r="J76" s="50" t="str">
        <f t="shared" si="2"/>
        <v>2.5</v>
      </c>
      <c r="K76" s="50" t="str">
        <f t="shared" si="3"/>
        <v>C</v>
      </c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>
      <c r="A77" s="21">
        <f>'INPUT DAFTAR PESERTA'!A75</f>
        <v>72</v>
      </c>
      <c r="B77" s="21">
        <f>'INPUT DAFTAR PESERTA'!B75</f>
        <v>2509046056</v>
      </c>
      <c r="C77" s="22" t="str">
        <f>'INPUT DAFTAR PESERTA'!C75</f>
        <v>Nadine Olivia</v>
      </c>
      <c r="D77" s="48">
        <f>'NILAI HARIAN'!L77</f>
        <v>97.5</v>
      </c>
      <c r="E77" s="25">
        <f>'NILAI HARIAN'!M77</f>
        <v>47.9375</v>
      </c>
      <c r="F77" s="25">
        <f>'NILAI HARIAN'!V77</f>
        <v>100</v>
      </c>
      <c r="G77" s="50">
        <f>'NILAI HARIAN'!AE77</f>
        <v>53.75</v>
      </c>
      <c r="H77" s="25">
        <f>'NILAI HARIAN'!AN77</f>
        <v>66.375</v>
      </c>
      <c r="I77" s="25">
        <f t="shared" si="1"/>
        <v>68.48125</v>
      </c>
      <c r="J77" s="50" t="str">
        <f t="shared" si="2"/>
        <v>2.5</v>
      </c>
      <c r="K77" s="50" t="str">
        <f t="shared" si="3"/>
        <v>C</v>
      </c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>
      <c r="A78" s="21">
        <f>'INPUT DAFTAR PESERTA'!A76</f>
        <v>73</v>
      </c>
      <c r="B78" s="21">
        <f>'INPUT DAFTAR PESERTA'!B76</f>
        <v>2509046057</v>
      </c>
      <c r="C78" s="22" t="str">
        <f>'INPUT DAFTAR PESERTA'!C76</f>
        <v>Fadhaail Ali Syaban</v>
      </c>
      <c r="D78" s="48">
        <f>'NILAI HARIAN'!L78</f>
        <v>50</v>
      </c>
      <c r="E78" s="25">
        <f>'NILAI HARIAN'!M78</f>
        <v>0</v>
      </c>
      <c r="F78" s="25">
        <f>'NILAI HARIAN'!V78</f>
        <v>88</v>
      </c>
      <c r="G78" s="50">
        <f>'NILAI HARIAN'!AE78</f>
        <v>0</v>
      </c>
      <c r="H78" s="25">
        <f>'NILAI HARIAN'!AN78</f>
        <v>10.875</v>
      </c>
      <c r="I78" s="25">
        <f t="shared" si="1"/>
        <v>19.2375</v>
      </c>
      <c r="J78" s="50" t="str">
        <f t="shared" si="2"/>
        <v>0.0</v>
      </c>
      <c r="K78" s="50" t="str">
        <f t="shared" si="3"/>
        <v>E</v>
      </c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>
      <c r="A79" s="21">
        <f>'INPUT DAFTAR PESERTA'!A77</f>
        <v>74</v>
      </c>
      <c r="B79" s="21">
        <f>'INPUT DAFTAR PESERTA'!B77</f>
        <v>2509046058</v>
      </c>
      <c r="C79" s="22" t="str">
        <f>'INPUT DAFTAR PESERTA'!C77</f>
        <v>Tri Partogi Utama Manalu</v>
      </c>
      <c r="D79" s="48">
        <f>'NILAI HARIAN'!L79</f>
        <v>100</v>
      </c>
      <c r="E79" s="25">
        <f>'NILAI HARIAN'!M79</f>
        <v>35.78125</v>
      </c>
      <c r="F79" s="25">
        <f>'NILAI HARIAN'!V79</f>
        <v>100</v>
      </c>
      <c r="G79" s="50">
        <f>'NILAI HARIAN'!AE79</f>
        <v>22.5</v>
      </c>
      <c r="H79" s="25">
        <f>'NILAI HARIAN'!AN79</f>
        <v>56.25</v>
      </c>
      <c r="I79" s="25">
        <f t="shared" si="1"/>
        <v>56.203125</v>
      </c>
      <c r="J79" s="50" t="str">
        <f t="shared" si="2"/>
        <v>1.5</v>
      </c>
      <c r="K79" s="50" t="str">
        <f t="shared" si="3"/>
        <v>D</v>
      </c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>
      <c r="A80" s="21">
        <f>'INPUT DAFTAR PESERTA'!A78</f>
        <v>75</v>
      </c>
      <c r="B80" s="21">
        <f>'INPUT DAFTAR PESERTA'!B78</f>
        <v>2509046059</v>
      </c>
      <c r="C80" s="22" t="str">
        <f>'INPUT DAFTAR PESERTA'!C78</f>
        <v>Fa'iz Pasha Novian</v>
      </c>
      <c r="D80" s="48">
        <f>'NILAI HARIAN'!L80</f>
        <v>37.5</v>
      </c>
      <c r="E80" s="25">
        <f>'NILAI HARIAN'!M80</f>
        <v>0</v>
      </c>
      <c r="F80" s="25">
        <f>'NILAI HARIAN'!V80</f>
        <v>94</v>
      </c>
      <c r="G80" s="50">
        <f>'NILAI HARIAN'!AE80</f>
        <v>0</v>
      </c>
      <c r="H80" s="25">
        <f>'NILAI HARIAN'!AN80</f>
        <v>3.75</v>
      </c>
      <c r="I80" s="25">
        <f t="shared" si="1"/>
        <v>15.025</v>
      </c>
      <c r="J80" s="50" t="str">
        <f t="shared" si="2"/>
        <v>0.0</v>
      </c>
      <c r="K80" s="50" t="str">
        <f t="shared" si="3"/>
        <v>E</v>
      </c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>
      <c r="A81" s="21">
        <f>'INPUT DAFTAR PESERTA'!A79</f>
        <v>76</v>
      </c>
      <c r="B81" s="21">
        <f>'INPUT DAFTAR PESERTA'!B79</f>
        <v>2509046060</v>
      </c>
      <c r="C81" s="22" t="str">
        <f>'INPUT DAFTAR PESERTA'!C79</f>
        <v>Shasya Tri Fauziah</v>
      </c>
      <c r="D81" s="48">
        <f>'NILAI HARIAN'!L81</f>
        <v>100</v>
      </c>
      <c r="E81" s="25">
        <f>'NILAI HARIAN'!M81</f>
        <v>66.6</v>
      </c>
      <c r="F81" s="25">
        <f>'NILAI HARIAN'!V81</f>
        <v>100</v>
      </c>
      <c r="G81" s="50">
        <f>'NILAI HARIAN'!AE81</f>
        <v>63.75</v>
      </c>
      <c r="H81" s="25">
        <f>'NILAI HARIAN'!AN81</f>
        <v>57.1875</v>
      </c>
      <c r="I81" s="25">
        <f t="shared" si="1"/>
        <v>68.00375</v>
      </c>
      <c r="J81" s="50" t="str">
        <f t="shared" si="2"/>
        <v>2.5</v>
      </c>
      <c r="K81" s="50" t="str">
        <f t="shared" si="3"/>
        <v>C</v>
      </c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>
      <c r="A82" s="21">
        <f>'INPUT DAFTAR PESERTA'!A80</f>
        <v>77</v>
      </c>
      <c r="B82" s="21">
        <f>'INPUT DAFTAR PESERTA'!B80</f>
        <v>2509046061</v>
      </c>
      <c r="C82" s="22" t="str">
        <f>'INPUT DAFTAR PESERTA'!C80</f>
        <v>Alyah Nur Jannah</v>
      </c>
      <c r="D82" s="48">
        <f>'NILAI HARIAN'!L82</f>
        <v>50</v>
      </c>
      <c r="E82" s="25">
        <f>'NILAI HARIAN'!M82</f>
        <v>21.375</v>
      </c>
      <c r="F82" s="25">
        <f>'NILAI HARIAN'!V82</f>
        <v>66</v>
      </c>
      <c r="G82" s="50">
        <f>'NILAI HARIAN'!AE82</f>
        <v>30</v>
      </c>
      <c r="H82" s="25">
        <f>'NILAI HARIAN'!AN82</f>
        <v>41.25</v>
      </c>
      <c r="I82" s="25">
        <f t="shared" si="1"/>
        <v>40.3625</v>
      </c>
      <c r="J82" s="50" t="str">
        <f t="shared" si="2"/>
        <v>1.0</v>
      </c>
      <c r="K82" s="50" t="str">
        <f t="shared" si="3"/>
        <v>D</v>
      </c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>
      <c r="A83" s="21">
        <f>'INPUT DAFTAR PESERTA'!A81</f>
        <v>78</v>
      </c>
      <c r="B83" s="21">
        <f>'INPUT DAFTAR PESERTA'!B81</f>
        <v>2509046062</v>
      </c>
      <c r="C83" s="22" t="str">
        <f>'INPUT DAFTAR PESERTA'!C81</f>
        <v>Rendi Sidebang</v>
      </c>
      <c r="D83" s="48">
        <f>'NILAI HARIAN'!L83</f>
        <v>100</v>
      </c>
      <c r="E83" s="25">
        <f>'NILAI HARIAN'!M83</f>
        <v>47.03125</v>
      </c>
      <c r="F83" s="25">
        <f>'NILAI HARIAN'!V83</f>
        <v>88</v>
      </c>
      <c r="G83" s="50">
        <f>'NILAI HARIAN'!AE83</f>
        <v>40</v>
      </c>
      <c r="H83" s="25">
        <f>'NILAI HARIAN'!AN83</f>
        <v>54.75</v>
      </c>
      <c r="I83" s="25">
        <f t="shared" si="1"/>
        <v>58.878125</v>
      </c>
      <c r="J83" s="50" t="str">
        <f t="shared" si="2"/>
        <v>1.5</v>
      </c>
      <c r="K83" s="50" t="str">
        <f t="shared" si="3"/>
        <v>D</v>
      </c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>
      <c r="A84" s="21">
        <f>'INPUT DAFTAR PESERTA'!A82</f>
        <v>79</v>
      </c>
      <c r="B84" s="21">
        <f>'INPUT DAFTAR PESERTA'!B82</f>
        <v>2509046063</v>
      </c>
      <c r="C84" s="22" t="str">
        <f>'INPUT DAFTAR PESERTA'!C82</f>
        <v>Panca Vito Anandio</v>
      </c>
      <c r="D84" s="48">
        <f>'NILAI HARIAN'!L84</f>
        <v>75</v>
      </c>
      <c r="E84" s="25">
        <f>'NILAI HARIAN'!M84</f>
        <v>5.0625</v>
      </c>
      <c r="F84" s="25">
        <f>'NILAI HARIAN'!V84</f>
        <v>100</v>
      </c>
      <c r="G84" s="50">
        <f>'NILAI HARIAN'!AE84</f>
        <v>11.25</v>
      </c>
      <c r="H84" s="25">
        <f>'NILAI HARIAN'!AN84</f>
        <v>24.375</v>
      </c>
      <c r="I84" s="25">
        <f t="shared" si="1"/>
        <v>32.44375</v>
      </c>
      <c r="J84" s="50" t="str">
        <f t="shared" si="2"/>
        <v>0.0</v>
      </c>
      <c r="K84" s="50" t="str">
        <f t="shared" si="3"/>
        <v>E</v>
      </c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>
      <c r="A85" s="21">
        <f>'INPUT DAFTAR PESERTA'!A83</f>
        <v>80</v>
      </c>
      <c r="B85" s="21">
        <f>'INPUT DAFTAR PESERTA'!B83</f>
        <v>2509046064</v>
      </c>
      <c r="C85" s="22" t="str">
        <f>'INPUT DAFTAR PESERTA'!C83</f>
        <v>Nabila Lestari</v>
      </c>
      <c r="D85" s="48">
        <f>'NILAI HARIAN'!L85</f>
        <v>100</v>
      </c>
      <c r="E85" s="25">
        <f>'NILAI HARIAN'!M85</f>
        <v>33.78125</v>
      </c>
      <c r="F85" s="25">
        <f>'NILAI HARIAN'!V85</f>
        <v>94</v>
      </c>
      <c r="G85" s="50">
        <f>'NILAI HARIAN'!AE85</f>
        <v>48.75</v>
      </c>
      <c r="H85" s="25">
        <f>'NILAI HARIAN'!AN85</f>
        <v>54.375</v>
      </c>
      <c r="I85" s="25">
        <f t="shared" si="1"/>
        <v>59.715625</v>
      </c>
      <c r="J85" s="50" t="str">
        <f t="shared" si="2"/>
        <v>1.5</v>
      </c>
      <c r="K85" s="50" t="str">
        <f t="shared" si="3"/>
        <v>D</v>
      </c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>
      <c r="A86" s="21">
        <f>'INPUT DAFTAR PESERTA'!A84</f>
        <v>81</v>
      </c>
      <c r="B86" s="21">
        <f>'INPUT DAFTAR PESERTA'!B84</f>
        <v>2509046065</v>
      </c>
      <c r="C86" s="22" t="str">
        <f>'INPUT DAFTAR PESERTA'!C84</f>
        <v>Muhammad Mudrikah Salim</v>
      </c>
      <c r="D86" s="48">
        <f>'NILAI HARIAN'!L86</f>
        <v>37.5</v>
      </c>
      <c r="E86" s="25">
        <f>'NILAI HARIAN'!M86</f>
        <v>0</v>
      </c>
      <c r="F86" s="25">
        <f>'NILAI HARIAN'!V86</f>
        <v>0</v>
      </c>
      <c r="G86" s="50">
        <f>'NILAI HARIAN'!AE86</f>
        <v>3.75</v>
      </c>
      <c r="H86" s="25">
        <f>'NILAI HARIAN'!AN86</f>
        <v>3.75</v>
      </c>
      <c r="I86" s="25">
        <f t="shared" si="1"/>
        <v>6.375</v>
      </c>
      <c r="J86" s="50" t="str">
        <f t="shared" si="2"/>
        <v>0.0</v>
      </c>
      <c r="K86" s="50" t="str">
        <f t="shared" si="3"/>
        <v>E</v>
      </c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>
      <c r="A87" s="21">
        <f>'INPUT DAFTAR PESERTA'!A85</f>
        <v>82</v>
      </c>
      <c r="B87" s="21">
        <f>'INPUT DAFTAR PESERTA'!B85</f>
        <v>2509046066</v>
      </c>
      <c r="C87" s="22" t="str">
        <f>'INPUT DAFTAR PESERTA'!C85</f>
        <v>Nisriina Nahdah Hizbullah</v>
      </c>
      <c r="D87" s="48">
        <f>'NILAI HARIAN'!L87</f>
        <v>100</v>
      </c>
      <c r="E87" s="25">
        <f>'NILAI HARIAN'!M87</f>
        <v>40.9375</v>
      </c>
      <c r="F87" s="25">
        <f>'NILAI HARIAN'!V87</f>
        <v>84</v>
      </c>
      <c r="G87" s="50">
        <f>'NILAI HARIAN'!AE87</f>
        <v>58.75</v>
      </c>
      <c r="H87" s="25">
        <f>'NILAI HARIAN'!AN87</f>
        <v>53.25</v>
      </c>
      <c r="I87" s="25">
        <f t="shared" si="1"/>
        <v>60.86875</v>
      </c>
      <c r="J87" s="50" t="str">
        <f t="shared" si="2"/>
        <v>2.0</v>
      </c>
      <c r="K87" s="50" t="str">
        <f t="shared" si="3"/>
        <v>C</v>
      </c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>
      <c r="A88" s="21">
        <f>'INPUT DAFTAR PESERTA'!A86</f>
        <v>83</v>
      </c>
      <c r="B88" s="21">
        <f>'INPUT DAFTAR PESERTA'!B86</f>
        <v>2509046067</v>
      </c>
      <c r="C88" s="22" t="str">
        <f>'INPUT DAFTAR PESERTA'!C86</f>
        <v>Rhooid Azzaky</v>
      </c>
      <c r="D88" s="48">
        <f>'NILAI HARIAN'!L88</f>
        <v>37.5</v>
      </c>
      <c r="E88" s="25">
        <f>'NILAI HARIAN'!M88</f>
        <v>4.75</v>
      </c>
      <c r="F88" s="25">
        <f>'NILAI HARIAN'!V88</f>
        <v>0</v>
      </c>
      <c r="G88" s="50">
        <f>'NILAI HARIAN'!AE88</f>
        <v>11.25</v>
      </c>
      <c r="H88" s="25">
        <f>'NILAI HARIAN'!AN88</f>
        <v>20.25</v>
      </c>
      <c r="I88" s="25">
        <f t="shared" si="1"/>
        <v>16.6</v>
      </c>
      <c r="J88" s="50" t="str">
        <f t="shared" si="2"/>
        <v>0.0</v>
      </c>
      <c r="K88" s="50" t="str">
        <f t="shared" si="3"/>
        <v>E</v>
      </c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>
      <c r="A89" s="21">
        <f>'INPUT DAFTAR PESERTA'!A87</f>
        <v>84</v>
      </c>
      <c r="B89" s="21">
        <f>'INPUT DAFTAR PESERTA'!B87</f>
        <v>2509046068</v>
      </c>
      <c r="C89" s="22" t="str">
        <f>'INPUT DAFTAR PESERTA'!C87</f>
        <v>Olga Agnes Violeta Simatupang</v>
      </c>
      <c r="D89" s="48">
        <f>'NILAI HARIAN'!L89</f>
        <v>75</v>
      </c>
      <c r="E89" s="25">
        <f>'NILAI HARIAN'!M89</f>
        <v>25.375</v>
      </c>
      <c r="F89" s="25">
        <f>'NILAI HARIAN'!V89</f>
        <v>96</v>
      </c>
      <c r="G89" s="50">
        <f>'NILAI HARIAN'!AE89</f>
        <v>15</v>
      </c>
      <c r="H89" s="25">
        <f>'NILAI HARIAN'!AN89</f>
        <v>38.25</v>
      </c>
      <c r="I89" s="25">
        <f t="shared" si="1"/>
        <v>41.7625</v>
      </c>
      <c r="J89" s="50" t="str">
        <f t="shared" si="2"/>
        <v>1.0</v>
      </c>
      <c r="K89" s="50" t="str">
        <f t="shared" si="3"/>
        <v>D</v>
      </c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>
      <c r="A90" s="21">
        <f>'INPUT DAFTAR PESERTA'!A88</f>
        <v>85</v>
      </c>
      <c r="B90" s="21">
        <f>'INPUT DAFTAR PESERTA'!B88</f>
        <v>2509046070</v>
      </c>
      <c r="C90" s="22" t="str">
        <f>'INPUT DAFTAR PESERTA'!C88</f>
        <v>Muhammad Ibrahim Habibullah</v>
      </c>
      <c r="D90" s="48">
        <f>'NILAI HARIAN'!L90</f>
        <v>62.5</v>
      </c>
      <c r="E90" s="25">
        <f>'NILAI HARIAN'!M90</f>
        <v>2.4375</v>
      </c>
      <c r="F90" s="25">
        <f>'NILAI HARIAN'!V90</f>
        <v>88</v>
      </c>
      <c r="G90" s="50">
        <f>'NILAI HARIAN'!AE90</f>
        <v>7.5</v>
      </c>
      <c r="H90" s="25">
        <f>'NILAI HARIAN'!AN90</f>
        <v>5.625</v>
      </c>
      <c r="I90" s="25">
        <f t="shared" si="1"/>
        <v>19.60625</v>
      </c>
      <c r="J90" s="50" t="str">
        <f t="shared" si="2"/>
        <v>0.0</v>
      </c>
      <c r="K90" s="50" t="str">
        <f t="shared" si="3"/>
        <v>E</v>
      </c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>
      <c r="A91" s="21">
        <f>'INPUT DAFTAR PESERTA'!A89</f>
        <v>86</v>
      </c>
      <c r="B91" s="21">
        <f>'INPUT DAFTAR PESERTA'!B89</f>
        <v>2509046071</v>
      </c>
      <c r="C91" s="22" t="str">
        <f>'INPUT DAFTAR PESERTA'!C89</f>
        <v>M. Ali Dinar</v>
      </c>
      <c r="D91" s="48">
        <f>'NILAI HARIAN'!L91</f>
        <v>37.5</v>
      </c>
      <c r="E91" s="25">
        <f>'NILAI HARIAN'!M91</f>
        <v>0</v>
      </c>
      <c r="F91" s="25">
        <f>'NILAI HARIAN'!V91</f>
        <v>0</v>
      </c>
      <c r="G91" s="50">
        <f>'NILAI HARIAN'!AE91</f>
        <v>3.75</v>
      </c>
      <c r="H91" s="25">
        <f>'NILAI HARIAN'!AN91</f>
        <v>3.75</v>
      </c>
      <c r="I91" s="25">
        <f t="shared" si="1"/>
        <v>6.375</v>
      </c>
      <c r="J91" s="50" t="str">
        <f t="shared" si="2"/>
        <v>0.0</v>
      </c>
      <c r="K91" s="50" t="str">
        <f t="shared" si="3"/>
        <v>E</v>
      </c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>
      <c r="A92" s="21">
        <f>'INPUT DAFTAR PESERTA'!A90</f>
        <v>87</v>
      </c>
      <c r="B92" s="21">
        <f>'INPUT DAFTAR PESERTA'!B90</f>
        <v>2509046072</v>
      </c>
      <c r="C92" s="22" t="str">
        <f>'INPUT DAFTAR PESERTA'!C90</f>
        <v>Julianitha Tabitha Angi</v>
      </c>
      <c r="D92" s="48">
        <f>'NILAI HARIAN'!L92</f>
        <v>62.5</v>
      </c>
      <c r="E92" s="25">
        <f>'NILAI HARIAN'!M92</f>
        <v>34.125</v>
      </c>
      <c r="F92" s="25">
        <f>'NILAI HARIAN'!V92</f>
        <v>82</v>
      </c>
      <c r="G92" s="50">
        <f>'NILAI HARIAN'!AE92</f>
        <v>32.5</v>
      </c>
      <c r="H92" s="25">
        <f>'NILAI HARIAN'!AN92</f>
        <v>30</v>
      </c>
      <c r="I92" s="25">
        <f t="shared" si="1"/>
        <v>39.3625</v>
      </c>
      <c r="J92" s="50" t="str">
        <f t="shared" si="2"/>
        <v>0.0</v>
      </c>
      <c r="K92" s="50" t="str">
        <f t="shared" si="3"/>
        <v>E</v>
      </c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>
      <c r="A93" s="21">
        <f>'INPUT DAFTAR PESERTA'!A91</f>
        <v>88</v>
      </c>
      <c r="B93" s="21">
        <f>'INPUT DAFTAR PESERTA'!B91</f>
        <v>2509046073</v>
      </c>
      <c r="C93" s="22" t="str">
        <f>'INPUT DAFTAR PESERTA'!C91</f>
        <v>Sayyid Ahmad Raihan</v>
      </c>
      <c r="D93" s="48">
        <f>'NILAI HARIAN'!L93</f>
        <v>37.5</v>
      </c>
      <c r="E93" s="25">
        <f>'NILAI HARIAN'!M93</f>
        <v>0</v>
      </c>
      <c r="F93" s="25">
        <f>'NILAI HARIAN'!V93</f>
        <v>0</v>
      </c>
      <c r="G93" s="50">
        <f>'NILAI HARIAN'!AE93</f>
        <v>3.75</v>
      </c>
      <c r="H93" s="25">
        <f>'NILAI HARIAN'!AN93</f>
        <v>11.625</v>
      </c>
      <c r="I93" s="25">
        <f t="shared" si="1"/>
        <v>10.3125</v>
      </c>
      <c r="J93" s="50" t="str">
        <f t="shared" si="2"/>
        <v>0.0</v>
      </c>
      <c r="K93" s="50" t="str">
        <f t="shared" si="3"/>
        <v>E</v>
      </c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>
      <c r="A94" s="21">
        <f>'INPUT DAFTAR PESERTA'!A92</f>
        <v>89</v>
      </c>
      <c r="B94" s="21">
        <f>'INPUT DAFTAR PESERTA'!B92</f>
        <v>2509046074</v>
      </c>
      <c r="C94" s="22" t="str">
        <f>'INPUT DAFTAR PESERTA'!C92</f>
        <v>Junior Agustian Culie</v>
      </c>
      <c r="D94" s="48">
        <f>'NILAI HARIAN'!L94</f>
        <v>37.5</v>
      </c>
      <c r="E94" s="25">
        <f>'NILAI HARIAN'!M94</f>
        <v>0</v>
      </c>
      <c r="F94" s="25">
        <f>'NILAI HARIAN'!V94</f>
        <v>92</v>
      </c>
      <c r="G94" s="50">
        <f>'NILAI HARIAN'!AE94</f>
        <v>3.75</v>
      </c>
      <c r="H94" s="25">
        <f>'NILAI HARIAN'!AN94</f>
        <v>3.75</v>
      </c>
      <c r="I94" s="25">
        <f t="shared" si="1"/>
        <v>15.575</v>
      </c>
      <c r="J94" s="50" t="str">
        <f t="shared" si="2"/>
        <v>0.0</v>
      </c>
      <c r="K94" s="50" t="str">
        <f t="shared" si="3"/>
        <v>E</v>
      </c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>
      <c r="A95" s="21">
        <f>'INPUT DAFTAR PESERTA'!A93</f>
        <v>90</v>
      </c>
      <c r="B95" s="21">
        <f>'INPUT DAFTAR PESERTA'!B93</f>
        <v>2509046075</v>
      </c>
      <c r="C95" s="22" t="str">
        <f>'INPUT DAFTAR PESERTA'!C93</f>
        <v>Andi Ahmad Dzaky Palewai Agri</v>
      </c>
      <c r="D95" s="48">
        <f>'NILAI HARIAN'!L95</f>
        <v>37.5</v>
      </c>
      <c r="E95" s="25">
        <f>'NILAI HARIAN'!M95</f>
        <v>0.625</v>
      </c>
      <c r="F95" s="25">
        <f>'NILAI HARIAN'!V95</f>
        <v>98</v>
      </c>
      <c r="G95" s="50">
        <f>'NILAI HARIAN'!AE95</f>
        <v>3.75</v>
      </c>
      <c r="H95" s="25">
        <f>'NILAI HARIAN'!AN95</f>
        <v>3.75</v>
      </c>
      <c r="I95" s="25">
        <f t="shared" si="1"/>
        <v>16.2375</v>
      </c>
      <c r="J95" s="50" t="str">
        <f t="shared" si="2"/>
        <v>0.0</v>
      </c>
      <c r="K95" s="50" t="str">
        <f t="shared" si="3"/>
        <v>E</v>
      </c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>
      <c r="A96" s="21">
        <f>'INPUT DAFTAR PESERTA'!A94</f>
        <v>91</v>
      </c>
      <c r="B96" s="21">
        <f>'INPUT DAFTAR PESERTA'!B94</f>
        <v>2509046076</v>
      </c>
      <c r="C96" s="22" t="str">
        <f>'INPUT DAFTAR PESERTA'!C94</f>
        <v>Afif Ahmad Winarno</v>
      </c>
      <c r="D96" s="48">
        <f>'NILAI HARIAN'!L96</f>
        <v>98.75</v>
      </c>
      <c r="E96" s="25">
        <f>'NILAI HARIAN'!M96</f>
        <v>37.375</v>
      </c>
      <c r="F96" s="25">
        <f>'NILAI HARIAN'!V96</f>
        <v>100</v>
      </c>
      <c r="G96" s="50">
        <f>'NILAI HARIAN'!AE96</f>
        <v>30</v>
      </c>
      <c r="H96" s="25">
        <f>'NILAI HARIAN'!AN96</f>
        <v>58.5</v>
      </c>
      <c r="I96" s="25">
        <f t="shared" si="1"/>
        <v>58.8625</v>
      </c>
      <c r="J96" s="50" t="str">
        <f t="shared" si="2"/>
        <v>1.5</v>
      </c>
      <c r="K96" s="50" t="str">
        <f t="shared" si="3"/>
        <v>D</v>
      </c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>
      <c r="A97" s="21">
        <f>'INPUT DAFTAR PESERTA'!A95</f>
        <v>92</v>
      </c>
      <c r="B97" s="21">
        <f>'INPUT DAFTAR PESERTA'!B95</f>
        <v>2509046077</v>
      </c>
      <c r="C97" s="22" t="str">
        <f>'INPUT DAFTAR PESERTA'!C95</f>
        <v>Muhammad Iqbal</v>
      </c>
      <c r="D97" s="48">
        <f>'NILAI HARIAN'!L97</f>
        <v>62.5</v>
      </c>
      <c r="E97" s="25">
        <f>'NILAI HARIAN'!M97</f>
        <v>4.5625</v>
      </c>
      <c r="F97" s="25">
        <f>'NILAI HARIAN'!V97</f>
        <v>92</v>
      </c>
      <c r="G97" s="50">
        <f>'NILAI HARIAN'!AE97</f>
        <v>3.75</v>
      </c>
      <c r="H97" s="25">
        <f>'NILAI HARIAN'!AN97</f>
        <v>19.125</v>
      </c>
      <c r="I97" s="25">
        <f t="shared" si="1"/>
        <v>26.21875</v>
      </c>
      <c r="J97" s="50" t="str">
        <f t="shared" si="2"/>
        <v>0.0</v>
      </c>
      <c r="K97" s="50" t="str">
        <f t="shared" si="3"/>
        <v>E</v>
      </c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>
      <c r="A98" s="21">
        <f>'INPUT DAFTAR PESERTA'!A96</f>
        <v>93</v>
      </c>
      <c r="B98" s="21">
        <f>'INPUT DAFTAR PESERTA'!B96</f>
        <v>2509046078</v>
      </c>
      <c r="C98" s="22" t="str">
        <f>'INPUT DAFTAR PESERTA'!C96</f>
        <v>Shodiq Rizyuka Annaufla</v>
      </c>
      <c r="D98" s="48">
        <f>'NILAI HARIAN'!L98</f>
        <v>37.5</v>
      </c>
      <c r="E98" s="25">
        <f>'NILAI HARIAN'!M98</f>
        <v>0</v>
      </c>
      <c r="F98" s="25">
        <f>'NILAI HARIAN'!V98</f>
        <v>100</v>
      </c>
      <c r="G98" s="50">
        <f>'NILAI HARIAN'!AE98</f>
        <v>3.75</v>
      </c>
      <c r="H98" s="25">
        <f>'NILAI HARIAN'!AN98</f>
        <v>11.625</v>
      </c>
      <c r="I98" s="25">
        <f t="shared" si="1"/>
        <v>20.3125</v>
      </c>
      <c r="J98" s="50" t="str">
        <f t="shared" si="2"/>
        <v>0.0</v>
      </c>
      <c r="K98" s="50" t="str">
        <f t="shared" si="3"/>
        <v>E</v>
      </c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>
      <c r="A99" s="21">
        <f>'INPUT DAFTAR PESERTA'!A97</f>
        <v>94</v>
      </c>
      <c r="B99" s="21">
        <f>'INPUT DAFTAR PESERTA'!B97</f>
        <v>2509046079</v>
      </c>
      <c r="C99" s="22" t="str">
        <f>'INPUT DAFTAR PESERTA'!C97</f>
        <v>Muhamad Jailani</v>
      </c>
      <c r="D99" s="48">
        <f>'NILAI HARIAN'!L99</f>
        <v>50</v>
      </c>
      <c r="E99" s="25">
        <f>'NILAI HARIAN'!M99</f>
        <v>2.3125</v>
      </c>
      <c r="F99" s="25">
        <f>'NILAI HARIAN'!V99</f>
        <v>92</v>
      </c>
      <c r="G99" s="50">
        <f>'NILAI HARIAN'!AE99</f>
        <v>3.75</v>
      </c>
      <c r="H99" s="25">
        <f>'NILAI HARIAN'!AN99</f>
        <v>15</v>
      </c>
      <c r="I99" s="25">
        <f t="shared" si="1"/>
        <v>22.68125</v>
      </c>
      <c r="J99" s="50" t="str">
        <f t="shared" si="2"/>
        <v>0.0</v>
      </c>
      <c r="K99" s="50" t="str">
        <f t="shared" si="3"/>
        <v>E</v>
      </c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>
      <c r="A100" s="35" t="str">
        <f>'INPUT DAFTAR PESERTA'!A98</f>
        <v/>
      </c>
      <c r="B100" s="35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>
      <c r="A101" s="35" t="str">
        <f>'INPUT DAFTAR PESERTA'!A99</f>
        <v/>
      </c>
      <c r="B101" s="35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>
      <c r="A102" s="35" t="str">
        <f>'INPUT DAFTAR PESERTA'!A100</f>
        <v/>
      </c>
      <c r="B102" s="35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>
      <c r="A103" s="35" t="str">
        <f>'INPUT DAFTAR PESERTA'!A101</f>
        <v/>
      </c>
      <c r="B103" s="35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>
      <c r="A104" s="35" t="str">
        <f>'INPUT DAFTAR PESERTA'!A102</f>
        <v/>
      </c>
      <c r="B104" s="35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>
      <c r="A105" s="35" t="str">
        <f>'INPUT DAFTAR PESERTA'!A103</f>
        <v/>
      </c>
      <c r="B105" s="35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>
      <c r="A106" s="35" t="str">
        <f>'INPUT DAFTAR PESERTA'!A104</f>
        <v/>
      </c>
      <c r="B106" s="35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>
      <c r="A107" s="35" t="str">
        <f>'INPUT DAFTAR PESERTA'!A105</f>
        <v/>
      </c>
      <c r="B107" s="35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>
      <c r="A108" s="35" t="str">
        <f>'INPUT DAFTAR PESERTA'!A106</f>
        <v/>
      </c>
      <c r="B108" s="35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>
      <c r="A109" s="35" t="str">
        <f>'INPUT DAFTAR PESERTA'!A107</f>
        <v/>
      </c>
      <c r="B109" s="35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>
      <c r="A110" s="35" t="str">
        <f>'INPUT DAFTAR PESERTA'!A108</f>
        <v/>
      </c>
      <c r="B110" s="35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>
      <c r="A111" s="35" t="str">
        <f>'INPUT DAFTAR PESERTA'!A109</f>
        <v/>
      </c>
      <c r="B111" s="35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>
      <c r="A112" s="35" t="str">
        <f>'INPUT DAFTAR PESERTA'!A110</f>
        <v/>
      </c>
      <c r="B112" s="35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>
      <c r="A113" s="35" t="str">
        <f>'INPUT DAFTAR PESERTA'!A111</f>
        <v/>
      </c>
      <c r="B113" s="35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>
      <c r="A114" s="35" t="str">
        <f>'INPUT DAFTAR PESERTA'!A112</f>
        <v/>
      </c>
      <c r="B114" s="35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>
      <c r="A115" s="35" t="str">
        <f>'INPUT DAFTAR PESERTA'!A113</f>
        <v/>
      </c>
      <c r="B115" s="35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>
      <c r="A116" s="35" t="str">
        <f>'INPUT DAFTAR PESERTA'!A114</f>
        <v/>
      </c>
      <c r="B116" s="35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>
      <c r="A117" s="35" t="str">
        <f>'INPUT DAFTAR PESERTA'!A115</f>
        <v/>
      </c>
      <c r="B117" s="35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>
      <c r="A118" s="35" t="str">
        <f>'INPUT DAFTAR PESERTA'!A116</f>
        <v/>
      </c>
      <c r="B118" s="35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>
      <c r="A119" s="35" t="str">
        <f>'INPUT DAFTAR PESERTA'!A117</f>
        <v/>
      </c>
      <c r="B119" s="35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>
      <c r="A120" s="35" t="str">
        <f>'INPUT DAFTAR PESERTA'!A118</f>
        <v/>
      </c>
      <c r="B120" s="35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>
      <c r="A121" s="35" t="str">
        <f>'INPUT DAFTAR PESERTA'!A119</f>
        <v/>
      </c>
      <c r="B121" s="35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>
      <c r="A122" s="35" t="str">
        <f>'INPUT DAFTAR PESERTA'!A120</f>
        <v/>
      </c>
      <c r="B122" s="35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>
      <c r="A123" s="35" t="str">
        <f>'INPUT DAFTAR PESERTA'!A121</f>
        <v/>
      </c>
      <c r="B123" s="35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>
      <c r="A124" s="35"/>
      <c r="B124" s="35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>
      <c r="A125" s="35"/>
      <c r="B125" s="35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>
      <c r="A126" s="35"/>
      <c r="B126" s="35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>
      <c r="A127" s="35"/>
      <c r="B127" s="35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>
      <c r="A128" s="35"/>
      <c r="B128" s="35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>
      <c r="A129" s="35"/>
      <c r="B129" s="35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>
      <c r="A130" s="35"/>
      <c r="B130" s="35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>
      <c r="A131" s="35"/>
      <c r="B131" s="35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>
      <c r="A132" s="35"/>
      <c r="B132" s="35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>
      <c r="A133" s="35"/>
      <c r="B133" s="35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>
      <c r="A134" s="35"/>
      <c r="B134" s="35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>
      <c r="A135" s="35"/>
      <c r="B135" s="35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>
      <c r="A136" s="35"/>
      <c r="B136" s="35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>
      <c r="A137" s="35"/>
      <c r="B137" s="35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>
      <c r="A138" s="35"/>
      <c r="B138" s="35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>
      <c r="A139" s="35"/>
      <c r="B139" s="35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>
      <c r="A140" s="35"/>
      <c r="B140" s="35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>
      <c r="A141" s="35"/>
      <c r="B141" s="35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>
      <c r="A142" s="35"/>
      <c r="B142" s="35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>
      <c r="A143" s="35"/>
      <c r="B143" s="35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>
      <c r="A144" s="35"/>
      <c r="B144" s="35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>
      <c r="A145" s="35"/>
      <c r="B145" s="35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>
      <c r="A146" s="35"/>
      <c r="B146" s="35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>
      <c r="A147" s="35"/>
      <c r="B147" s="35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>
      <c r="A148" s="35"/>
      <c r="B148" s="35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>
      <c r="A149" s="35"/>
      <c r="B149" s="35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>
      <c r="A150" s="35"/>
      <c r="B150" s="35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>
      <c r="A151" s="35"/>
      <c r="B151" s="35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>
      <c r="A152" s="35"/>
      <c r="B152" s="35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>
      <c r="A153" s="35"/>
      <c r="B153" s="35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>
      <c r="A154" s="35"/>
      <c r="B154" s="35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>
      <c r="A155" s="35"/>
      <c r="B155" s="35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>
      <c r="A156" s="35"/>
      <c r="B156" s="35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>
      <c r="A157" s="35"/>
      <c r="B157" s="35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>
      <c r="A158" s="35"/>
      <c r="B158" s="35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>
      <c r="A159" s="35"/>
      <c r="B159" s="35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>
      <c r="A160" s="35"/>
      <c r="B160" s="35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>
      <c r="A161" s="35"/>
      <c r="B161" s="35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>
      <c r="A162" s="35"/>
      <c r="B162" s="35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>
      <c r="A163" s="35"/>
      <c r="B163" s="35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>
      <c r="A164" s="35"/>
      <c r="B164" s="35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>
      <c r="A165" s="35"/>
      <c r="B165" s="35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>
      <c r="A166" s="35"/>
      <c r="B166" s="35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>
      <c r="A167" s="35"/>
      <c r="B167" s="35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>
      <c r="A168" s="35"/>
      <c r="B168" s="35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>
      <c r="A169" s="35"/>
      <c r="B169" s="35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>
      <c r="A170" s="35"/>
      <c r="B170" s="35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>
      <c r="A171" s="35"/>
      <c r="B171" s="35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>
      <c r="A172" s="35"/>
      <c r="B172" s="35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>
      <c r="A173" s="35"/>
      <c r="B173" s="35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>
      <c r="A174" s="35"/>
      <c r="B174" s="35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>
      <c r="A175" s="35"/>
      <c r="B175" s="35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>
      <c r="A176" s="35"/>
      <c r="B176" s="35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>
      <c r="A177" s="35"/>
      <c r="B177" s="35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>
      <c r="A178" s="35"/>
      <c r="B178" s="35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>
      <c r="A179" s="35"/>
      <c r="B179" s="35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>
      <c r="A180" s="35"/>
      <c r="B180" s="35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>
      <c r="A181" s="35"/>
      <c r="B181" s="35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>
      <c r="A182" s="35"/>
      <c r="B182" s="35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>
      <c r="A183" s="35"/>
      <c r="B183" s="35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>
      <c r="A184" s="35"/>
      <c r="B184" s="35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>
      <c r="A185" s="35"/>
      <c r="B185" s="35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>
      <c r="A186" s="35"/>
      <c r="B186" s="35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>
      <c r="A187" s="35"/>
      <c r="B187" s="35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>
      <c r="A188" s="35"/>
      <c r="B188" s="35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>
      <c r="A189" s="35"/>
      <c r="B189" s="35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>
      <c r="A190" s="35"/>
      <c r="B190" s="35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>
      <c r="A191" s="35"/>
      <c r="B191" s="35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>
      <c r="A192" s="35"/>
      <c r="B192" s="35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>
      <c r="A193" s="35"/>
      <c r="B193" s="35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>
      <c r="A194" s="35"/>
      <c r="B194" s="35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>
      <c r="A195" s="35"/>
      <c r="B195" s="35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>
      <c r="A196" s="35"/>
      <c r="B196" s="35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>
      <c r="A197" s="35"/>
      <c r="B197" s="35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>
      <c r="A198" s="35"/>
      <c r="B198" s="35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>
      <c r="A199" s="35"/>
      <c r="B199" s="35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>
      <c r="A200" s="35"/>
      <c r="B200" s="35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>
      <c r="A201" s="35"/>
      <c r="B201" s="35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>
      <c r="A202" s="35"/>
      <c r="B202" s="35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>
      <c r="A203" s="35"/>
      <c r="B203" s="35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>
      <c r="A204" s="35"/>
      <c r="B204" s="35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>
      <c r="A205" s="35"/>
      <c r="B205" s="35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>
      <c r="A206" s="35"/>
      <c r="B206" s="35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>
      <c r="A207" s="35"/>
      <c r="B207" s="35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>
      <c r="A208" s="35"/>
      <c r="B208" s="35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>
      <c r="A209" s="35"/>
      <c r="B209" s="35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>
      <c r="A210" s="35"/>
      <c r="B210" s="35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>
      <c r="A211" s="35"/>
      <c r="B211" s="35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>
      <c r="A212" s="35"/>
      <c r="B212" s="35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>
      <c r="A213" s="35"/>
      <c r="B213" s="35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>
      <c r="A214" s="35"/>
      <c r="B214" s="35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>
      <c r="A215" s="35"/>
      <c r="B215" s="35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>
      <c r="A216" s="35"/>
      <c r="B216" s="35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>
      <c r="A217" s="35"/>
      <c r="B217" s="35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>
      <c r="A218" s="35"/>
      <c r="B218" s="35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>
      <c r="A219" s="35"/>
      <c r="B219" s="35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>
      <c r="A220" s="35"/>
      <c r="B220" s="35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>
      <c r="A221" s="35"/>
      <c r="B221" s="35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>
      <c r="A222" s="35"/>
      <c r="B222" s="35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>
      <c r="A223" s="35"/>
      <c r="B223" s="35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>
      <c r="A224" s="35"/>
      <c r="B224" s="35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>
      <c r="A225" s="35"/>
      <c r="B225" s="35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>
      <c r="A226" s="35"/>
      <c r="B226" s="35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>
      <c r="A227" s="35"/>
      <c r="B227" s="35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>
      <c r="A228" s="35"/>
      <c r="B228" s="35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>
      <c r="A229" s="35"/>
      <c r="B229" s="35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>
      <c r="A230" s="35"/>
      <c r="B230" s="35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>
      <c r="A231" s="35"/>
      <c r="B231" s="35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>
      <c r="A232" s="35"/>
      <c r="B232" s="35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>
      <c r="A233" s="35"/>
      <c r="B233" s="35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>
      <c r="A234" s="35"/>
      <c r="B234" s="35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>
      <c r="A235" s="35"/>
      <c r="B235" s="35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>
      <c r="A236" s="35"/>
      <c r="B236" s="35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>
      <c r="A237" s="35"/>
      <c r="B237" s="35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>
      <c r="A238" s="35"/>
      <c r="B238" s="35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>
      <c r="A239" s="35"/>
      <c r="B239" s="35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>
      <c r="A240" s="35"/>
      <c r="B240" s="35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>
      <c r="A241" s="35"/>
      <c r="B241" s="35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>
      <c r="A242" s="35"/>
      <c r="B242" s="35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>
      <c r="A243" s="35"/>
      <c r="B243" s="35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>
      <c r="A244" s="35"/>
      <c r="B244" s="35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>
      <c r="A245" s="35"/>
      <c r="B245" s="35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>
      <c r="A246" s="35"/>
      <c r="B246" s="35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>
      <c r="A247" s="35"/>
      <c r="B247" s="35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>
      <c r="A248" s="35"/>
      <c r="B248" s="35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>
      <c r="A249" s="35"/>
      <c r="B249" s="35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>
      <c r="A250" s="35"/>
      <c r="B250" s="35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>
      <c r="A251" s="35"/>
      <c r="B251" s="35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>
      <c r="A252" s="35"/>
      <c r="B252" s="35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>
      <c r="A253" s="35"/>
      <c r="B253" s="35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>
      <c r="A254" s="35"/>
      <c r="B254" s="35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>
      <c r="A255" s="35"/>
      <c r="B255" s="35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>
      <c r="A256" s="35"/>
      <c r="B256" s="35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>
      <c r="A257" s="35"/>
      <c r="B257" s="35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>
      <c r="A258" s="35"/>
      <c r="B258" s="35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>
      <c r="A259" s="35"/>
      <c r="B259" s="35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>
      <c r="A260" s="35"/>
      <c r="B260" s="35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>
      <c r="A261" s="35"/>
      <c r="B261" s="35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>
      <c r="A262" s="35"/>
      <c r="B262" s="35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>
      <c r="A263" s="35"/>
      <c r="B263" s="35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>
      <c r="A264" s="35"/>
      <c r="B264" s="35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>
      <c r="A265" s="35"/>
      <c r="B265" s="35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>
      <c r="A266" s="35"/>
      <c r="B266" s="35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>
      <c r="A267" s="35"/>
      <c r="B267" s="35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>
      <c r="A268" s="35"/>
      <c r="B268" s="35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>
      <c r="A269" s="35"/>
      <c r="B269" s="35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>
      <c r="A270" s="35"/>
      <c r="B270" s="35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>
      <c r="A271" s="35"/>
      <c r="B271" s="35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>
      <c r="A272" s="35"/>
      <c r="B272" s="35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>
      <c r="A273" s="35"/>
      <c r="B273" s="35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>
      <c r="A274" s="35"/>
      <c r="B274" s="35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>
      <c r="A275" s="35"/>
      <c r="B275" s="35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>
      <c r="A276" s="35"/>
      <c r="B276" s="35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>
      <c r="A277" s="35"/>
      <c r="B277" s="35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>
      <c r="A278" s="35"/>
      <c r="B278" s="35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>
      <c r="A279" s="35"/>
      <c r="B279" s="35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>
      <c r="A280" s="35"/>
      <c r="B280" s="35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>
      <c r="A281" s="35"/>
      <c r="B281" s="35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>
      <c r="A282" s="35"/>
      <c r="B282" s="35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>
      <c r="A283" s="35"/>
      <c r="B283" s="35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>
      <c r="A284" s="35"/>
      <c r="B284" s="35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>
      <c r="A285" s="35"/>
      <c r="B285" s="35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>
      <c r="A286" s="35"/>
      <c r="B286" s="35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>
      <c r="A287" s="35"/>
      <c r="B287" s="35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>
      <c r="A288" s="35"/>
      <c r="B288" s="35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>
      <c r="A289" s="35"/>
      <c r="B289" s="35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>
      <c r="A290" s="35"/>
      <c r="B290" s="35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>
      <c r="A291" s="35"/>
      <c r="B291" s="35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>
      <c r="A292" s="35"/>
      <c r="B292" s="35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>
      <c r="A293" s="35"/>
      <c r="B293" s="35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>
      <c r="A294" s="35"/>
      <c r="B294" s="35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>
      <c r="A295" s="35"/>
      <c r="B295" s="35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>
      <c r="A296" s="35"/>
      <c r="B296" s="35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>
      <c r="A297" s="35"/>
      <c r="B297" s="35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>
      <c r="A298" s="35"/>
      <c r="B298" s="35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>
      <c r="A299" s="35"/>
      <c r="B299" s="35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>
      <c r="A300" s="35"/>
      <c r="B300" s="35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>
      <c r="A301" s="35"/>
      <c r="B301" s="35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>
      <c r="A302" s="35"/>
      <c r="B302" s="35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>
      <c r="A303" s="35"/>
      <c r="B303" s="35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>
      <c r="A304" s="35"/>
      <c r="B304" s="35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>
      <c r="A305" s="35"/>
      <c r="B305" s="35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>
      <c r="A306" s="35"/>
      <c r="B306" s="35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>
      <c r="A307" s="35"/>
      <c r="B307" s="35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>
      <c r="A308" s="35"/>
      <c r="B308" s="35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>
      <c r="A309" s="35"/>
      <c r="B309" s="35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>
      <c r="A310" s="35"/>
      <c r="B310" s="35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>
      <c r="A311" s="35"/>
      <c r="B311" s="35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>
      <c r="A312" s="35"/>
      <c r="B312" s="35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>
      <c r="A313" s="35"/>
      <c r="B313" s="35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>
      <c r="A314" s="35"/>
      <c r="B314" s="35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>
      <c r="A315" s="35"/>
      <c r="B315" s="35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>
      <c r="A316" s="35"/>
      <c r="B316" s="35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>
      <c r="A317" s="35"/>
      <c r="B317" s="35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>
      <c r="A318" s="35"/>
      <c r="B318" s="35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>
      <c r="A319" s="35"/>
      <c r="B319" s="35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>
      <c r="A320" s="35"/>
      <c r="B320" s="35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>
      <c r="A321" s="35"/>
      <c r="B321" s="35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>
      <c r="A322" s="35"/>
      <c r="B322" s="35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>
      <c r="A323" s="35"/>
      <c r="B323" s="35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>
      <c r="A324" s="35"/>
      <c r="B324" s="35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>
      <c r="A325" s="35"/>
      <c r="B325" s="35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>
      <c r="A326" s="35"/>
      <c r="B326" s="35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>
      <c r="A327" s="35"/>
      <c r="B327" s="35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>
      <c r="A328" s="35"/>
      <c r="B328" s="35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>
      <c r="A329" s="35"/>
      <c r="B329" s="35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>
      <c r="A330" s="35"/>
      <c r="B330" s="35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>
      <c r="A331" s="35"/>
      <c r="B331" s="35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>
      <c r="A332" s="35"/>
      <c r="B332" s="35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>
      <c r="A333" s="35"/>
      <c r="B333" s="35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>
      <c r="A334" s="35"/>
      <c r="B334" s="35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>
      <c r="A335" s="35"/>
      <c r="B335" s="35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>
      <c r="A336" s="35"/>
      <c r="B336" s="35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>
      <c r="A337" s="35"/>
      <c r="B337" s="35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>
      <c r="A338" s="35"/>
      <c r="B338" s="35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>
      <c r="A339" s="35"/>
      <c r="B339" s="35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>
      <c r="A340" s="35"/>
      <c r="B340" s="35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>
      <c r="A341" s="35"/>
      <c r="B341" s="35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>
      <c r="A342" s="35"/>
      <c r="B342" s="35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>
      <c r="A343" s="35"/>
      <c r="B343" s="35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>
      <c r="A344" s="35"/>
      <c r="B344" s="35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>
      <c r="A345" s="35"/>
      <c r="B345" s="35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>
      <c r="A346" s="35"/>
      <c r="B346" s="35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>
      <c r="A347" s="35"/>
      <c r="B347" s="35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>
      <c r="A348" s="35"/>
      <c r="B348" s="35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>
      <c r="A349" s="35"/>
      <c r="B349" s="35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>
      <c r="A350" s="35"/>
      <c r="B350" s="35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>
      <c r="A351" s="35"/>
      <c r="B351" s="35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>
      <c r="A352" s="35"/>
      <c r="B352" s="35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>
      <c r="A353" s="35"/>
      <c r="B353" s="35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>
      <c r="A354" s="35"/>
      <c r="B354" s="35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>
      <c r="A355" s="35"/>
      <c r="B355" s="35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>
      <c r="A356" s="35"/>
      <c r="B356" s="35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>
      <c r="A357" s="35"/>
      <c r="B357" s="35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>
      <c r="A358" s="35"/>
      <c r="B358" s="35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>
      <c r="A359" s="35"/>
      <c r="B359" s="35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>
      <c r="A360" s="35"/>
      <c r="B360" s="35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>
      <c r="A361" s="35"/>
      <c r="B361" s="35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>
      <c r="A362" s="35"/>
      <c r="B362" s="35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>
      <c r="A363" s="35"/>
      <c r="B363" s="35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>
      <c r="A364" s="35"/>
      <c r="B364" s="35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>
      <c r="A365" s="35"/>
      <c r="B365" s="35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>
      <c r="A366" s="35"/>
      <c r="B366" s="35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>
      <c r="A367" s="35"/>
      <c r="B367" s="35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>
      <c r="A368" s="35"/>
      <c r="B368" s="35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>
      <c r="A369" s="35"/>
      <c r="B369" s="35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>
      <c r="A370" s="35"/>
      <c r="B370" s="35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>
      <c r="A371" s="35"/>
      <c r="B371" s="35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>
      <c r="A372" s="35"/>
      <c r="B372" s="35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>
      <c r="A373" s="35"/>
      <c r="B373" s="35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>
      <c r="A374" s="35"/>
      <c r="B374" s="35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>
      <c r="A375" s="35"/>
      <c r="B375" s="35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>
      <c r="A376" s="35"/>
      <c r="B376" s="35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>
      <c r="A377" s="35"/>
      <c r="B377" s="35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>
      <c r="A378" s="35"/>
      <c r="B378" s="35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>
      <c r="A379" s="35"/>
      <c r="B379" s="35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>
      <c r="A380" s="35"/>
      <c r="B380" s="35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>
      <c r="A381" s="35"/>
      <c r="B381" s="35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>
      <c r="A382" s="35"/>
      <c r="B382" s="35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>
      <c r="A383" s="35"/>
      <c r="B383" s="35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>
      <c r="A384" s="35"/>
      <c r="B384" s="35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>
      <c r="A385" s="35"/>
      <c r="B385" s="35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>
      <c r="A386" s="35"/>
      <c r="B386" s="35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>
      <c r="A387" s="35"/>
      <c r="B387" s="35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>
      <c r="A388" s="35"/>
      <c r="B388" s="35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>
      <c r="A389" s="35"/>
      <c r="B389" s="35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>
      <c r="A390" s="35"/>
      <c r="B390" s="35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>
      <c r="A391" s="35"/>
      <c r="B391" s="35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>
      <c r="A392" s="35"/>
      <c r="B392" s="35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>
      <c r="A393" s="35"/>
      <c r="B393" s="35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>
      <c r="A394" s="35"/>
      <c r="B394" s="35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>
      <c r="A395" s="35"/>
      <c r="B395" s="35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>
      <c r="A396" s="35"/>
      <c r="B396" s="35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>
      <c r="A397" s="35"/>
      <c r="B397" s="35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>
      <c r="A398" s="35"/>
      <c r="B398" s="35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>
      <c r="A399" s="35"/>
      <c r="B399" s="35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>
      <c r="A400" s="35"/>
      <c r="B400" s="35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>
      <c r="A401" s="35"/>
      <c r="B401" s="35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>
      <c r="A402" s="35"/>
      <c r="B402" s="35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>
      <c r="A403" s="35"/>
      <c r="B403" s="35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>
      <c r="A404" s="35"/>
      <c r="B404" s="35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>
      <c r="A405" s="35"/>
      <c r="B405" s="35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>
      <c r="A406" s="35"/>
      <c r="B406" s="35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>
      <c r="A407" s="35"/>
      <c r="B407" s="35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>
      <c r="A408" s="35"/>
      <c r="B408" s="35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>
      <c r="A409" s="35"/>
      <c r="B409" s="35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>
      <c r="A410" s="35"/>
      <c r="B410" s="35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>
      <c r="A411" s="35"/>
      <c r="B411" s="35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>
      <c r="A412" s="35"/>
      <c r="B412" s="35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>
      <c r="A413" s="35"/>
      <c r="B413" s="35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>
      <c r="A414" s="35"/>
      <c r="B414" s="35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>
      <c r="A415" s="35"/>
      <c r="B415" s="35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>
      <c r="A416" s="35"/>
      <c r="B416" s="35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>
      <c r="A417" s="35"/>
      <c r="B417" s="35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>
      <c r="A418" s="35"/>
      <c r="B418" s="35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>
      <c r="A419" s="35"/>
      <c r="B419" s="35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>
      <c r="A420" s="35"/>
      <c r="B420" s="35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>
      <c r="A421" s="35"/>
      <c r="B421" s="35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>
      <c r="A422" s="35"/>
      <c r="B422" s="35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>
      <c r="A423" s="35"/>
      <c r="B423" s="35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>
      <c r="A424" s="35"/>
      <c r="B424" s="35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>
      <c r="A425" s="35"/>
      <c r="B425" s="35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>
      <c r="A426" s="35"/>
      <c r="B426" s="35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>
      <c r="A427" s="35"/>
      <c r="B427" s="35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>
      <c r="A428" s="35"/>
      <c r="B428" s="35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>
      <c r="A429" s="35"/>
      <c r="B429" s="35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>
      <c r="A430" s="35"/>
      <c r="B430" s="35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>
      <c r="A431" s="35"/>
      <c r="B431" s="35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>
      <c r="A432" s="35"/>
      <c r="B432" s="35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>
      <c r="A433" s="35"/>
      <c r="B433" s="35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>
      <c r="A434" s="35"/>
      <c r="B434" s="35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>
      <c r="A435" s="35"/>
      <c r="B435" s="35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>
      <c r="A436" s="35"/>
      <c r="B436" s="35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>
      <c r="A437" s="35"/>
      <c r="B437" s="35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>
      <c r="A438" s="35"/>
      <c r="B438" s="35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>
      <c r="A439" s="35"/>
      <c r="B439" s="35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>
      <c r="A440" s="35"/>
      <c r="B440" s="35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>
      <c r="A441" s="35"/>
      <c r="B441" s="35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>
      <c r="A442" s="35"/>
      <c r="B442" s="35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>
      <c r="A443" s="35"/>
      <c r="B443" s="35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>
      <c r="A444" s="35"/>
      <c r="B444" s="35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>
      <c r="A445" s="35"/>
      <c r="B445" s="35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>
      <c r="A446" s="35"/>
      <c r="B446" s="35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>
      <c r="A447" s="35"/>
      <c r="B447" s="35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>
      <c r="A448" s="35"/>
      <c r="B448" s="35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>
      <c r="A449" s="35"/>
      <c r="B449" s="35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>
      <c r="A450" s="35"/>
      <c r="B450" s="35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>
      <c r="A451" s="35"/>
      <c r="B451" s="35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>
      <c r="A452" s="35"/>
      <c r="B452" s="35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>
      <c r="A453" s="35"/>
      <c r="B453" s="35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>
      <c r="A454" s="35"/>
      <c r="B454" s="35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>
      <c r="A455" s="35"/>
      <c r="B455" s="35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>
      <c r="A456" s="35"/>
      <c r="B456" s="35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>
      <c r="A457" s="35"/>
      <c r="B457" s="35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>
      <c r="A458" s="35"/>
      <c r="B458" s="35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>
      <c r="A459" s="35"/>
      <c r="B459" s="35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>
      <c r="A460" s="35"/>
      <c r="B460" s="35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>
      <c r="A461" s="35"/>
      <c r="B461" s="35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>
      <c r="A462" s="35"/>
      <c r="B462" s="35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>
      <c r="A463" s="35"/>
      <c r="B463" s="35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>
      <c r="A464" s="35"/>
      <c r="B464" s="35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>
      <c r="A465" s="35"/>
      <c r="B465" s="35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>
      <c r="A466" s="35"/>
      <c r="B466" s="35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>
      <c r="A467" s="35"/>
      <c r="B467" s="35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>
      <c r="A468" s="35"/>
      <c r="B468" s="35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>
      <c r="A469" s="35"/>
      <c r="B469" s="35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>
      <c r="A470" s="35"/>
      <c r="B470" s="35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>
      <c r="A471" s="35"/>
      <c r="B471" s="35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>
      <c r="A472" s="35"/>
      <c r="B472" s="35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>
      <c r="A473" s="35"/>
      <c r="B473" s="35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>
      <c r="A474" s="35"/>
      <c r="B474" s="35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>
      <c r="A475" s="35"/>
      <c r="B475" s="35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>
      <c r="A476" s="35"/>
      <c r="B476" s="35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>
      <c r="A477" s="35"/>
      <c r="B477" s="35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>
      <c r="A478" s="35"/>
      <c r="B478" s="35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>
      <c r="A479" s="35"/>
      <c r="B479" s="35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>
      <c r="A480" s="35"/>
      <c r="B480" s="35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>
      <c r="A481" s="35"/>
      <c r="B481" s="35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>
      <c r="A482" s="35"/>
      <c r="B482" s="35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>
      <c r="A483" s="35"/>
      <c r="B483" s="35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>
      <c r="A484" s="35"/>
      <c r="B484" s="35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>
      <c r="A485" s="35"/>
      <c r="B485" s="35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>
      <c r="A486" s="35"/>
      <c r="B486" s="35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>
      <c r="A487" s="35"/>
      <c r="B487" s="35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>
      <c r="A488" s="35"/>
      <c r="B488" s="35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>
      <c r="A489" s="35"/>
      <c r="B489" s="35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>
      <c r="A490" s="35"/>
      <c r="B490" s="35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>
      <c r="A491" s="35"/>
      <c r="B491" s="35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>
      <c r="A492" s="35"/>
      <c r="B492" s="35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>
      <c r="A493" s="35"/>
      <c r="B493" s="35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>
      <c r="A494" s="35"/>
      <c r="B494" s="35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>
      <c r="A495" s="35"/>
      <c r="B495" s="35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>
      <c r="A496" s="35"/>
      <c r="B496" s="35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>
      <c r="A497" s="35"/>
      <c r="B497" s="35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>
      <c r="A498" s="35"/>
      <c r="B498" s="35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>
      <c r="A499" s="35"/>
      <c r="B499" s="35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>
      <c r="A500" s="35"/>
      <c r="B500" s="35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>
      <c r="A501" s="35"/>
      <c r="B501" s="35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>
      <c r="A502" s="35"/>
      <c r="B502" s="35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>
      <c r="A503" s="35"/>
      <c r="B503" s="35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>
      <c r="A504" s="35"/>
      <c r="B504" s="35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>
      <c r="A505" s="35"/>
      <c r="B505" s="35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>
      <c r="A506" s="35"/>
      <c r="B506" s="35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>
      <c r="A507" s="35"/>
      <c r="B507" s="35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>
      <c r="A508" s="35"/>
      <c r="B508" s="35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>
      <c r="A509" s="35"/>
      <c r="B509" s="35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>
      <c r="A510" s="35"/>
      <c r="B510" s="35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>
      <c r="A511" s="35"/>
      <c r="B511" s="35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>
      <c r="A512" s="35"/>
      <c r="B512" s="35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>
      <c r="A513" s="35"/>
      <c r="B513" s="35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>
      <c r="A514" s="35"/>
      <c r="B514" s="35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>
      <c r="A515" s="35"/>
      <c r="B515" s="35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>
      <c r="A516" s="35"/>
      <c r="B516" s="35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>
      <c r="A517" s="35"/>
      <c r="B517" s="35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>
      <c r="A518" s="35"/>
      <c r="B518" s="35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>
      <c r="A519" s="35"/>
      <c r="B519" s="35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>
      <c r="A520" s="35"/>
      <c r="B520" s="35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>
      <c r="A521" s="35"/>
      <c r="B521" s="35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>
      <c r="A522" s="35"/>
      <c r="B522" s="35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>
      <c r="A523" s="35"/>
      <c r="B523" s="35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>
      <c r="A524" s="35"/>
      <c r="B524" s="35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>
      <c r="A525" s="35"/>
      <c r="B525" s="35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>
      <c r="A526" s="35"/>
      <c r="B526" s="35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>
      <c r="A527" s="35"/>
      <c r="B527" s="35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>
      <c r="A528" s="35"/>
      <c r="B528" s="35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>
      <c r="A529" s="35"/>
      <c r="B529" s="35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>
      <c r="A530" s="35"/>
      <c r="B530" s="35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>
      <c r="A531" s="35"/>
      <c r="B531" s="35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>
      <c r="A532" s="35"/>
      <c r="B532" s="35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>
      <c r="A533" s="35"/>
      <c r="B533" s="35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>
      <c r="A534" s="35"/>
      <c r="B534" s="35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>
      <c r="A535" s="35"/>
      <c r="B535" s="35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>
      <c r="A536" s="35"/>
      <c r="B536" s="35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>
      <c r="A537" s="35"/>
      <c r="B537" s="35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>
      <c r="A538" s="35"/>
      <c r="B538" s="35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>
      <c r="A539" s="35"/>
      <c r="B539" s="35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>
      <c r="A540" s="35"/>
      <c r="B540" s="35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>
      <c r="A541" s="35"/>
      <c r="B541" s="35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>
      <c r="A542" s="35"/>
      <c r="B542" s="35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>
      <c r="A543" s="35"/>
      <c r="B543" s="35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>
      <c r="A544" s="35"/>
      <c r="B544" s="35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>
      <c r="A545" s="35"/>
      <c r="B545" s="35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>
      <c r="A546" s="35"/>
      <c r="B546" s="35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>
      <c r="A547" s="35"/>
      <c r="B547" s="35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>
      <c r="A548" s="35"/>
      <c r="B548" s="35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>
      <c r="A549" s="35"/>
      <c r="B549" s="35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>
      <c r="A550" s="35"/>
      <c r="B550" s="35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>
      <c r="A551" s="35"/>
      <c r="B551" s="35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>
      <c r="A552" s="35"/>
      <c r="B552" s="35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>
      <c r="A553" s="35"/>
      <c r="B553" s="35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>
      <c r="A554" s="35"/>
      <c r="B554" s="35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>
      <c r="A555" s="35"/>
      <c r="B555" s="35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>
      <c r="A556" s="35"/>
      <c r="B556" s="35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>
      <c r="A557" s="35"/>
      <c r="B557" s="35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>
      <c r="A558" s="35"/>
      <c r="B558" s="35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>
      <c r="A559" s="35"/>
      <c r="B559" s="35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>
      <c r="A560" s="35"/>
      <c r="B560" s="35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>
      <c r="A561" s="35"/>
      <c r="B561" s="35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>
      <c r="A562" s="35"/>
      <c r="B562" s="35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>
      <c r="A563" s="35"/>
      <c r="B563" s="35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>
      <c r="A564" s="35"/>
      <c r="B564" s="35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>
      <c r="A565" s="35"/>
      <c r="B565" s="35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>
      <c r="A566" s="35"/>
      <c r="B566" s="35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>
      <c r="A567" s="35"/>
      <c r="B567" s="35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>
      <c r="A568" s="35"/>
      <c r="B568" s="35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>
      <c r="A569" s="35"/>
      <c r="B569" s="35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>
      <c r="A570" s="35"/>
      <c r="B570" s="35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>
      <c r="A571" s="35"/>
      <c r="B571" s="35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>
      <c r="A572" s="35"/>
      <c r="B572" s="35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>
      <c r="A573" s="35"/>
      <c r="B573" s="35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>
      <c r="A574" s="35"/>
      <c r="B574" s="35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>
      <c r="A575" s="35"/>
      <c r="B575" s="35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>
      <c r="A576" s="35"/>
      <c r="B576" s="35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>
      <c r="A577" s="35"/>
      <c r="B577" s="35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>
      <c r="A578" s="35"/>
      <c r="B578" s="35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>
      <c r="A579" s="35"/>
      <c r="B579" s="35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>
      <c r="A580" s="35"/>
      <c r="B580" s="35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>
      <c r="A581" s="35"/>
      <c r="B581" s="35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>
      <c r="A582" s="35"/>
      <c r="B582" s="35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>
      <c r="A583" s="35"/>
      <c r="B583" s="35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>
      <c r="A584" s="35"/>
      <c r="B584" s="35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>
      <c r="A585" s="35"/>
      <c r="B585" s="35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>
      <c r="A586" s="35"/>
      <c r="B586" s="35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>
      <c r="A587" s="35"/>
      <c r="B587" s="35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>
      <c r="A588" s="35"/>
      <c r="B588" s="35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>
      <c r="A589" s="35"/>
      <c r="B589" s="35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>
      <c r="A590" s="35"/>
      <c r="B590" s="35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>
      <c r="A591" s="35"/>
      <c r="B591" s="35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>
      <c r="A592" s="35"/>
      <c r="B592" s="35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>
      <c r="A593" s="35"/>
      <c r="B593" s="35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>
      <c r="A594" s="35"/>
      <c r="B594" s="35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>
      <c r="A595" s="35"/>
      <c r="B595" s="35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>
      <c r="A596" s="35"/>
      <c r="B596" s="35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>
      <c r="A597" s="35"/>
      <c r="B597" s="35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>
      <c r="A598" s="35"/>
      <c r="B598" s="35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>
      <c r="A599" s="35"/>
      <c r="B599" s="35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>
      <c r="A600" s="35"/>
      <c r="B600" s="35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>
      <c r="A601" s="35"/>
      <c r="B601" s="35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>
      <c r="A602" s="35"/>
      <c r="B602" s="35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>
      <c r="A603" s="35"/>
      <c r="B603" s="35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>
      <c r="A604" s="35"/>
      <c r="B604" s="35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>
      <c r="A605" s="35"/>
      <c r="B605" s="35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>
      <c r="A606" s="35"/>
      <c r="B606" s="35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>
      <c r="A607" s="35"/>
      <c r="B607" s="35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>
      <c r="A608" s="35"/>
      <c r="B608" s="35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>
      <c r="A609" s="35"/>
      <c r="B609" s="35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>
      <c r="A610" s="35"/>
      <c r="B610" s="35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>
      <c r="A611" s="35"/>
      <c r="B611" s="35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>
      <c r="A612" s="35"/>
      <c r="B612" s="35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>
      <c r="A613" s="35"/>
      <c r="B613" s="35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>
      <c r="A614" s="35"/>
      <c r="B614" s="35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>
      <c r="A615" s="35"/>
      <c r="B615" s="35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>
      <c r="A616" s="35"/>
      <c r="B616" s="35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>
      <c r="A617" s="35"/>
      <c r="B617" s="35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>
      <c r="A618" s="35"/>
      <c r="B618" s="35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>
      <c r="A619" s="35"/>
      <c r="B619" s="35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>
      <c r="A620" s="35"/>
      <c r="B620" s="35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>
      <c r="A621" s="35"/>
      <c r="B621" s="35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>
      <c r="A622" s="35"/>
      <c r="B622" s="35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>
      <c r="A623" s="35"/>
      <c r="B623" s="35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>
      <c r="A624" s="35"/>
      <c r="B624" s="35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>
      <c r="A625" s="35"/>
      <c r="B625" s="35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>
      <c r="A626" s="35"/>
      <c r="B626" s="35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>
      <c r="A627" s="35"/>
      <c r="B627" s="35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>
      <c r="A628" s="35"/>
      <c r="B628" s="35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>
      <c r="A629" s="35"/>
      <c r="B629" s="35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>
      <c r="A630" s="35"/>
      <c r="B630" s="35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>
      <c r="A631" s="35"/>
      <c r="B631" s="35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>
      <c r="A632" s="35"/>
      <c r="B632" s="35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>
      <c r="A633" s="35"/>
      <c r="B633" s="35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>
      <c r="A634" s="35"/>
      <c r="B634" s="35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>
      <c r="A635" s="35"/>
      <c r="B635" s="35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>
      <c r="A636" s="35"/>
      <c r="B636" s="35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>
      <c r="A637" s="35"/>
      <c r="B637" s="35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>
      <c r="A638" s="35"/>
      <c r="B638" s="35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>
      <c r="A639" s="35"/>
      <c r="B639" s="35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>
      <c r="A640" s="35"/>
      <c r="B640" s="35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>
      <c r="A641" s="35"/>
      <c r="B641" s="35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>
      <c r="A642" s="35"/>
      <c r="B642" s="35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>
      <c r="A643" s="35"/>
      <c r="B643" s="35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>
      <c r="A644" s="35"/>
      <c r="B644" s="35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>
      <c r="A645" s="35"/>
      <c r="B645" s="35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>
      <c r="A646" s="35"/>
      <c r="B646" s="35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>
      <c r="A647" s="35"/>
      <c r="B647" s="35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>
      <c r="A648" s="35"/>
      <c r="B648" s="35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>
      <c r="A649" s="35"/>
      <c r="B649" s="35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>
      <c r="A650" s="35"/>
      <c r="B650" s="35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>
      <c r="A651" s="35"/>
      <c r="B651" s="35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>
      <c r="A652" s="35"/>
      <c r="B652" s="35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>
      <c r="A653" s="35"/>
      <c r="B653" s="35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>
      <c r="A654" s="35"/>
      <c r="B654" s="35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>
      <c r="A655" s="35"/>
      <c r="B655" s="35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>
      <c r="A656" s="35"/>
      <c r="B656" s="35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>
      <c r="A657" s="35"/>
      <c r="B657" s="35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>
      <c r="A658" s="35"/>
      <c r="B658" s="35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>
      <c r="A659" s="35"/>
      <c r="B659" s="35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>
      <c r="A660" s="35"/>
      <c r="B660" s="35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>
      <c r="A661" s="35"/>
      <c r="B661" s="35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>
      <c r="A662" s="35"/>
      <c r="B662" s="35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>
      <c r="A663" s="35"/>
      <c r="B663" s="35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>
      <c r="A664" s="35"/>
      <c r="B664" s="35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>
      <c r="A665" s="35"/>
      <c r="B665" s="35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>
      <c r="A666" s="35"/>
      <c r="B666" s="35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>
      <c r="A667" s="35"/>
      <c r="B667" s="35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>
      <c r="A668" s="35"/>
      <c r="B668" s="35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>
      <c r="A669" s="35"/>
      <c r="B669" s="35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>
      <c r="A670" s="35"/>
      <c r="B670" s="35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>
      <c r="A671" s="35"/>
      <c r="B671" s="35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>
      <c r="A672" s="35"/>
      <c r="B672" s="35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>
      <c r="A673" s="35"/>
      <c r="B673" s="35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>
      <c r="A674" s="35"/>
      <c r="B674" s="35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>
      <c r="A675" s="35"/>
      <c r="B675" s="35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>
      <c r="A676" s="35"/>
      <c r="B676" s="35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>
      <c r="A677" s="35"/>
      <c r="B677" s="35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>
      <c r="A678" s="35"/>
      <c r="B678" s="35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>
      <c r="A679" s="35"/>
      <c r="B679" s="35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>
      <c r="A680" s="35"/>
      <c r="B680" s="35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>
      <c r="A681" s="35"/>
      <c r="B681" s="35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>
      <c r="A682" s="35"/>
      <c r="B682" s="35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>
      <c r="A683" s="35"/>
      <c r="B683" s="35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>
      <c r="A684" s="35"/>
      <c r="B684" s="35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>
      <c r="A685" s="35"/>
      <c r="B685" s="35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>
      <c r="A686" s="35"/>
      <c r="B686" s="35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>
      <c r="A687" s="35"/>
      <c r="B687" s="35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>
      <c r="A688" s="35"/>
      <c r="B688" s="35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>
      <c r="A689" s="35"/>
      <c r="B689" s="35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>
      <c r="A690" s="35"/>
      <c r="B690" s="35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>
      <c r="A691" s="35"/>
      <c r="B691" s="35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>
      <c r="A692" s="35"/>
      <c r="B692" s="35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>
      <c r="A693" s="35"/>
      <c r="B693" s="35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>
      <c r="A694" s="35"/>
      <c r="B694" s="35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>
      <c r="A695" s="35"/>
      <c r="B695" s="35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>
      <c r="A696" s="35"/>
      <c r="B696" s="35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>
      <c r="A697" s="35"/>
      <c r="B697" s="35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>
      <c r="A698" s="35"/>
      <c r="B698" s="35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>
      <c r="A699" s="35"/>
      <c r="B699" s="35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>
      <c r="A700" s="35"/>
      <c r="B700" s="35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>
      <c r="A701" s="35"/>
      <c r="B701" s="35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>
      <c r="A702" s="35"/>
      <c r="B702" s="35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>
      <c r="A703" s="35"/>
      <c r="B703" s="35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>
      <c r="A704" s="35"/>
      <c r="B704" s="35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>
      <c r="A705" s="35"/>
      <c r="B705" s="35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>
      <c r="A706" s="35"/>
      <c r="B706" s="35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>
      <c r="A707" s="35"/>
      <c r="B707" s="35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>
      <c r="A708" s="35"/>
      <c r="B708" s="35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>
      <c r="A709" s="35"/>
      <c r="B709" s="35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>
      <c r="A710" s="35"/>
      <c r="B710" s="35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>
      <c r="A711" s="35"/>
      <c r="B711" s="35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>
      <c r="A712" s="35"/>
      <c r="B712" s="35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>
      <c r="A713" s="35"/>
      <c r="B713" s="35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>
      <c r="A714" s="35"/>
      <c r="B714" s="35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>
      <c r="A715" s="35"/>
      <c r="B715" s="35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>
      <c r="A716" s="35"/>
      <c r="B716" s="35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>
      <c r="A717" s="35"/>
      <c r="B717" s="35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>
      <c r="A718" s="35"/>
      <c r="B718" s="35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>
      <c r="A719" s="35"/>
      <c r="B719" s="35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>
      <c r="A720" s="35"/>
      <c r="B720" s="35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>
      <c r="A721" s="35"/>
      <c r="B721" s="35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>
      <c r="A722" s="35"/>
      <c r="B722" s="35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>
      <c r="A723" s="35"/>
      <c r="B723" s="35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>
      <c r="A724" s="35"/>
      <c r="B724" s="35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>
      <c r="A725" s="35"/>
      <c r="B725" s="35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>
      <c r="A726" s="35"/>
      <c r="B726" s="35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>
      <c r="A727" s="35"/>
      <c r="B727" s="35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>
      <c r="A728" s="35"/>
      <c r="B728" s="35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>
      <c r="A729" s="35"/>
      <c r="B729" s="35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>
      <c r="A730" s="35"/>
      <c r="B730" s="35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>
      <c r="A731" s="35"/>
      <c r="B731" s="35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>
      <c r="A732" s="35"/>
      <c r="B732" s="35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>
      <c r="A733" s="35"/>
      <c r="B733" s="35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>
      <c r="A734" s="35"/>
      <c r="B734" s="35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>
      <c r="A735" s="35"/>
      <c r="B735" s="35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>
      <c r="A736" s="35"/>
      <c r="B736" s="35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>
      <c r="A737" s="35"/>
      <c r="B737" s="35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>
      <c r="A738" s="35"/>
      <c r="B738" s="35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>
      <c r="A739" s="35"/>
      <c r="B739" s="35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>
      <c r="A740" s="35"/>
      <c r="B740" s="35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>
      <c r="A741" s="35"/>
      <c r="B741" s="35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>
      <c r="A742" s="35"/>
      <c r="B742" s="35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>
      <c r="A743" s="35"/>
      <c r="B743" s="35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>
      <c r="A744" s="35"/>
      <c r="B744" s="35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>
      <c r="A745" s="35"/>
      <c r="B745" s="35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>
      <c r="A746" s="35"/>
      <c r="B746" s="35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>
      <c r="A747" s="35"/>
      <c r="B747" s="35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>
      <c r="A748" s="35"/>
      <c r="B748" s="35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>
      <c r="A749" s="35"/>
      <c r="B749" s="35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>
      <c r="A750" s="35"/>
      <c r="B750" s="35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>
      <c r="A751" s="35"/>
      <c r="B751" s="35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>
      <c r="A752" s="35"/>
      <c r="B752" s="35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>
      <c r="A753" s="35"/>
      <c r="B753" s="35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>
      <c r="A754" s="35"/>
      <c r="B754" s="35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>
      <c r="A755" s="35"/>
      <c r="B755" s="35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>
      <c r="A756" s="35"/>
      <c r="B756" s="35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>
      <c r="A757" s="35"/>
      <c r="B757" s="35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>
      <c r="A758" s="35"/>
      <c r="B758" s="35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>
      <c r="A759" s="35"/>
      <c r="B759" s="35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>
      <c r="A760" s="35"/>
      <c r="B760" s="35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>
      <c r="A761" s="35"/>
      <c r="B761" s="35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>
      <c r="A762" s="35"/>
      <c r="B762" s="35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>
      <c r="A763" s="35"/>
      <c r="B763" s="35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>
      <c r="A764" s="35"/>
      <c r="B764" s="35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>
      <c r="A765" s="35"/>
      <c r="B765" s="35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>
      <c r="A766" s="35"/>
      <c r="B766" s="35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>
      <c r="A767" s="35"/>
      <c r="B767" s="35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>
      <c r="A768" s="35"/>
      <c r="B768" s="35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>
      <c r="A769" s="35"/>
      <c r="B769" s="35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>
      <c r="A770" s="35"/>
      <c r="B770" s="35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>
      <c r="A771" s="35"/>
      <c r="B771" s="35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>
      <c r="A772" s="35"/>
      <c r="B772" s="35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>
      <c r="A773" s="35"/>
      <c r="B773" s="35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>
      <c r="A774" s="35"/>
      <c r="B774" s="35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>
      <c r="A775" s="35"/>
      <c r="B775" s="35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>
      <c r="A776" s="35"/>
      <c r="B776" s="35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>
      <c r="A777" s="35"/>
      <c r="B777" s="35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>
      <c r="A778" s="35"/>
      <c r="B778" s="35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>
      <c r="A779" s="35"/>
      <c r="B779" s="35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>
      <c r="A780" s="35"/>
      <c r="B780" s="35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>
      <c r="A781" s="35"/>
      <c r="B781" s="35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>
      <c r="A782" s="35"/>
      <c r="B782" s="35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>
      <c r="A783" s="35"/>
      <c r="B783" s="35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>
      <c r="A784" s="35"/>
      <c r="B784" s="35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>
      <c r="A785" s="35"/>
      <c r="B785" s="35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>
      <c r="A786" s="35"/>
      <c r="B786" s="35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>
      <c r="A787" s="35"/>
      <c r="B787" s="35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>
      <c r="A788" s="35"/>
      <c r="B788" s="35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>
      <c r="A789" s="35"/>
      <c r="B789" s="35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>
      <c r="A790" s="35"/>
      <c r="B790" s="35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>
      <c r="A791" s="35"/>
      <c r="B791" s="35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>
      <c r="A792" s="35"/>
      <c r="B792" s="35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>
      <c r="A793" s="35"/>
      <c r="B793" s="35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>
      <c r="A794" s="35"/>
      <c r="B794" s="35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>
      <c r="A795" s="35"/>
      <c r="B795" s="35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>
      <c r="A796" s="35"/>
      <c r="B796" s="35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>
      <c r="A797" s="35"/>
      <c r="B797" s="35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>
      <c r="A798" s="35"/>
      <c r="B798" s="35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>
      <c r="A799" s="35"/>
      <c r="B799" s="35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>
      <c r="A800" s="35"/>
      <c r="B800" s="35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>
      <c r="A801" s="35"/>
      <c r="B801" s="35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>
      <c r="A802" s="35"/>
      <c r="B802" s="35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>
      <c r="A803" s="35"/>
      <c r="B803" s="35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>
      <c r="A804" s="35"/>
      <c r="B804" s="35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>
      <c r="A805" s="35"/>
      <c r="B805" s="35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>
      <c r="A806" s="35"/>
      <c r="B806" s="35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>
      <c r="A807" s="35"/>
      <c r="B807" s="35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>
      <c r="A808" s="35"/>
      <c r="B808" s="35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>
      <c r="A809" s="35"/>
      <c r="B809" s="35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>
      <c r="A810" s="35"/>
      <c r="B810" s="35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>
      <c r="A811" s="35"/>
      <c r="B811" s="35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>
      <c r="A812" s="35"/>
      <c r="B812" s="35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>
      <c r="A813" s="35"/>
      <c r="B813" s="35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>
      <c r="A814" s="35"/>
      <c r="B814" s="35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>
      <c r="A815" s="35"/>
      <c r="B815" s="35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>
      <c r="A816" s="35"/>
      <c r="B816" s="35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>
      <c r="A817" s="35"/>
      <c r="B817" s="35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>
      <c r="A818" s="35"/>
      <c r="B818" s="35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>
      <c r="A819" s="35"/>
      <c r="B819" s="35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>
      <c r="A820" s="35"/>
      <c r="B820" s="35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>
      <c r="A821" s="35"/>
      <c r="B821" s="35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>
      <c r="A822" s="35"/>
      <c r="B822" s="35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>
      <c r="A823" s="35"/>
      <c r="B823" s="35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>
      <c r="A824" s="35"/>
      <c r="B824" s="35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>
      <c r="A825" s="35"/>
      <c r="B825" s="35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>
      <c r="A826" s="35"/>
      <c r="B826" s="35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>
      <c r="A827" s="35"/>
      <c r="B827" s="35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>
      <c r="A828" s="35"/>
      <c r="B828" s="35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>
      <c r="A829" s="35"/>
      <c r="B829" s="35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>
      <c r="A830" s="35"/>
      <c r="B830" s="35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>
      <c r="A831" s="35"/>
      <c r="B831" s="35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>
      <c r="A832" s="35"/>
      <c r="B832" s="35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>
      <c r="A833" s="35"/>
      <c r="B833" s="35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>
      <c r="A834" s="35"/>
      <c r="B834" s="35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>
      <c r="A835" s="35"/>
      <c r="B835" s="35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>
      <c r="A836" s="35"/>
      <c r="B836" s="35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>
      <c r="A837" s="35"/>
      <c r="B837" s="35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>
      <c r="A838" s="35"/>
      <c r="B838" s="35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>
      <c r="A839" s="35"/>
      <c r="B839" s="35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>
      <c r="A840" s="35"/>
      <c r="B840" s="35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>
      <c r="A841" s="35"/>
      <c r="B841" s="35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>
      <c r="A842" s="35"/>
      <c r="B842" s="35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>
      <c r="A843" s="35"/>
      <c r="B843" s="35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>
      <c r="A844" s="35"/>
      <c r="B844" s="35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>
      <c r="A845" s="35"/>
      <c r="B845" s="35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>
      <c r="A846" s="35"/>
      <c r="B846" s="35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>
      <c r="A847" s="35"/>
      <c r="B847" s="35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>
      <c r="A848" s="35"/>
      <c r="B848" s="35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>
      <c r="A849" s="35"/>
      <c r="B849" s="35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>
      <c r="A850" s="35"/>
      <c r="B850" s="35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>
      <c r="A851" s="35"/>
      <c r="B851" s="35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>
      <c r="A852" s="35"/>
      <c r="B852" s="35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>
      <c r="A853" s="35"/>
      <c r="B853" s="35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>
      <c r="A854" s="35"/>
      <c r="B854" s="35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>
      <c r="A855" s="35"/>
      <c r="B855" s="35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>
      <c r="A856" s="35"/>
      <c r="B856" s="35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>
      <c r="A857" s="35"/>
      <c r="B857" s="35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>
      <c r="A858" s="35"/>
      <c r="B858" s="35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>
      <c r="A859" s="35"/>
      <c r="B859" s="35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>
      <c r="A860" s="35"/>
      <c r="B860" s="35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>
      <c r="A861" s="35"/>
      <c r="B861" s="35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>
      <c r="A862" s="35"/>
      <c r="B862" s="35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>
      <c r="A863" s="35"/>
      <c r="B863" s="35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>
      <c r="A864" s="35"/>
      <c r="B864" s="35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>
      <c r="A865" s="35"/>
      <c r="B865" s="35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>
      <c r="A866" s="35"/>
      <c r="B866" s="35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>
      <c r="A867" s="35"/>
      <c r="B867" s="35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>
      <c r="A868" s="35"/>
      <c r="B868" s="35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>
      <c r="A869" s="35"/>
      <c r="B869" s="35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>
      <c r="A870" s="35"/>
      <c r="B870" s="35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>
      <c r="A871" s="35"/>
      <c r="B871" s="35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>
      <c r="A872" s="35"/>
      <c r="B872" s="35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>
      <c r="A873" s="35"/>
      <c r="B873" s="35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>
      <c r="A874" s="35"/>
      <c r="B874" s="35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>
      <c r="A875" s="35"/>
      <c r="B875" s="35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>
      <c r="A876" s="35"/>
      <c r="B876" s="35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>
      <c r="A877" s="35"/>
      <c r="B877" s="35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>
      <c r="A878" s="35"/>
      <c r="B878" s="35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>
      <c r="A879" s="35"/>
      <c r="B879" s="35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>
      <c r="A880" s="35"/>
      <c r="B880" s="35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>
      <c r="A881" s="35"/>
      <c r="B881" s="35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>
      <c r="A882" s="35"/>
      <c r="B882" s="35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>
      <c r="A883" s="35"/>
      <c r="B883" s="35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>
      <c r="A884" s="35"/>
      <c r="B884" s="35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>
      <c r="A885" s="35"/>
      <c r="B885" s="35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>
      <c r="A886" s="35"/>
      <c r="B886" s="35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>
      <c r="A887" s="35"/>
      <c r="B887" s="35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>
      <c r="A888" s="35"/>
      <c r="B888" s="35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>
      <c r="A889" s="35"/>
      <c r="B889" s="35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>
      <c r="A890" s="35"/>
      <c r="B890" s="35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>
      <c r="A891" s="35"/>
      <c r="B891" s="35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>
      <c r="A892" s="35"/>
      <c r="B892" s="35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>
      <c r="A893" s="35"/>
      <c r="B893" s="35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>
      <c r="A894" s="35"/>
      <c r="B894" s="35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>
      <c r="A895" s="35"/>
      <c r="B895" s="35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>
      <c r="A896" s="35"/>
      <c r="B896" s="35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>
      <c r="A897" s="35"/>
      <c r="B897" s="35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>
      <c r="A898" s="35"/>
      <c r="B898" s="35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>
      <c r="A899" s="35"/>
      <c r="B899" s="35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>
      <c r="A900" s="35"/>
      <c r="B900" s="35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>
      <c r="A901" s="35"/>
      <c r="B901" s="35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>
      <c r="A902" s="35"/>
      <c r="B902" s="35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>
      <c r="A903" s="35"/>
      <c r="B903" s="35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>
      <c r="A904" s="35"/>
      <c r="B904" s="35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>
      <c r="A905" s="35"/>
      <c r="B905" s="35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>
      <c r="A906" s="35"/>
      <c r="B906" s="35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>
      <c r="A907" s="35"/>
      <c r="B907" s="35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>
      <c r="A908" s="35"/>
      <c r="B908" s="35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>
      <c r="A909" s="35"/>
      <c r="B909" s="35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>
      <c r="A910" s="35"/>
      <c r="B910" s="35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>
      <c r="A911" s="35"/>
      <c r="B911" s="35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>
      <c r="A912" s="35"/>
      <c r="B912" s="35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>
      <c r="A913" s="35"/>
      <c r="B913" s="35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>
      <c r="A914" s="35"/>
      <c r="B914" s="35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>
      <c r="A915" s="35"/>
      <c r="B915" s="35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>
      <c r="A916" s="35"/>
      <c r="B916" s="35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>
      <c r="A917" s="35"/>
      <c r="B917" s="35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>
      <c r="A918" s="35"/>
      <c r="B918" s="35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>
      <c r="A919" s="35"/>
      <c r="B919" s="35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>
      <c r="A920" s="35"/>
      <c r="B920" s="35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>
      <c r="A921" s="35"/>
      <c r="B921" s="35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>
      <c r="A922" s="35"/>
      <c r="B922" s="35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>
      <c r="A923" s="35"/>
      <c r="B923" s="35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>
      <c r="A924" s="35"/>
      <c r="B924" s="35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>
      <c r="A925" s="35"/>
      <c r="B925" s="35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>
      <c r="A926" s="35"/>
      <c r="B926" s="35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>
      <c r="A927" s="35"/>
      <c r="B927" s="35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>
      <c r="A928" s="35"/>
      <c r="B928" s="35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>
      <c r="A929" s="35"/>
      <c r="B929" s="35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>
      <c r="A930" s="35"/>
      <c r="B930" s="35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>
      <c r="A931" s="35"/>
      <c r="B931" s="35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>
      <c r="A932" s="35"/>
      <c r="B932" s="35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>
      <c r="A933" s="35"/>
      <c r="B933" s="35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>
      <c r="A934" s="35"/>
      <c r="B934" s="35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>
      <c r="A935" s="35"/>
      <c r="B935" s="35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>
      <c r="A936" s="35"/>
      <c r="B936" s="35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>
      <c r="A937" s="35"/>
      <c r="B937" s="35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>
      <c r="A938" s="35"/>
      <c r="B938" s="35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>
      <c r="A939" s="35"/>
      <c r="B939" s="35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>
      <c r="A940" s="35"/>
      <c r="B940" s="35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>
      <c r="A941" s="35"/>
      <c r="B941" s="35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>
      <c r="A942" s="35"/>
      <c r="B942" s="35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>
      <c r="A943" s="35"/>
      <c r="B943" s="35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>
      <c r="A944" s="35"/>
      <c r="B944" s="35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>
      <c r="A945" s="35"/>
      <c r="B945" s="35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>
      <c r="A946" s="35"/>
      <c r="B946" s="35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>
      <c r="A947" s="35"/>
      <c r="B947" s="35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>
      <c r="A948" s="35"/>
      <c r="B948" s="35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>
      <c r="A949" s="35"/>
      <c r="B949" s="35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>
      <c r="A950" s="35"/>
      <c r="B950" s="35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>
      <c r="A951" s="35"/>
      <c r="B951" s="35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>
      <c r="A952" s="35"/>
      <c r="B952" s="35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>
      <c r="A953" s="35"/>
      <c r="B953" s="35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>
      <c r="A954" s="35"/>
      <c r="B954" s="35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>
      <c r="A955" s="35"/>
      <c r="B955" s="35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>
      <c r="A956" s="35"/>
      <c r="B956" s="35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>
      <c r="A957" s="35"/>
      <c r="B957" s="35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>
      <c r="A958" s="35"/>
      <c r="B958" s="35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>
      <c r="A959" s="35"/>
      <c r="B959" s="35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>
      <c r="A960" s="35"/>
      <c r="B960" s="35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>
      <c r="A961" s="35"/>
      <c r="B961" s="35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>
      <c r="A962" s="35"/>
      <c r="B962" s="35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>
      <c r="A963" s="35"/>
      <c r="B963" s="35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>
      <c r="A964" s="35"/>
      <c r="B964" s="35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>
      <c r="A965" s="35"/>
      <c r="B965" s="35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>
      <c r="A966" s="35"/>
      <c r="B966" s="35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>
      <c r="A967" s="35"/>
      <c r="B967" s="35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>
      <c r="A968" s="35"/>
      <c r="B968" s="35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>
      <c r="A969" s="35"/>
      <c r="B969" s="35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>
      <c r="A970" s="35"/>
      <c r="B970" s="35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>
      <c r="A971" s="35"/>
      <c r="B971" s="35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>
      <c r="A972" s="35"/>
      <c r="B972" s="35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>
      <c r="A973" s="35"/>
      <c r="B973" s="35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>
      <c r="A974" s="35"/>
      <c r="B974" s="35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>
      <c r="A975" s="35"/>
      <c r="B975" s="35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>
      <c r="A976" s="35"/>
      <c r="B976" s="35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>
      <c r="A977" s="35"/>
      <c r="B977" s="35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>
      <c r="A978" s="35"/>
      <c r="B978" s="35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>
      <c r="A979" s="35"/>
      <c r="B979" s="35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>
      <c r="A980" s="35"/>
      <c r="B980" s="35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>
      <c r="A981" s="35"/>
      <c r="B981" s="35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>
      <c r="A982" s="35"/>
      <c r="B982" s="35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>
      <c r="A983" s="35"/>
      <c r="B983" s="35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>
      <c r="A984" s="35"/>
      <c r="B984" s="35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>
      <c r="A985" s="35"/>
      <c r="B985" s="35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>
      <c r="A986" s="35"/>
      <c r="B986" s="35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>
      <c r="A987" s="35"/>
      <c r="B987" s="35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>
      <c r="A988" s="35"/>
      <c r="B988" s="35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>
      <c r="A989" s="35"/>
      <c r="B989" s="35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>
      <c r="A990" s="35"/>
      <c r="B990" s="35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>
      <c r="A991" s="35"/>
      <c r="B991" s="35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>
      <c r="A992" s="35"/>
      <c r="B992" s="35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>
      <c r="A993" s="35"/>
      <c r="B993" s="35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>
      <c r="A994" s="35"/>
      <c r="B994" s="35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>
      <c r="A995" s="35"/>
      <c r="B995" s="35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>
      <c r="A996" s="35"/>
      <c r="B996" s="35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>
      <c r="A997" s="35"/>
      <c r="B997" s="35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>
      <c r="A998" s="35"/>
      <c r="B998" s="35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>
      <c r="A999" s="35"/>
      <c r="B999" s="35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>
      <c r="A1000" s="35"/>
      <c r="B1000" s="35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mergeCells count="8">
    <mergeCell ref="A3:A5"/>
    <mergeCell ref="B3:B5"/>
    <mergeCell ref="C3:C5"/>
    <mergeCell ref="D3:E3"/>
    <mergeCell ref="F3:G3"/>
    <mergeCell ref="I3:I5"/>
    <mergeCell ref="J3:J5"/>
    <mergeCell ref="K3:K5"/>
  </mergeCells>
  <conditionalFormatting sqref="K6:K99">
    <cfRule type="cellIs" dxfId="0" priority="1" operator="equal">
      <formula>"A"</formula>
    </cfRule>
  </conditionalFormatting>
  <conditionalFormatting sqref="K6:K99">
    <cfRule type="cellIs" dxfId="1" priority="2" operator="equal">
      <formula>"B"</formula>
    </cfRule>
  </conditionalFormatting>
  <conditionalFormatting sqref="K6:K99">
    <cfRule type="cellIs" dxfId="2" priority="3" operator="equal">
      <formula>"C"</formula>
    </cfRule>
  </conditionalFormatting>
  <conditionalFormatting sqref="K6:K99">
    <cfRule type="cellIs" dxfId="3" priority="4" operator="equal">
      <formula>"D"</formula>
    </cfRule>
  </conditionalFormatting>
  <conditionalFormatting sqref="K6:K99">
    <cfRule type="cellIs" dxfId="4" priority="5" operator="equal">
      <formula>"E"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5"/>
    <col customWidth="1" min="3" max="3" width="31.25"/>
    <col customWidth="1" min="4" max="4" width="8.13"/>
    <col customWidth="1" min="5" max="5" width="9.88"/>
  </cols>
  <sheetData>
    <row r="1">
      <c r="A1" s="61" t="s">
        <v>127</v>
      </c>
      <c r="B1" s="62"/>
    </row>
    <row r="2">
      <c r="A2" s="62"/>
      <c r="B2" s="62"/>
    </row>
    <row r="3">
      <c r="A3" s="15" t="s">
        <v>157</v>
      </c>
      <c r="B3" s="15" t="s">
        <v>1</v>
      </c>
      <c r="C3" s="15" t="s">
        <v>2</v>
      </c>
      <c r="D3" s="63" t="s">
        <v>152</v>
      </c>
      <c r="E3" s="63" t="s">
        <v>154</v>
      </c>
    </row>
    <row r="4">
      <c r="A4" s="19"/>
      <c r="B4" s="19"/>
      <c r="C4" s="19"/>
      <c r="D4" s="19"/>
      <c r="E4" s="19"/>
      <c r="F4" s="64"/>
      <c r="G4" s="64"/>
      <c r="H4" s="64"/>
      <c r="I4" s="64"/>
      <c r="J4" s="64"/>
    </row>
    <row r="5">
      <c r="A5" s="50">
        <f>'INPUT DAFTAR PESERTA'!A4</f>
        <v>1</v>
      </c>
      <c r="B5" s="50">
        <f>'INPUT DAFTAR PESERTA'!B4</f>
        <v>2109046048</v>
      </c>
      <c r="C5" s="22" t="str">
        <f>'INPUT DAFTAR PESERTA'!C4</f>
        <v>Rafif Fitriansyah Nasution</v>
      </c>
      <c r="D5" s="25">
        <f>'NILAI AKHIR'!I6</f>
        <v>64.31875</v>
      </c>
      <c r="E5" s="50" t="str">
        <f>'NILAI AKHIR'!K6</f>
        <v>C</v>
      </c>
    </row>
    <row r="6">
      <c r="A6" s="50">
        <f>'INPUT DAFTAR PESERTA'!A5</f>
        <v>2</v>
      </c>
      <c r="B6" s="50">
        <f>'INPUT DAFTAR PESERTA'!B5</f>
        <v>2109046053</v>
      </c>
      <c r="C6" s="22" t="str">
        <f>'INPUT DAFTAR PESERTA'!C5</f>
        <v>Muhamaad Rizky Ramdani</v>
      </c>
      <c r="D6" s="25">
        <f>'NILAI AKHIR'!I7</f>
        <v>61.6</v>
      </c>
      <c r="E6" s="50" t="str">
        <f>'NILAI AKHIR'!K7</f>
        <v>C</v>
      </c>
      <c r="G6" s="65" t="s">
        <v>158</v>
      </c>
      <c r="H6" s="65" t="s">
        <v>159</v>
      </c>
    </row>
    <row r="7">
      <c r="A7" s="50">
        <f>'INPUT DAFTAR PESERTA'!A6</f>
        <v>3</v>
      </c>
      <c r="B7" s="50">
        <f>'INPUT DAFTAR PESERTA'!B6</f>
        <v>2409046015</v>
      </c>
      <c r="C7" s="22" t="str">
        <f>'INPUT DAFTAR PESERTA'!C6</f>
        <v>Nur Fadillah Septadi</v>
      </c>
      <c r="D7" s="25">
        <f>'NILAI AKHIR'!I8</f>
        <v>67.23125</v>
      </c>
      <c r="E7" s="50" t="str">
        <f>'NILAI AKHIR'!K8</f>
        <v>C</v>
      </c>
      <c r="G7" s="66" t="s">
        <v>160</v>
      </c>
      <c r="H7" s="66">
        <f>COUNTIF(E5:E98,"A")</f>
        <v>8</v>
      </c>
    </row>
    <row r="8">
      <c r="A8" s="50">
        <f>'INPUT DAFTAR PESERTA'!A7</f>
        <v>4</v>
      </c>
      <c r="B8" s="50">
        <f>'INPUT DAFTAR PESERTA'!B7</f>
        <v>2409046026</v>
      </c>
      <c r="C8" s="22" t="str">
        <f>'INPUT DAFTAR PESERTA'!C7</f>
        <v>Aisha Aqmarina Fathiyya Hawwa</v>
      </c>
      <c r="D8" s="25">
        <f>'NILAI AKHIR'!I9</f>
        <v>60.24375</v>
      </c>
      <c r="E8" s="50" t="str">
        <f>'NILAI AKHIR'!K9</f>
        <v>C</v>
      </c>
      <c r="G8" s="66" t="s">
        <v>161</v>
      </c>
      <c r="H8" s="66">
        <f>COUNTIF(E5:E98,"B")</f>
        <v>18</v>
      </c>
    </row>
    <row r="9">
      <c r="A9" s="50">
        <f>'INPUT DAFTAR PESERTA'!A8</f>
        <v>5</v>
      </c>
      <c r="B9" s="50">
        <f>'INPUT DAFTAR PESERTA'!B8</f>
        <v>2409046027</v>
      </c>
      <c r="C9" s="22" t="str">
        <f>'INPUT DAFTAR PESERTA'!C8</f>
        <v>Faykar Alfarisi Armadani</v>
      </c>
      <c r="D9" s="25">
        <f>'NILAI AKHIR'!I10</f>
        <v>66.51875</v>
      </c>
      <c r="E9" s="50" t="str">
        <f>'NILAI AKHIR'!K10</f>
        <v>C</v>
      </c>
      <c r="G9" s="66" t="s">
        <v>162</v>
      </c>
      <c r="H9" s="66">
        <f>COUNTIF(E5:E98,"C")</f>
        <v>21</v>
      </c>
    </row>
    <row r="10">
      <c r="A10" s="50">
        <f>'INPUT DAFTAR PESERTA'!A9</f>
        <v>6</v>
      </c>
      <c r="B10" s="50">
        <f>'INPUT DAFTAR PESERTA'!B9</f>
        <v>2409046034</v>
      </c>
      <c r="C10" s="22" t="str">
        <f>'INPUT DAFTAR PESERTA'!C9</f>
        <v>Annisa Nurdin</v>
      </c>
      <c r="D10" s="25">
        <f>'NILAI AKHIR'!I11</f>
        <v>60.5375</v>
      </c>
      <c r="E10" s="50" t="str">
        <f>'NILAI AKHIR'!K11</f>
        <v>C</v>
      </c>
      <c r="G10" s="66" t="s">
        <v>163</v>
      </c>
      <c r="H10" s="66">
        <f>COUNTIF(E5:E98,"D")</f>
        <v>17</v>
      </c>
    </row>
    <row r="11">
      <c r="A11" s="50">
        <f>'INPUT DAFTAR PESERTA'!A10</f>
        <v>7</v>
      </c>
      <c r="B11" s="50">
        <f>'INPUT DAFTAR PESERTA'!B10</f>
        <v>2409046042</v>
      </c>
      <c r="C11" s="22" t="str">
        <f>'INPUT DAFTAR PESERTA'!C10</f>
        <v>Aflahal Aula</v>
      </c>
      <c r="D11" s="25">
        <f>'NILAI AKHIR'!I12</f>
        <v>74.88125</v>
      </c>
      <c r="E11" s="50" t="str">
        <f>'NILAI AKHIR'!K12</f>
        <v>B</v>
      </c>
      <c r="G11" s="66" t="s">
        <v>164</v>
      </c>
      <c r="H11" s="66">
        <f>COUNTIF(E5:E98,"E")</f>
        <v>30</v>
      </c>
    </row>
    <row r="12">
      <c r="A12" s="50">
        <f>'INPUT DAFTAR PESERTA'!A11</f>
        <v>8</v>
      </c>
      <c r="B12" s="50">
        <f>'INPUT DAFTAR PESERTA'!B11</f>
        <v>2409046045</v>
      </c>
      <c r="C12" s="22" t="str">
        <f>'INPUT DAFTAR PESERTA'!C11</f>
        <v>Jofan Ananda Sulle</v>
      </c>
      <c r="D12" s="25">
        <f>'NILAI AKHIR'!I13</f>
        <v>64.88125</v>
      </c>
      <c r="E12" s="50" t="str">
        <f>'NILAI AKHIR'!K13</f>
        <v>C</v>
      </c>
    </row>
    <row r="13">
      <c r="A13" s="50">
        <f>'INPUT DAFTAR PESERTA'!A12</f>
        <v>9</v>
      </c>
      <c r="B13" s="50">
        <f>'INPUT DAFTAR PESERTA'!B12</f>
        <v>2409046046</v>
      </c>
      <c r="C13" s="22" t="str">
        <f>'INPUT DAFTAR PESERTA'!C12</f>
        <v>Muhammad Ananda Harisyah Putra</v>
      </c>
      <c r="D13" s="25">
        <f>'NILAI AKHIR'!I14</f>
        <v>81.48125</v>
      </c>
      <c r="E13" s="50" t="str">
        <f>'NILAI AKHIR'!K14</f>
        <v>A</v>
      </c>
    </row>
    <row r="14">
      <c r="A14" s="50">
        <f>'INPUT DAFTAR PESERTA'!A13</f>
        <v>10</v>
      </c>
      <c r="B14" s="50">
        <f>'INPUT DAFTAR PESERTA'!B13</f>
        <v>2409046048</v>
      </c>
      <c r="C14" s="22" t="str">
        <f>'INPUT DAFTAR PESERTA'!C13</f>
        <v>Zaid Iman At-Tamam</v>
      </c>
      <c r="D14" s="25">
        <f>'NILAI AKHIR'!I15</f>
        <v>68.225</v>
      </c>
      <c r="E14" s="50" t="str">
        <f>'NILAI AKHIR'!K15</f>
        <v>C</v>
      </c>
    </row>
    <row r="15">
      <c r="A15" s="50">
        <f>'INPUT DAFTAR PESERTA'!A14</f>
        <v>11</v>
      </c>
      <c r="B15" s="50">
        <f>'INPUT DAFTAR PESERTA'!B14</f>
        <v>2409046050</v>
      </c>
      <c r="C15" s="22" t="str">
        <f>'INPUT DAFTAR PESERTA'!C14</f>
        <v>Fachri Zia Pasha</v>
      </c>
      <c r="D15" s="25">
        <f>'NILAI AKHIR'!I16</f>
        <v>82.4</v>
      </c>
      <c r="E15" s="50" t="str">
        <f>'NILAI AKHIR'!K16</f>
        <v>A</v>
      </c>
    </row>
    <row r="16">
      <c r="A16" s="50">
        <f>'INPUT DAFTAR PESERTA'!A15</f>
        <v>12</v>
      </c>
      <c r="B16" s="50">
        <f>'INPUT DAFTAR PESERTA'!B15</f>
        <v>2409046051</v>
      </c>
      <c r="C16" s="22" t="str">
        <f>'INPUT DAFTAR PESERTA'!C15</f>
        <v>Aziffa Reisazalea</v>
      </c>
      <c r="D16" s="25">
        <f>'NILAI AKHIR'!I17</f>
        <v>83.50625</v>
      </c>
      <c r="E16" s="50" t="str">
        <f>'NILAI AKHIR'!K17</f>
        <v>A</v>
      </c>
    </row>
    <row r="17">
      <c r="A17" s="50">
        <f>'INPUT DAFTAR PESERTA'!A16</f>
        <v>13</v>
      </c>
      <c r="B17" s="50">
        <f>'INPUT DAFTAR PESERTA'!B16</f>
        <v>2409046054</v>
      </c>
      <c r="C17" s="22" t="str">
        <f>'INPUT DAFTAR PESERTA'!C16</f>
        <v>Suci Andra Pramitha</v>
      </c>
      <c r="D17" s="25">
        <f>'NILAI AKHIR'!I18</f>
        <v>57.9125</v>
      </c>
      <c r="E17" s="50" t="str">
        <f>'NILAI AKHIR'!K18</f>
        <v>D</v>
      </c>
    </row>
    <row r="18">
      <c r="A18" s="50">
        <f>'INPUT DAFTAR PESERTA'!A17</f>
        <v>14</v>
      </c>
      <c r="B18" s="50">
        <f>'INPUT DAFTAR PESERTA'!B17</f>
        <v>2409046056</v>
      </c>
      <c r="C18" s="22" t="str">
        <f>'INPUT DAFTAR PESERTA'!C17</f>
        <v>Reira Praditha</v>
      </c>
      <c r="D18" s="25">
        <f>'NILAI AKHIR'!I19</f>
        <v>78.46875</v>
      </c>
      <c r="E18" s="50" t="str">
        <f>'NILAI AKHIR'!K19</f>
        <v>B</v>
      </c>
    </row>
    <row r="19">
      <c r="A19" s="50">
        <f>'INPUT DAFTAR PESERTA'!A18</f>
        <v>15</v>
      </c>
      <c r="B19" s="50">
        <f>'INPUT DAFTAR PESERTA'!B18</f>
        <v>2409046060</v>
      </c>
      <c r="C19" s="22" t="str">
        <f>'INPUT DAFTAR PESERTA'!C18</f>
        <v>Ainaya Salsabila</v>
      </c>
      <c r="D19" s="25">
        <f>'NILAI AKHIR'!I20</f>
        <v>82.94375</v>
      </c>
      <c r="E19" s="50" t="str">
        <f>'NILAI AKHIR'!K20</f>
        <v>A</v>
      </c>
    </row>
    <row r="20">
      <c r="A20" s="50">
        <f>'INPUT DAFTAR PESERTA'!A19</f>
        <v>16</v>
      </c>
      <c r="B20" s="50">
        <f>'INPUT DAFTAR PESERTA'!B19</f>
        <v>2504096069</v>
      </c>
      <c r="C20" s="22" t="str">
        <f>'INPUT DAFTAR PESERTA'!C19</f>
        <v>Hafidz Ihsan Izzuddin</v>
      </c>
      <c r="D20" s="25">
        <f>'NILAI AKHIR'!I21</f>
        <v>36.625</v>
      </c>
      <c r="E20" s="50" t="str">
        <f>'NILAI AKHIR'!K21</f>
        <v>E</v>
      </c>
    </row>
    <row r="21">
      <c r="A21" s="50">
        <f>'INPUT DAFTAR PESERTA'!A20</f>
        <v>17</v>
      </c>
      <c r="B21" s="50">
        <f>'INPUT DAFTAR PESERTA'!B20</f>
        <v>2509046001</v>
      </c>
      <c r="C21" s="22" t="str">
        <f>'INPUT DAFTAR PESERTA'!C20</f>
        <v>Nurman Dwi Prasetyo</v>
      </c>
      <c r="D21" s="25">
        <f>'NILAI AKHIR'!I22</f>
        <v>70.45</v>
      </c>
      <c r="E21" s="50" t="str">
        <f>'NILAI AKHIR'!K22</f>
        <v>B</v>
      </c>
    </row>
    <row r="22">
      <c r="A22" s="50">
        <f>'INPUT DAFTAR PESERTA'!A21</f>
        <v>18</v>
      </c>
      <c r="B22" s="50">
        <f>'INPUT DAFTAR PESERTA'!B21</f>
        <v>2509046002</v>
      </c>
      <c r="C22" s="22" t="str">
        <f>'INPUT DAFTAR PESERTA'!C21</f>
        <v>Farid Akmal</v>
      </c>
      <c r="D22" s="25">
        <f>'NILAI AKHIR'!I23</f>
        <v>79.025</v>
      </c>
      <c r="E22" s="50" t="str">
        <f>'NILAI AKHIR'!K23</f>
        <v>B</v>
      </c>
    </row>
    <row r="23">
      <c r="A23" s="50">
        <f>'INPUT DAFTAR PESERTA'!A22</f>
        <v>19</v>
      </c>
      <c r="B23" s="50">
        <f>'INPUT DAFTAR PESERTA'!B22</f>
        <v>2509046003</v>
      </c>
      <c r="C23" s="22" t="str">
        <f>'INPUT DAFTAR PESERTA'!C22</f>
        <v>Azzahra Tusitha</v>
      </c>
      <c r="D23" s="25">
        <f>'NILAI AKHIR'!I24</f>
        <v>82.6</v>
      </c>
      <c r="E23" s="50" t="str">
        <f>'NILAI AKHIR'!K24</f>
        <v>A</v>
      </c>
    </row>
    <row r="24">
      <c r="A24" s="50">
        <f>'INPUT DAFTAR PESERTA'!A23</f>
        <v>20</v>
      </c>
      <c r="B24" s="50">
        <f>'INPUT DAFTAR PESERTA'!B23</f>
        <v>2509046004</v>
      </c>
      <c r="C24" s="22" t="str">
        <f>'INPUT DAFTAR PESERTA'!C23</f>
        <v>Ahmadia Syarifah Lauradinta</v>
      </c>
      <c r="D24" s="25">
        <f>'NILAI AKHIR'!I25</f>
        <v>71.63125</v>
      </c>
      <c r="E24" s="50" t="str">
        <f>'NILAI AKHIR'!K25</f>
        <v>B</v>
      </c>
    </row>
    <row r="25">
      <c r="A25" s="50">
        <f>'INPUT DAFTAR PESERTA'!A24</f>
        <v>21</v>
      </c>
      <c r="B25" s="50">
        <f>'INPUT DAFTAR PESERTA'!B24</f>
        <v>2509046005</v>
      </c>
      <c r="C25" s="22" t="str">
        <f>'INPUT DAFTAR PESERTA'!C24</f>
        <v>Seysa Puji Annura</v>
      </c>
      <c r="D25" s="25">
        <f>'NILAI AKHIR'!I26</f>
        <v>58.884375</v>
      </c>
      <c r="E25" s="50" t="str">
        <f>'NILAI AKHIR'!K26</f>
        <v>D</v>
      </c>
    </row>
    <row r="26">
      <c r="A26" s="50">
        <f>'INPUT DAFTAR PESERTA'!A25</f>
        <v>22</v>
      </c>
      <c r="B26" s="50">
        <f>'INPUT DAFTAR PESERTA'!B25</f>
        <v>2509046006</v>
      </c>
      <c r="C26" s="22" t="str">
        <f>'INPUT DAFTAR PESERTA'!C25</f>
        <v>Gita Ramadhani Supriyadi</v>
      </c>
      <c r="D26" s="25">
        <f>'NILAI AKHIR'!I27</f>
        <v>8.75</v>
      </c>
      <c r="E26" s="50" t="str">
        <f>'NILAI AKHIR'!K27</f>
        <v>E</v>
      </c>
    </row>
    <row r="27">
      <c r="A27" s="50">
        <f>'INPUT DAFTAR PESERTA'!A26</f>
        <v>23</v>
      </c>
      <c r="B27" s="50">
        <f>'INPUT DAFTAR PESERTA'!B26</f>
        <v>2509046007</v>
      </c>
      <c r="C27" s="22" t="str">
        <f>'INPUT DAFTAR PESERTA'!C26</f>
        <v>Fabio Cannavaro Sinaga</v>
      </c>
      <c r="D27" s="25">
        <f>'NILAI AKHIR'!I28</f>
        <v>69.65625</v>
      </c>
      <c r="E27" s="50" t="str">
        <f>'NILAI AKHIR'!K28</f>
        <v>C</v>
      </c>
    </row>
    <row r="28">
      <c r="A28" s="50">
        <f>'INPUT DAFTAR PESERTA'!A27</f>
        <v>24</v>
      </c>
      <c r="B28" s="50">
        <f>'INPUT DAFTAR PESERTA'!B27</f>
        <v>2509046008</v>
      </c>
      <c r="C28" s="22" t="str">
        <f>'INPUT DAFTAR PESERTA'!C27</f>
        <v>Hayatun Nisa</v>
      </c>
      <c r="D28" s="25">
        <f>'NILAI AKHIR'!I29</f>
        <v>70.525</v>
      </c>
      <c r="E28" s="50" t="str">
        <f>'NILAI AKHIR'!K29</f>
        <v>B</v>
      </c>
    </row>
    <row r="29">
      <c r="A29" s="50">
        <f>'INPUT DAFTAR PESERTA'!A28</f>
        <v>25</v>
      </c>
      <c r="B29" s="50">
        <f>'INPUT DAFTAR PESERTA'!B28</f>
        <v>2509046009</v>
      </c>
      <c r="C29" s="22" t="str">
        <f>'INPUT DAFTAR PESERTA'!C28</f>
        <v>Khalilah Denissa Ardia Cahyani</v>
      </c>
      <c r="D29" s="25">
        <f>'NILAI AKHIR'!I30</f>
        <v>59.1875</v>
      </c>
      <c r="E29" s="50" t="str">
        <f>'NILAI AKHIR'!K30</f>
        <v>D</v>
      </c>
    </row>
    <row r="30">
      <c r="A30" s="50">
        <f>'INPUT DAFTAR PESERTA'!A29</f>
        <v>26</v>
      </c>
      <c r="B30" s="50">
        <f>'INPUT DAFTAR PESERTA'!B29</f>
        <v>2509046010</v>
      </c>
      <c r="C30" s="22" t="str">
        <f>'INPUT DAFTAR PESERTA'!C29</f>
        <v>Athila Nadya Zalikha</v>
      </c>
      <c r="D30" s="25">
        <f>'NILAI AKHIR'!I31</f>
        <v>33.75625</v>
      </c>
      <c r="E30" s="50" t="str">
        <f>'NILAI AKHIR'!K31</f>
        <v>E</v>
      </c>
    </row>
    <row r="31">
      <c r="A31" s="50">
        <f>'INPUT DAFTAR PESERTA'!A30</f>
        <v>27</v>
      </c>
      <c r="B31" s="50">
        <f>'INPUT DAFTAR PESERTA'!B30</f>
        <v>2509046011</v>
      </c>
      <c r="C31" s="22" t="str">
        <f>'INPUT DAFTAR PESERTA'!C30</f>
        <v>Aditya Pratama</v>
      </c>
      <c r="D31" s="25">
        <f>'NILAI AKHIR'!I32</f>
        <v>34.39375</v>
      </c>
      <c r="E31" s="50" t="str">
        <f>'NILAI AKHIR'!K32</f>
        <v>E</v>
      </c>
    </row>
    <row r="32">
      <c r="A32" s="50">
        <f>'INPUT DAFTAR PESERTA'!A31</f>
        <v>28</v>
      </c>
      <c r="B32" s="50">
        <f>'INPUT DAFTAR PESERTA'!B31</f>
        <v>2509046012</v>
      </c>
      <c r="C32" s="22" t="str">
        <f>'INPUT DAFTAR PESERTA'!C31</f>
        <v>Atiiqah Permata Hati</v>
      </c>
      <c r="D32" s="25">
        <f>'NILAI AKHIR'!I33</f>
        <v>60.2625</v>
      </c>
      <c r="E32" s="50" t="str">
        <f>'NILAI AKHIR'!K33</f>
        <v>C</v>
      </c>
    </row>
    <row r="33">
      <c r="A33" s="50">
        <f>'INPUT DAFTAR PESERTA'!A32</f>
        <v>29</v>
      </c>
      <c r="B33" s="50">
        <f>'INPUT DAFTAR PESERTA'!B32</f>
        <v>2509046013</v>
      </c>
      <c r="C33" s="22" t="str">
        <f>'INPUT DAFTAR PESERTA'!C32</f>
        <v>Yolanda Denis Aprilia</v>
      </c>
      <c r="D33" s="25">
        <f>'NILAI AKHIR'!I34</f>
        <v>57.05625</v>
      </c>
      <c r="E33" s="50" t="str">
        <f>'NILAI AKHIR'!K34</f>
        <v>D</v>
      </c>
    </row>
    <row r="34">
      <c r="A34" s="50">
        <f>'INPUT DAFTAR PESERTA'!A33</f>
        <v>30</v>
      </c>
      <c r="B34" s="50">
        <f>'INPUT DAFTAR PESERTA'!B33</f>
        <v>2509046014</v>
      </c>
      <c r="C34" s="22" t="str">
        <f>'INPUT DAFTAR PESERTA'!C33</f>
        <v>Farah Najma</v>
      </c>
      <c r="D34" s="25">
        <f>'NILAI AKHIR'!I35</f>
        <v>62.7125</v>
      </c>
      <c r="E34" s="50" t="str">
        <f>'NILAI AKHIR'!K35</f>
        <v>C</v>
      </c>
    </row>
    <row r="35">
      <c r="A35" s="50">
        <f>'INPUT DAFTAR PESERTA'!A34</f>
        <v>31</v>
      </c>
      <c r="B35" s="50">
        <f>'INPUT DAFTAR PESERTA'!B34</f>
        <v>2509046015</v>
      </c>
      <c r="C35" s="22" t="str">
        <f>'INPUT DAFTAR PESERTA'!C34</f>
        <v>Muhammad Abdul Mu'in</v>
      </c>
      <c r="D35" s="25">
        <f>'NILAI AKHIR'!I36</f>
        <v>67.33125</v>
      </c>
      <c r="E35" s="50" t="str">
        <f>'NILAI AKHIR'!K36</f>
        <v>C</v>
      </c>
    </row>
    <row r="36">
      <c r="A36" s="50">
        <f>'INPUT DAFTAR PESERTA'!A35</f>
        <v>32</v>
      </c>
      <c r="B36" s="50">
        <f>'INPUT DAFTAR PESERTA'!B35</f>
        <v>2509046016</v>
      </c>
      <c r="C36" s="22" t="str">
        <f>'INPUT DAFTAR PESERTA'!C35</f>
        <v>Muhammad Rofiq Al-Hakim</v>
      </c>
      <c r="D36" s="25">
        <f>'NILAI AKHIR'!I37</f>
        <v>48.655625</v>
      </c>
      <c r="E36" s="50" t="str">
        <f>'NILAI AKHIR'!K37</f>
        <v>D</v>
      </c>
    </row>
    <row r="37">
      <c r="A37" s="50">
        <f>'INPUT DAFTAR PESERTA'!A36</f>
        <v>33</v>
      </c>
      <c r="B37" s="50">
        <f>'INPUT DAFTAR PESERTA'!B36</f>
        <v>2509046017</v>
      </c>
      <c r="C37" s="22" t="str">
        <f>'INPUT DAFTAR PESERTA'!C36</f>
        <v>Nadia Eka Pratiwi</v>
      </c>
      <c r="D37" s="25">
        <f>'NILAI AKHIR'!I38</f>
        <v>78.225</v>
      </c>
      <c r="E37" s="50" t="str">
        <f>'NILAI AKHIR'!K38</f>
        <v>B</v>
      </c>
    </row>
    <row r="38">
      <c r="A38" s="50">
        <f>'INPUT DAFTAR PESERTA'!A37</f>
        <v>34</v>
      </c>
      <c r="B38" s="50">
        <f>'INPUT DAFTAR PESERTA'!B37</f>
        <v>2509046018</v>
      </c>
      <c r="C38" s="22" t="str">
        <f>'INPUT DAFTAR PESERTA'!C37</f>
        <v>Rayhana Erda Affiyah</v>
      </c>
      <c r="D38" s="25">
        <f>'NILAI AKHIR'!I39</f>
        <v>76.103125</v>
      </c>
      <c r="E38" s="50" t="str">
        <f>'NILAI AKHIR'!K39</f>
        <v>B</v>
      </c>
    </row>
    <row r="39">
      <c r="A39" s="50">
        <f>'INPUT DAFTAR PESERTA'!A38</f>
        <v>35</v>
      </c>
      <c r="B39" s="50">
        <f>'INPUT DAFTAR PESERTA'!B38</f>
        <v>2509046019</v>
      </c>
      <c r="C39" s="22" t="str">
        <f>'INPUT DAFTAR PESERTA'!C38</f>
        <v>Astrina Nadhiroh Illiyin</v>
      </c>
      <c r="D39" s="25">
        <f>'NILAI AKHIR'!I40</f>
        <v>76.60625</v>
      </c>
      <c r="E39" s="50" t="str">
        <f>'NILAI AKHIR'!K40</f>
        <v>B</v>
      </c>
    </row>
    <row r="40">
      <c r="A40" s="50">
        <f>'INPUT DAFTAR PESERTA'!A39</f>
        <v>36</v>
      </c>
      <c r="B40" s="50">
        <f>'INPUT DAFTAR PESERTA'!B39</f>
        <v>2509046020</v>
      </c>
      <c r="C40" s="22" t="str">
        <f>'INPUT DAFTAR PESERTA'!C39</f>
        <v>Muhammad Davindia Akmaluza</v>
      </c>
      <c r="D40" s="25">
        <f>'NILAI AKHIR'!I41</f>
        <v>22.3</v>
      </c>
      <c r="E40" s="50" t="str">
        <f>'NILAI AKHIR'!K41</f>
        <v>E</v>
      </c>
    </row>
    <row r="41">
      <c r="A41" s="50">
        <f>'INPUT DAFTAR PESERTA'!A40</f>
        <v>37</v>
      </c>
      <c r="B41" s="50">
        <f>'INPUT DAFTAR PESERTA'!B40</f>
        <v>2509046021</v>
      </c>
      <c r="C41" s="22" t="str">
        <f>'INPUT DAFTAR PESERTA'!C40</f>
        <v>Muhammad Naufal Sabilillah</v>
      </c>
      <c r="D41" s="25">
        <f>'NILAI AKHIR'!I42</f>
        <v>80.63125</v>
      </c>
      <c r="E41" s="50" t="str">
        <f>'NILAI AKHIR'!K42</f>
        <v>A</v>
      </c>
    </row>
    <row r="42">
      <c r="A42" s="50">
        <f>'INPUT DAFTAR PESERTA'!A41</f>
        <v>38</v>
      </c>
      <c r="B42" s="50">
        <f>'INPUT DAFTAR PESERTA'!B41</f>
        <v>2509046022</v>
      </c>
      <c r="C42" s="22" t="str">
        <f>'INPUT DAFTAR PESERTA'!C41</f>
        <v>Miranda Nur Salsabila</v>
      </c>
      <c r="D42" s="25">
        <f>'NILAI AKHIR'!I43</f>
        <v>72.48</v>
      </c>
      <c r="E42" s="50" t="str">
        <f>'NILAI AKHIR'!K43</f>
        <v>B</v>
      </c>
    </row>
    <row r="43">
      <c r="A43" s="50">
        <f>'INPUT DAFTAR PESERTA'!A42</f>
        <v>39</v>
      </c>
      <c r="B43" s="50">
        <f>'INPUT DAFTAR PESERTA'!B42</f>
        <v>2509046023</v>
      </c>
      <c r="C43" s="22" t="str">
        <f>'INPUT DAFTAR PESERTA'!C42</f>
        <v>Dinar Rahmatheta</v>
      </c>
      <c r="D43" s="25">
        <f>'NILAI AKHIR'!I44</f>
        <v>75.48625</v>
      </c>
      <c r="E43" s="50" t="str">
        <f>'NILAI AKHIR'!K44</f>
        <v>B</v>
      </c>
    </row>
    <row r="44">
      <c r="A44" s="50">
        <f>'INPUT DAFTAR PESERTA'!A43</f>
        <v>40</v>
      </c>
      <c r="B44" s="50">
        <f>'INPUT DAFTAR PESERTA'!B43</f>
        <v>2509046024</v>
      </c>
      <c r="C44" s="22" t="str">
        <f>'INPUT DAFTAR PESERTA'!C43</f>
        <v>Muh. Yasir Naufal</v>
      </c>
      <c r="D44" s="25">
        <f>'NILAI AKHIR'!I45</f>
        <v>24.33125</v>
      </c>
      <c r="E44" s="50" t="str">
        <f>'NILAI AKHIR'!K45</f>
        <v>E</v>
      </c>
    </row>
    <row r="45">
      <c r="A45" s="50">
        <f>'INPUT DAFTAR PESERTA'!A44</f>
        <v>41</v>
      </c>
      <c r="B45" s="50">
        <f>'INPUT DAFTAR PESERTA'!B44</f>
        <v>2509046025</v>
      </c>
      <c r="C45" s="22" t="str">
        <f>'INPUT DAFTAR PESERTA'!C44</f>
        <v>Andi Nada Bunga Zahra</v>
      </c>
      <c r="D45" s="25">
        <f>'NILAI AKHIR'!I46</f>
        <v>78.21875</v>
      </c>
      <c r="E45" s="50" t="str">
        <f>'NILAI AKHIR'!K46</f>
        <v>B</v>
      </c>
    </row>
    <row r="46">
      <c r="A46" s="50">
        <f>'INPUT DAFTAR PESERTA'!A45</f>
        <v>42</v>
      </c>
      <c r="B46" s="50">
        <f>'INPUT DAFTAR PESERTA'!B45</f>
        <v>2509046026</v>
      </c>
      <c r="C46" s="22" t="str">
        <f>'INPUT DAFTAR PESERTA'!C45</f>
        <v>Nabil Rafif Makarim</v>
      </c>
      <c r="D46" s="25">
        <f>'NILAI AKHIR'!I47</f>
        <v>54.7375</v>
      </c>
      <c r="E46" s="50" t="str">
        <f>'NILAI AKHIR'!K47</f>
        <v>D</v>
      </c>
    </row>
    <row r="47">
      <c r="A47" s="50">
        <f>'INPUT DAFTAR PESERTA'!A46</f>
        <v>43</v>
      </c>
      <c r="B47" s="50">
        <f>'INPUT DAFTAR PESERTA'!B46</f>
        <v>2509046027</v>
      </c>
      <c r="C47" s="22" t="str">
        <f>'INPUT DAFTAR PESERTA'!C46</f>
        <v>Natasya Camelia Az-Zahra</v>
      </c>
      <c r="D47" s="25">
        <f>'NILAI AKHIR'!I48</f>
        <v>78.46875</v>
      </c>
      <c r="E47" s="50" t="str">
        <f>'NILAI AKHIR'!K48</f>
        <v>B</v>
      </c>
    </row>
    <row r="48">
      <c r="A48" s="50">
        <f>'INPUT DAFTAR PESERTA'!A47</f>
        <v>44</v>
      </c>
      <c r="B48" s="50">
        <f>'INPUT DAFTAR PESERTA'!B47</f>
        <v>2509046028</v>
      </c>
      <c r="C48" s="22" t="str">
        <f>'INPUT DAFTAR PESERTA'!C47</f>
        <v>Afirah Al Abidah</v>
      </c>
      <c r="D48" s="25">
        <f>'NILAI AKHIR'!I49</f>
        <v>56.48125</v>
      </c>
      <c r="E48" s="50" t="str">
        <f>'NILAI AKHIR'!K49</f>
        <v>D</v>
      </c>
    </row>
    <row r="49">
      <c r="A49" s="50">
        <f>'INPUT DAFTAR PESERTA'!A48</f>
        <v>45</v>
      </c>
      <c r="B49" s="50">
        <f>'INPUT DAFTAR PESERTA'!B48</f>
        <v>2509046029</v>
      </c>
      <c r="C49" s="22" t="str">
        <f>'INPUT DAFTAR PESERTA'!C48</f>
        <v>Anisa Syalwa</v>
      </c>
      <c r="D49" s="25">
        <f>'NILAI AKHIR'!I50</f>
        <v>63.1</v>
      </c>
      <c r="E49" s="50" t="str">
        <f>'NILAI AKHIR'!K50</f>
        <v>C</v>
      </c>
    </row>
    <row r="50">
      <c r="A50" s="50">
        <f>'INPUT DAFTAR PESERTA'!A49</f>
        <v>46</v>
      </c>
      <c r="B50" s="50">
        <f>'INPUT DAFTAR PESERTA'!B49</f>
        <v>2509046030</v>
      </c>
      <c r="C50" s="22" t="str">
        <f>'INPUT DAFTAR PESERTA'!C49</f>
        <v>Fikri Firoos Kinarya</v>
      </c>
      <c r="D50" s="25">
        <f>'NILAI AKHIR'!I51</f>
        <v>59.61875</v>
      </c>
      <c r="E50" s="50" t="str">
        <f>'NILAI AKHIR'!K51</f>
        <v>D</v>
      </c>
    </row>
    <row r="51">
      <c r="A51" s="50">
        <f>'INPUT DAFTAR PESERTA'!A50</f>
        <v>47</v>
      </c>
      <c r="B51" s="50">
        <f>'INPUT DAFTAR PESERTA'!B50</f>
        <v>2509046031</v>
      </c>
      <c r="C51" s="22" t="str">
        <f>'INPUT DAFTAR PESERTA'!C50</f>
        <v>Armitha Luthfiana Andini</v>
      </c>
      <c r="D51" s="25">
        <f>'NILAI AKHIR'!I52</f>
        <v>65.9875</v>
      </c>
      <c r="E51" s="50" t="str">
        <f>'NILAI AKHIR'!K52</f>
        <v>C</v>
      </c>
    </row>
    <row r="52">
      <c r="A52" s="50">
        <f>'INPUT DAFTAR PESERTA'!A51</f>
        <v>48</v>
      </c>
      <c r="B52" s="50">
        <f>'INPUT DAFTAR PESERTA'!B51</f>
        <v>2509046032</v>
      </c>
      <c r="C52" s="22" t="str">
        <f>'INPUT DAFTAR PESERTA'!C51</f>
        <v>Fabio Aditya Purnomo</v>
      </c>
      <c r="D52" s="25">
        <f>'NILAI AKHIR'!I53</f>
        <v>73.7125</v>
      </c>
      <c r="E52" s="50" t="str">
        <f>'NILAI AKHIR'!K53</f>
        <v>B</v>
      </c>
    </row>
    <row r="53">
      <c r="A53" s="50">
        <f>'INPUT DAFTAR PESERTA'!A52</f>
        <v>49</v>
      </c>
      <c r="B53" s="50">
        <f>'INPUT DAFTAR PESERTA'!B52</f>
        <v>2509046033</v>
      </c>
      <c r="C53" s="22" t="str">
        <f>'INPUT DAFTAR PESERTA'!C52</f>
        <v>Rifa Davina Zalfa</v>
      </c>
      <c r="D53" s="25">
        <f>'NILAI AKHIR'!I54</f>
        <v>75.6625</v>
      </c>
      <c r="E53" s="50" t="str">
        <f>'NILAI AKHIR'!K54</f>
        <v>B</v>
      </c>
    </row>
    <row r="54">
      <c r="A54" s="50">
        <f>'INPUT DAFTAR PESERTA'!A53</f>
        <v>50</v>
      </c>
      <c r="B54" s="50">
        <f>'INPUT DAFTAR PESERTA'!B53</f>
        <v>2509046034</v>
      </c>
      <c r="C54" s="22" t="str">
        <f>'INPUT DAFTAR PESERTA'!C53</f>
        <v>Nilna Fergita Nouriansa</v>
      </c>
      <c r="D54" s="25">
        <f>'NILAI AKHIR'!I55</f>
        <v>60.925</v>
      </c>
      <c r="E54" s="50" t="str">
        <f>'NILAI AKHIR'!K55</f>
        <v>C</v>
      </c>
    </row>
    <row r="55">
      <c r="A55" s="50">
        <f>'INPUT DAFTAR PESERTA'!A54</f>
        <v>51</v>
      </c>
      <c r="B55" s="50">
        <f>'INPUT DAFTAR PESERTA'!B54</f>
        <v>2509046035</v>
      </c>
      <c r="C55" s="22" t="str">
        <f>'INPUT DAFTAR PESERTA'!C54</f>
        <v>Sandi Prakoso</v>
      </c>
      <c r="D55" s="25">
        <f>'NILAI AKHIR'!I56</f>
        <v>11.7</v>
      </c>
      <c r="E55" s="50" t="str">
        <f>'NILAI AKHIR'!K56</f>
        <v>E</v>
      </c>
    </row>
    <row r="56">
      <c r="A56" s="50">
        <f>'INPUT DAFTAR PESERTA'!A55</f>
        <v>52</v>
      </c>
      <c r="B56" s="50">
        <f>'INPUT DAFTAR PESERTA'!B55</f>
        <v>2509046036</v>
      </c>
      <c r="C56" s="22" t="str">
        <f>'INPUT DAFTAR PESERTA'!C55</f>
        <v>Yarasy Ebed Petra Richard Nanuru</v>
      </c>
      <c r="D56" s="25">
        <f>'NILAI AKHIR'!I57</f>
        <v>14.975</v>
      </c>
      <c r="E56" s="50" t="str">
        <f>'NILAI AKHIR'!K57</f>
        <v>E</v>
      </c>
    </row>
    <row r="57">
      <c r="A57" s="50">
        <f>'INPUT DAFTAR PESERTA'!A56</f>
        <v>53</v>
      </c>
      <c r="B57" s="50">
        <f>'INPUT DAFTAR PESERTA'!B56</f>
        <v>2509046037</v>
      </c>
      <c r="C57" s="22" t="str">
        <f>'INPUT DAFTAR PESERTA'!C56</f>
        <v>Rasya Hanindya Putri</v>
      </c>
      <c r="D57" s="25">
        <f>'NILAI AKHIR'!I58</f>
        <v>17.01875</v>
      </c>
      <c r="E57" s="50" t="str">
        <f>'NILAI AKHIR'!K58</f>
        <v>E</v>
      </c>
    </row>
    <row r="58">
      <c r="A58" s="50">
        <f>'INPUT DAFTAR PESERTA'!A57</f>
        <v>54</v>
      </c>
      <c r="B58" s="50">
        <f>'INPUT DAFTAR PESERTA'!B57</f>
        <v>2509046038</v>
      </c>
      <c r="C58" s="22" t="str">
        <f>'INPUT DAFTAR PESERTA'!C57</f>
        <v>Stefania Diah Pramestirehi</v>
      </c>
      <c r="D58" s="25">
        <f>'NILAI AKHIR'!I59</f>
        <v>71.425</v>
      </c>
      <c r="E58" s="50" t="str">
        <f>'NILAI AKHIR'!K59</f>
        <v>B</v>
      </c>
    </row>
    <row r="59">
      <c r="A59" s="50">
        <f>'INPUT DAFTAR PESERTA'!A58</f>
        <v>55</v>
      </c>
      <c r="B59" s="50">
        <f>'INPUT DAFTAR PESERTA'!B58</f>
        <v>2509046039</v>
      </c>
      <c r="C59" s="22" t="str">
        <f>'INPUT DAFTAR PESERTA'!C58</f>
        <v>Azarina Azzahra</v>
      </c>
      <c r="D59" s="25">
        <f>'NILAI AKHIR'!I60</f>
        <v>85.45625</v>
      </c>
      <c r="E59" s="50" t="str">
        <f>'NILAI AKHIR'!K60</f>
        <v>A</v>
      </c>
    </row>
    <row r="60">
      <c r="A60" s="50">
        <f>'INPUT DAFTAR PESERTA'!A59</f>
        <v>56</v>
      </c>
      <c r="B60" s="50">
        <f>'INPUT DAFTAR PESERTA'!B59</f>
        <v>2509046040</v>
      </c>
      <c r="C60" s="22" t="str">
        <f>'INPUT DAFTAR PESERTA'!C59</f>
        <v>Muhammad Bintang Anugrah</v>
      </c>
      <c r="D60" s="25">
        <f>'NILAI AKHIR'!I61</f>
        <v>79.99375</v>
      </c>
      <c r="E60" s="50" t="str">
        <f>'NILAI AKHIR'!K61</f>
        <v>B</v>
      </c>
    </row>
    <row r="61">
      <c r="A61" s="50">
        <f>'INPUT DAFTAR PESERTA'!A60</f>
        <v>57</v>
      </c>
      <c r="B61" s="50">
        <f>'INPUT DAFTAR PESERTA'!B60</f>
        <v>2509046041</v>
      </c>
      <c r="C61" s="22" t="str">
        <f>'INPUT DAFTAR PESERTA'!C60</f>
        <v>Marcel Rizky Indrawan</v>
      </c>
      <c r="D61" s="25">
        <f>'NILAI AKHIR'!I62</f>
        <v>68.3</v>
      </c>
      <c r="E61" s="50" t="str">
        <f>'NILAI AKHIR'!K62</f>
        <v>C</v>
      </c>
    </row>
    <row r="62">
      <c r="A62" s="50">
        <f>'INPUT DAFTAR PESERTA'!A61</f>
        <v>58</v>
      </c>
      <c r="B62" s="50">
        <f>'INPUT DAFTAR PESERTA'!B61</f>
        <v>2509046042</v>
      </c>
      <c r="C62" s="22" t="str">
        <f>'INPUT DAFTAR PESERTA'!C61</f>
        <v>Mega Dwi Eriyanti</v>
      </c>
      <c r="D62" s="25">
        <f>'NILAI AKHIR'!I63</f>
        <v>82.825</v>
      </c>
      <c r="E62" s="50" t="str">
        <f>'NILAI AKHIR'!K63</f>
        <v>A</v>
      </c>
    </row>
    <row r="63">
      <c r="A63" s="50">
        <f>'INPUT DAFTAR PESERTA'!A62</f>
        <v>59</v>
      </c>
      <c r="B63" s="50">
        <f>'INPUT DAFTAR PESERTA'!B62</f>
        <v>2509046043</v>
      </c>
      <c r="C63" s="22" t="str">
        <f>'INPUT DAFTAR PESERTA'!C62</f>
        <v>Jessen Jeremi Sinaga</v>
      </c>
      <c r="D63" s="25">
        <f>'NILAI AKHIR'!I64</f>
        <v>16.225</v>
      </c>
      <c r="E63" s="50" t="str">
        <f>'NILAI AKHIR'!K64</f>
        <v>E</v>
      </c>
    </row>
    <row r="64">
      <c r="A64" s="50">
        <f>'INPUT DAFTAR PESERTA'!A63</f>
        <v>60</v>
      </c>
      <c r="B64" s="50">
        <f>'INPUT DAFTAR PESERTA'!B63</f>
        <v>2509046044</v>
      </c>
      <c r="C64" s="22" t="str">
        <f>'INPUT DAFTAR PESERTA'!C63</f>
        <v>Mohammad Bagus Leo Widiantara</v>
      </c>
      <c r="D64" s="25">
        <f>'NILAI AKHIR'!I65</f>
        <v>7.625</v>
      </c>
      <c r="E64" s="50" t="str">
        <f>'NILAI AKHIR'!K65</f>
        <v>E</v>
      </c>
    </row>
    <row r="65">
      <c r="A65" s="50">
        <f>'INPUT DAFTAR PESERTA'!A64</f>
        <v>61</v>
      </c>
      <c r="B65" s="50">
        <f>'INPUT DAFTAR PESERTA'!B64</f>
        <v>2509046045</v>
      </c>
      <c r="C65" s="22" t="str">
        <f>'INPUT DAFTAR PESERTA'!C64</f>
        <v>Najwa Aliffah Falah</v>
      </c>
      <c r="D65" s="25">
        <f>'NILAI AKHIR'!I66</f>
        <v>16.025</v>
      </c>
      <c r="E65" s="50" t="str">
        <f>'NILAI AKHIR'!K66</f>
        <v>E</v>
      </c>
    </row>
    <row r="66">
      <c r="A66" s="50">
        <f>'INPUT DAFTAR PESERTA'!A65</f>
        <v>62</v>
      </c>
      <c r="B66" s="50">
        <f>'INPUT DAFTAR PESERTA'!B65</f>
        <v>2509046046</v>
      </c>
      <c r="C66" s="22" t="str">
        <f>'INPUT DAFTAR PESERTA'!C65</f>
        <v>Jezlhine Suretno</v>
      </c>
      <c r="D66" s="25">
        <f>'NILAI AKHIR'!I67</f>
        <v>57.875</v>
      </c>
      <c r="E66" s="50" t="str">
        <f>'NILAI AKHIR'!K67</f>
        <v>D</v>
      </c>
    </row>
    <row r="67">
      <c r="A67" s="50">
        <f>'INPUT DAFTAR PESERTA'!A66</f>
        <v>63</v>
      </c>
      <c r="B67" s="50">
        <f>'INPUT DAFTAR PESERTA'!B66</f>
        <v>2509046047</v>
      </c>
      <c r="C67" s="22" t="str">
        <f>'INPUT DAFTAR PESERTA'!C66</f>
        <v>Gideon Giorgy Aipassa</v>
      </c>
      <c r="D67" s="25">
        <f>'NILAI AKHIR'!I68</f>
        <v>48.425</v>
      </c>
      <c r="E67" s="50" t="str">
        <f>'NILAI AKHIR'!K68</f>
        <v>D</v>
      </c>
    </row>
    <row r="68">
      <c r="A68" s="50">
        <f>'INPUT DAFTAR PESERTA'!A67</f>
        <v>64</v>
      </c>
      <c r="B68" s="50">
        <f>'INPUT DAFTAR PESERTA'!B67</f>
        <v>2509046048</v>
      </c>
      <c r="C68" s="22" t="str">
        <f>'INPUT DAFTAR PESERTA'!C67</f>
        <v>Talitha Kayana Nugroho</v>
      </c>
      <c r="D68" s="25">
        <f>'NILAI AKHIR'!I69</f>
        <v>60.421875</v>
      </c>
      <c r="E68" s="50" t="str">
        <f>'NILAI AKHIR'!K69</f>
        <v>C</v>
      </c>
    </row>
    <row r="69">
      <c r="A69" s="50">
        <f>'INPUT DAFTAR PESERTA'!A68</f>
        <v>65</v>
      </c>
      <c r="B69" s="50">
        <f>'INPUT DAFTAR PESERTA'!B68</f>
        <v>2509046049</v>
      </c>
      <c r="C69" s="22" t="str">
        <f>'INPUT DAFTAR PESERTA'!C68</f>
        <v>Josef Alexandro Wijaya Kusuma</v>
      </c>
      <c r="D69" s="25">
        <f>'NILAI AKHIR'!I70</f>
        <v>7.625</v>
      </c>
      <c r="E69" s="50" t="str">
        <f>'NILAI AKHIR'!K70</f>
        <v>E</v>
      </c>
    </row>
    <row r="70">
      <c r="A70" s="50">
        <f>'INPUT DAFTAR PESERTA'!A69</f>
        <v>66</v>
      </c>
      <c r="B70" s="50">
        <f>'INPUT DAFTAR PESERTA'!B69</f>
        <v>2509046050</v>
      </c>
      <c r="C70" s="22" t="str">
        <f>'INPUT DAFTAR PESERTA'!C69</f>
        <v>Surya Buana Putra Kamil</v>
      </c>
      <c r="D70" s="25">
        <f>'NILAI AKHIR'!I71</f>
        <v>11.515625</v>
      </c>
      <c r="E70" s="50" t="str">
        <f>'NILAI AKHIR'!K71</f>
        <v>E</v>
      </c>
    </row>
    <row r="71">
      <c r="A71" s="50">
        <f>'INPUT DAFTAR PESERTA'!A70</f>
        <v>67</v>
      </c>
      <c r="B71" s="50">
        <f>'INPUT DAFTAR PESERTA'!B70</f>
        <v>2509046051</v>
      </c>
      <c r="C71" s="22" t="str">
        <f>'INPUT DAFTAR PESERTA'!C70</f>
        <v>Arifatus Saidah</v>
      </c>
      <c r="D71" s="25">
        <f>'NILAI AKHIR'!I72</f>
        <v>47.14375</v>
      </c>
      <c r="E71" s="50" t="str">
        <f>'NILAI AKHIR'!K72</f>
        <v>D</v>
      </c>
    </row>
    <row r="72">
      <c r="A72" s="50">
        <f>'INPUT DAFTAR PESERTA'!A71</f>
        <v>68</v>
      </c>
      <c r="B72" s="50">
        <f>'INPUT DAFTAR PESERTA'!B71</f>
        <v>2509046052</v>
      </c>
      <c r="C72" s="22" t="str">
        <f>'INPUT DAFTAR PESERTA'!C71</f>
        <v>Syarifah Sarah Ashilah</v>
      </c>
      <c r="D72" s="25">
        <f>'NILAI AKHIR'!I73</f>
        <v>70.028125</v>
      </c>
      <c r="E72" s="50" t="str">
        <f>'NILAI AKHIR'!K73</f>
        <v>B</v>
      </c>
    </row>
    <row r="73">
      <c r="A73" s="50">
        <f>'INPUT DAFTAR PESERTA'!A72</f>
        <v>69</v>
      </c>
      <c r="B73" s="50">
        <f>'INPUT DAFTAR PESERTA'!B72</f>
        <v>2509046053</v>
      </c>
      <c r="C73" s="22" t="str">
        <f>'INPUT DAFTAR PESERTA'!C72</f>
        <v>Muhammad Aufa Syarif Prabowo</v>
      </c>
      <c r="D73" s="25">
        <f>'NILAI AKHIR'!I74</f>
        <v>33.3125</v>
      </c>
      <c r="E73" s="50" t="str">
        <f>'NILAI AKHIR'!K74</f>
        <v>E</v>
      </c>
    </row>
    <row r="74">
      <c r="A74" s="50">
        <f>'INPUT DAFTAR PESERTA'!A73</f>
        <v>70</v>
      </c>
      <c r="B74" s="50">
        <f>'INPUT DAFTAR PESERTA'!B73</f>
        <v>2509046054</v>
      </c>
      <c r="C74" s="22" t="str">
        <f>'INPUT DAFTAR PESERTA'!C73</f>
        <v>Kezia Aulia Putri</v>
      </c>
      <c r="D74" s="25">
        <f>'NILAI AKHIR'!I75</f>
        <v>30.7625</v>
      </c>
      <c r="E74" s="50" t="str">
        <f>'NILAI AKHIR'!K75</f>
        <v>E</v>
      </c>
    </row>
    <row r="75">
      <c r="A75" s="50">
        <f>'INPUT DAFTAR PESERTA'!A74</f>
        <v>71</v>
      </c>
      <c r="B75" s="50">
        <f>'INPUT DAFTAR PESERTA'!B74</f>
        <v>2509046055</v>
      </c>
      <c r="C75" s="22" t="str">
        <f>'INPUT DAFTAR PESERTA'!C74</f>
        <v>Nailah Aisya Ainurrahman</v>
      </c>
      <c r="D75" s="25">
        <f>'NILAI AKHIR'!I76</f>
        <v>67.1125</v>
      </c>
      <c r="E75" s="50" t="str">
        <f>'NILAI AKHIR'!K76</f>
        <v>C</v>
      </c>
    </row>
    <row r="76">
      <c r="A76" s="50">
        <f>'INPUT DAFTAR PESERTA'!A75</f>
        <v>72</v>
      </c>
      <c r="B76" s="50">
        <f>'INPUT DAFTAR PESERTA'!B75</f>
        <v>2509046056</v>
      </c>
      <c r="C76" s="22" t="str">
        <f>'INPUT DAFTAR PESERTA'!C75</f>
        <v>Nadine Olivia</v>
      </c>
      <c r="D76" s="25">
        <f>'NILAI AKHIR'!I77</f>
        <v>68.48125</v>
      </c>
      <c r="E76" s="50" t="str">
        <f>'NILAI AKHIR'!K77</f>
        <v>C</v>
      </c>
    </row>
    <row r="77">
      <c r="A77" s="50">
        <f>'INPUT DAFTAR PESERTA'!A76</f>
        <v>73</v>
      </c>
      <c r="B77" s="50">
        <f>'INPUT DAFTAR PESERTA'!B76</f>
        <v>2509046057</v>
      </c>
      <c r="C77" s="22" t="str">
        <f>'INPUT DAFTAR PESERTA'!C76</f>
        <v>Fadhaail Ali Syaban</v>
      </c>
      <c r="D77" s="25">
        <f>'NILAI AKHIR'!I78</f>
        <v>19.2375</v>
      </c>
      <c r="E77" s="50" t="str">
        <f>'NILAI AKHIR'!K78</f>
        <v>E</v>
      </c>
    </row>
    <row r="78">
      <c r="A78" s="50">
        <f>'INPUT DAFTAR PESERTA'!A77</f>
        <v>74</v>
      </c>
      <c r="B78" s="50">
        <f>'INPUT DAFTAR PESERTA'!B77</f>
        <v>2509046058</v>
      </c>
      <c r="C78" s="22" t="str">
        <f>'INPUT DAFTAR PESERTA'!C77</f>
        <v>Tri Partogi Utama Manalu</v>
      </c>
      <c r="D78" s="25">
        <f>'NILAI AKHIR'!I79</f>
        <v>56.203125</v>
      </c>
      <c r="E78" s="50" t="str">
        <f>'NILAI AKHIR'!K79</f>
        <v>D</v>
      </c>
    </row>
    <row r="79">
      <c r="A79" s="50">
        <f>'INPUT DAFTAR PESERTA'!A78</f>
        <v>75</v>
      </c>
      <c r="B79" s="50">
        <f>'INPUT DAFTAR PESERTA'!B78</f>
        <v>2509046059</v>
      </c>
      <c r="C79" s="22" t="str">
        <f>'INPUT DAFTAR PESERTA'!C78</f>
        <v>Fa'iz Pasha Novian</v>
      </c>
      <c r="D79" s="25">
        <f>'NILAI AKHIR'!I80</f>
        <v>15.025</v>
      </c>
      <c r="E79" s="50" t="str">
        <f>'NILAI AKHIR'!K80</f>
        <v>E</v>
      </c>
    </row>
    <row r="80">
      <c r="A80" s="50">
        <f>'INPUT DAFTAR PESERTA'!A79</f>
        <v>76</v>
      </c>
      <c r="B80" s="50">
        <f>'INPUT DAFTAR PESERTA'!B79</f>
        <v>2509046060</v>
      </c>
      <c r="C80" s="22" t="str">
        <f>'INPUT DAFTAR PESERTA'!C79</f>
        <v>Shasya Tri Fauziah</v>
      </c>
      <c r="D80" s="25">
        <f>'NILAI AKHIR'!I81</f>
        <v>68.00375</v>
      </c>
      <c r="E80" s="50" t="str">
        <f>'NILAI AKHIR'!K81</f>
        <v>C</v>
      </c>
    </row>
    <row r="81">
      <c r="A81" s="50">
        <f>'INPUT DAFTAR PESERTA'!A80</f>
        <v>77</v>
      </c>
      <c r="B81" s="50">
        <f>'INPUT DAFTAR PESERTA'!B80</f>
        <v>2509046061</v>
      </c>
      <c r="C81" s="22" t="str">
        <f>'INPUT DAFTAR PESERTA'!C80</f>
        <v>Alyah Nur Jannah</v>
      </c>
      <c r="D81" s="25">
        <f>'NILAI AKHIR'!I82</f>
        <v>40.3625</v>
      </c>
      <c r="E81" s="50" t="str">
        <f>'NILAI AKHIR'!K82</f>
        <v>D</v>
      </c>
    </row>
    <row r="82">
      <c r="A82" s="50">
        <f>'INPUT DAFTAR PESERTA'!A81</f>
        <v>78</v>
      </c>
      <c r="B82" s="50">
        <f>'INPUT DAFTAR PESERTA'!B81</f>
        <v>2509046062</v>
      </c>
      <c r="C82" s="22" t="str">
        <f>'INPUT DAFTAR PESERTA'!C81</f>
        <v>Rendi Sidebang</v>
      </c>
      <c r="D82" s="25">
        <f>'NILAI AKHIR'!I83</f>
        <v>58.878125</v>
      </c>
      <c r="E82" s="50" t="str">
        <f>'NILAI AKHIR'!K83</f>
        <v>D</v>
      </c>
    </row>
    <row r="83">
      <c r="A83" s="50">
        <f>'INPUT DAFTAR PESERTA'!A82</f>
        <v>79</v>
      </c>
      <c r="B83" s="50">
        <f>'INPUT DAFTAR PESERTA'!B82</f>
        <v>2509046063</v>
      </c>
      <c r="C83" s="22" t="str">
        <f>'INPUT DAFTAR PESERTA'!C82</f>
        <v>Panca Vito Anandio</v>
      </c>
      <c r="D83" s="25">
        <f>'NILAI AKHIR'!I84</f>
        <v>32.44375</v>
      </c>
      <c r="E83" s="50" t="str">
        <f>'NILAI AKHIR'!K84</f>
        <v>E</v>
      </c>
    </row>
    <row r="84">
      <c r="A84" s="50">
        <f>'INPUT DAFTAR PESERTA'!A83</f>
        <v>80</v>
      </c>
      <c r="B84" s="50">
        <f>'INPUT DAFTAR PESERTA'!B83</f>
        <v>2509046064</v>
      </c>
      <c r="C84" s="22" t="str">
        <f>'INPUT DAFTAR PESERTA'!C83</f>
        <v>Nabila Lestari</v>
      </c>
      <c r="D84" s="25">
        <f>'NILAI AKHIR'!I85</f>
        <v>59.715625</v>
      </c>
      <c r="E84" s="50" t="str">
        <f>'NILAI AKHIR'!K85</f>
        <v>D</v>
      </c>
    </row>
    <row r="85">
      <c r="A85" s="50">
        <f>'INPUT DAFTAR PESERTA'!A84</f>
        <v>81</v>
      </c>
      <c r="B85" s="50">
        <f>'INPUT DAFTAR PESERTA'!B84</f>
        <v>2509046065</v>
      </c>
      <c r="C85" s="22" t="str">
        <f>'INPUT DAFTAR PESERTA'!C84</f>
        <v>Muhammad Mudrikah Salim</v>
      </c>
      <c r="D85" s="25">
        <f>'NILAI AKHIR'!I86</f>
        <v>6.375</v>
      </c>
      <c r="E85" s="50" t="str">
        <f>'NILAI AKHIR'!K86</f>
        <v>E</v>
      </c>
    </row>
    <row r="86">
      <c r="A86" s="50">
        <f>'INPUT DAFTAR PESERTA'!A85</f>
        <v>82</v>
      </c>
      <c r="B86" s="50">
        <f>'INPUT DAFTAR PESERTA'!B85</f>
        <v>2509046066</v>
      </c>
      <c r="C86" s="22" t="str">
        <f>'INPUT DAFTAR PESERTA'!C85</f>
        <v>Nisriina Nahdah Hizbullah</v>
      </c>
      <c r="D86" s="25">
        <f>'NILAI AKHIR'!I87</f>
        <v>60.86875</v>
      </c>
      <c r="E86" s="50" t="str">
        <f>'NILAI AKHIR'!K87</f>
        <v>C</v>
      </c>
    </row>
    <row r="87">
      <c r="A87" s="50">
        <f>'INPUT DAFTAR PESERTA'!A86</f>
        <v>83</v>
      </c>
      <c r="B87" s="50">
        <f>'INPUT DAFTAR PESERTA'!B86</f>
        <v>2509046067</v>
      </c>
      <c r="C87" s="22" t="str">
        <f>'INPUT DAFTAR PESERTA'!C86</f>
        <v>Rhooid Azzaky</v>
      </c>
      <c r="D87" s="25">
        <f>'NILAI AKHIR'!I88</f>
        <v>16.6</v>
      </c>
      <c r="E87" s="50" t="str">
        <f>'NILAI AKHIR'!K88</f>
        <v>E</v>
      </c>
    </row>
    <row r="88">
      <c r="A88" s="50">
        <f>'INPUT DAFTAR PESERTA'!A87</f>
        <v>84</v>
      </c>
      <c r="B88" s="50">
        <f>'INPUT DAFTAR PESERTA'!B87</f>
        <v>2509046068</v>
      </c>
      <c r="C88" s="22" t="str">
        <f>'INPUT DAFTAR PESERTA'!C87</f>
        <v>Olga Agnes Violeta Simatupang</v>
      </c>
      <c r="D88" s="25">
        <f>'NILAI AKHIR'!I89</f>
        <v>41.7625</v>
      </c>
      <c r="E88" s="50" t="str">
        <f>'NILAI AKHIR'!K89</f>
        <v>D</v>
      </c>
    </row>
    <row r="89">
      <c r="A89" s="50">
        <f>'INPUT DAFTAR PESERTA'!A88</f>
        <v>85</v>
      </c>
      <c r="B89" s="50">
        <f>'INPUT DAFTAR PESERTA'!B88</f>
        <v>2509046070</v>
      </c>
      <c r="C89" s="22" t="str">
        <f>'INPUT DAFTAR PESERTA'!C88</f>
        <v>Muhammad Ibrahim Habibullah</v>
      </c>
      <c r="D89" s="25">
        <f>'NILAI AKHIR'!I90</f>
        <v>19.60625</v>
      </c>
      <c r="E89" s="50" t="str">
        <f>'NILAI AKHIR'!K90</f>
        <v>E</v>
      </c>
    </row>
    <row r="90">
      <c r="A90" s="50">
        <f>'INPUT DAFTAR PESERTA'!A89</f>
        <v>86</v>
      </c>
      <c r="B90" s="50">
        <f>'INPUT DAFTAR PESERTA'!B89</f>
        <v>2509046071</v>
      </c>
      <c r="C90" s="22" t="str">
        <f>'INPUT DAFTAR PESERTA'!C89</f>
        <v>M. Ali Dinar</v>
      </c>
      <c r="D90" s="25">
        <f>'NILAI AKHIR'!I91</f>
        <v>6.375</v>
      </c>
      <c r="E90" s="50" t="str">
        <f>'NILAI AKHIR'!K91</f>
        <v>E</v>
      </c>
    </row>
    <row r="91">
      <c r="A91" s="50">
        <f>'INPUT DAFTAR PESERTA'!A90</f>
        <v>87</v>
      </c>
      <c r="B91" s="50">
        <f>'INPUT DAFTAR PESERTA'!B90</f>
        <v>2509046072</v>
      </c>
      <c r="C91" s="22" t="str">
        <f>'INPUT DAFTAR PESERTA'!C90</f>
        <v>Julianitha Tabitha Angi</v>
      </c>
      <c r="D91" s="25">
        <f>'NILAI AKHIR'!I92</f>
        <v>39.3625</v>
      </c>
      <c r="E91" s="50" t="str">
        <f>'NILAI AKHIR'!K92</f>
        <v>E</v>
      </c>
    </row>
    <row r="92">
      <c r="A92" s="50">
        <f>'INPUT DAFTAR PESERTA'!A91</f>
        <v>88</v>
      </c>
      <c r="B92" s="50">
        <f>'INPUT DAFTAR PESERTA'!B91</f>
        <v>2509046073</v>
      </c>
      <c r="C92" s="22" t="str">
        <f>'INPUT DAFTAR PESERTA'!C91</f>
        <v>Sayyid Ahmad Raihan</v>
      </c>
      <c r="D92" s="25">
        <f>'NILAI AKHIR'!I93</f>
        <v>10.3125</v>
      </c>
      <c r="E92" s="50" t="str">
        <f>'NILAI AKHIR'!K93</f>
        <v>E</v>
      </c>
    </row>
    <row r="93">
      <c r="A93" s="50">
        <f>'INPUT DAFTAR PESERTA'!A92</f>
        <v>89</v>
      </c>
      <c r="B93" s="50">
        <f>'INPUT DAFTAR PESERTA'!B92</f>
        <v>2509046074</v>
      </c>
      <c r="C93" s="22" t="str">
        <f>'INPUT DAFTAR PESERTA'!C92</f>
        <v>Junior Agustian Culie</v>
      </c>
      <c r="D93" s="25">
        <f>'NILAI AKHIR'!I94</f>
        <v>15.575</v>
      </c>
      <c r="E93" s="50" t="str">
        <f>'NILAI AKHIR'!K94</f>
        <v>E</v>
      </c>
    </row>
    <row r="94">
      <c r="A94" s="50">
        <f>'INPUT DAFTAR PESERTA'!A93</f>
        <v>90</v>
      </c>
      <c r="B94" s="50">
        <f>'INPUT DAFTAR PESERTA'!B93</f>
        <v>2509046075</v>
      </c>
      <c r="C94" s="22" t="str">
        <f>'INPUT DAFTAR PESERTA'!C93</f>
        <v>Andi Ahmad Dzaky Palewai Agri</v>
      </c>
      <c r="D94" s="25">
        <f>'NILAI AKHIR'!I95</f>
        <v>16.2375</v>
      </c>
      <c r="E94" s="50" t="str">
        <f>'NILAI AKHIR'!K95</f>
        <v>E</v>
      </c>
    </row>
    <row r="95">
      <c r="A95" s="50">
        <f>'INPUT DAFTAR PESERTA'!A94</f>
        <v>91</v>
      </c>
      <c r="B95" s="50">
        <f>'INPUT DAFTAR PESERTA'!B94</f>
        <v>2509046076</v>
      </c>
      <c r="C95" s="22" t="str">
        <f>'INPUT DAFTAR PESERTA'!C94</f>
        <v>Afif Ahmad Winarno</v>
      </c>
      <c r="D95" s="25">
        <f>'NILAI AKHIR'!I96</f>
        <v>58.8625</v>
      </c>
      <c r="E95" s="50" t="str">
        <f>'NILAI AKHIR'!K96</f>
        <v>D</v>
      </c>
    </row>
    <row r="96">
      <c r="A96" s="50">
        <f>'INPUT DAFTAR PESERTA'!A95</f>
        <v>92</v>
      </c>
      <c r="B96" s="50">
        <f>'INPUT DAFTAR PESERTA'!B95</f>
        <v>2509046077</v>
      </c>
      <c r="C96" s="22" t="str">
        <f>'INPUT DAFTAR PESERTA'!C95</f>
        <v>Muhammad Iqbal</v>
      </c>
      <c r="D96" s="25">
        <f>'NILAI AKHIR'!I97</f>
        <v>26.21875</v>
      </c>
      <c r="E96" s="50" t="str">
        <f>'NILAI AKHIR'!K97</f>
        <v>E</v>
      </c>
    </row>
    <row r="97">
      <c r="A97" s="50">
        <f>'INPUT DAFTAR PESERTA'!A96</f>
        <v>93</v>
      </c>
      <c r="B97" s="50">
        <f>'INPUT DAFTAR PESERTA'!B96</f>
        <v>2509046078</v>
      </c>
      <c r="C97" s="22" t="str">
        <f>'INPUT DAFTAR PESERTA'!C96</f>
        <v>Shodiq Rizyuka Annaufla</v>
      </c>
      <c r="D97" s="25">
        <f>'NILAI AKHIR'!I98</f>
        <v>20.3125</v>
      </c>
      <c r="E97" s="50" t="str">
        <f>'NILAI AKHIR'!K98</f>
        <v>E</v>
      </c>
    </row>
    <row r="98">
      <c r="A98" s="50">
        <f>'INPUT DAFTAR PESERTA'!A97</f>
        <v>94</v>
      </c>
      <c r="B98" s="50">
        <f>'INPUT DAFTAR PESERTA'!B97</f>
        <v>2509046079</v>
      </c>
      <c r="C98" s="22" t="str">
        <f>'INPUT DAFTAR PESERTA'!C97</f>
        <v>Muhamad Jailani</v>
      </c>
      <c r="D98" s="25">
        <f>'NILAI AKHIR'!I99</f>
        <v>22.68125</v>
      </c>
      <c r="E98" s="50" t="str">
        <f>'NILAI AKHIR'!K99</f>
        <v>E</v>
      </c>
    </row>
    <row r="99">
      <c r="A99" s="62" t="str">
        <f>'INPUT DAFTAR PESERTA'!A99</f>
        <v/>
      </c>
      <c r="B99" s="62" t="str">
        <f>'INPUT DAFTAR PESERTA'!B99</f>
        <v/>
      </c>
      <c r="C99" s="67" t="str">
        <f>'INPUT DAFTAR PESERTA'!C99</f>
        <v/>
      </c>
    </row>
    <row r="100">
      <c r="A100" s="62" t="str">
        <f>'INPUT DAFTAR PESERTA'!A100</f>
        <v/>
      </c>
      <c r="B100" s="62" t="str">
        <f>'INPUT DAFTAR PESERTA'!B100</f>
        <v/>
      </c>
      <c r="C100" s="67" t="str">
        <f>'INPUT DAFTAR PESERTA'!C100</f>
        <v/>
      </c>
    </row>
    <row r="101">
      <c r="A101" s="62" t="str">
        <f>'INPUT DAFTAR PESERTA'!A101</f>
        <v/>
      </c>
      <c r="B101" s="62" t="str">
        <f>'INPUT DAFTAR PESERTA'!B101</f>
        <v/>
      </c>
      <c r="C101" s="67" t="str">
        <f>'INPUT DAFTAR PESERTA'!C101</f>
        <v/>
      </c>
    </row>
    <row r="102">
      <c r="A102" s="62" t="str">
        <f>'INPUT DAFTAR PESERTA'!A102</f>
        <v/>
      </c>
      <c r="B102" s="62" t="str">
        <f>'INPUT DAFTAR PESERTA'!B102</f>
        <v/>
      </c>
      <c r="C102" s="67" t="str">
        <f>'INPUT DAFTAR PESERTA'!C102</f>
        <v/>
      </c>
    </row>
    <row r="103">
      <c r="A103" s="62" t="str">
        <f>'INPUT DAFTAR PESERTA'!A103</f>
        <v/>
      </c>
      <c r="B103" s="62" t="str">
        <f>'INPUT DAFTAR PESERTA'!B103</f>
        <v/>
      </c>
      <c r="C103" s="67" t="str">
        <f>'INPUT DAFTAR PESERTA'!C103</f>
        <v/>
      </c>
    </row>
    <row r="104">
      <c r="A104" s="62" t="str">
        <f>'INPUT DAFTAR PESERTA'!A104</f>
        <v/>
      </c>
      <c r="B104" s="62" t="str">
        <f>'INPUT DAFTAR PESERTA'!B104</f>
        <v/>
      </c>
      <c r="C104" s="67" t="str">
        <f>'INPUT DAFTAR PESERTA'!C104</f>
        <v/>
      </c>
    </row>
    <row r="105">
      <c r="A105" s="62" t="str">
        <f>'INPUT DAFTAR PESERTA'!A105</f>
        <v/>
      </c>
      <c r="B105" s="62" t="str">
        <f>'INPUT DAFTAR PESERTA'!B105</f>
        <v/>
      </c>
      <c r="C105" s="67" t="str">
        <f>'INPUT DAFTAR PESERTA'!C105</f>
        <v/>
      </c>
    </row>
    <row r="106">
      <c r="A106" s="62" t="str">
        <f>'INPUT DAFTAR PESERTA'!A106</f>
        <v/>
      </c>
      <c r="B106" s="62" t="str">
        <f>'INPUT DAFTAR PESERTA'!B106</f>
        <v/>
      </c>
      <c r="C106" s="67" t="str">
        <f>'INPUT DAFTAR PESERTA'!C106</f>
        <v/>
      </c>
    </row>
    <row r="107">
      <c r="A107" s="62" t="str">
        <f>'INPUT DAFTAR PESERTA'!A107</f>
        <v/>
      </c>
      <c r="B107" s="62" t="str">
        <f>'INPUT DAFTAR PESERTA'!B107</f>
        <v/>
      </c>
      <c r="C107" s="67" t="str">
        <f>'INPUT DAFTAR PESERTA'!C107</f>
        <v/>
      </c>
    </row>
    <row r="108">
      <c r="A108" s="62"/>
      <c r="B108" s="62"/>
    </row>
    <row r="109">
      <c r="A109" s="62"/>
      <c r="B109" s="62"/>
    </row>
    <row r="110">
      <c r="A110" s="62"/>
      <c r="B110" s="62"/>
    </row>
    <row r="111">
      <c r="A111" s="62"/>
      <c r="B111" s="62"/>
    </row>
    <row r="112">
      <c r="A112" s="62"/>
      <c r="B112" s="62"/>
    </row>
    <row r="113">
      <c r="A113" s="62"/>
      <c r="B113" s="62"/>
    </row>
    <row r="114">
      <c r="A114" s="62"/>
      <c r="B114" s="62"/>
    </row>
    <row r="115">
      <c r="A115" s="62"/>
      <c r="B115" s="62"/>
    </row>
    <row r="116">
      <c r="A116" s="62"/>
      <c r="B116" s="62"/>
    </row>
    <row r="117">
      <c r="A117" s="62"/>
      <c r="B117" s="62"/>
    </row>
    <row r="118">
      <c r="A118" s="62"/>
      <c r="B118" s="62"/>
    </row>
    <row r="119">
      <c r="A119" s="62"/>
      <c r="B119" s="62"/>
    </row>
    <row r="120">
      <c r="A120" s="62"/>
      <c r="B120" s="62"/>
    </row>
    <row r="121">
      <c r="A121" s="62"/>
      <c r="B121" s="62"/>
    </row>
    <row r="122">
      <c r="A122" s="62"/>
      <c r="B122" s="62"/>
    </row>
    <row r="123">
      <c r="A123" s="62"/>
      <c r="B123" s="62"/>
    </row>
    <row r="124">
      <c r="A124" s="62"/>
      <c r="B124" s="62"/>
    </row>
    <row r="125">
      <c r="A125" s="62"/>
      <c r="B125" s="62"/>
    </row>
    <row r="126">
      <c r="A126" s="62"/>
      <c r="B126" s="62"/>
    </row>
    <row r="127">
      <c r="A127" s="62"/>
      <c r="B127" s="62"/>
    </row>
    <row r="128">
      <c r="A128" s="62"/>
      <c r="B128" s="62"/>
    </row>
    <row r="129">
      <c r="A129" s="62"/>
      <c r="B129" s="62"/>
    </row>
    <row r="130">
      <c r="A130" s="62"/>
      <c r="B130" s="62"/>
    </row>
    <row r="131">
      <c r="A131" s="62"/>
      <c r="B131" s="62"/>
    </row>
    <row r="132">
      <c r="A132" s="62"/>
      <c r="B132" s="62"/>
    </row>
    <row r="133">
      <c r="A133" s="62"/>
      <c r="B133" s="62"/>
    </row>
    <row r="134">
      <c r="A134" s="62"/>
      <c r="B134" s="62"/>
    </row>
    <row r="135">
      <c r="A135" s="62"/>
      <c r="B135" s="62"/>
    </row>
    <row r="136">
      <c r="A136" s="62"/>
      <c r="B136" s="62"/>
    </row>
    <row r="137">
      <c r="A137" s="62"/>
      <c r="B137" s="62"/>
    </row>
    <row r="138">
      <c r="A138" s="62"/>
      <c r="B138" s="62"/>
    </row>
    <row r="139">
      <c r="A139" s="62"/>
      <c r="B139" s="62"/>
    </row>
    <row r="140">
      <c r="A140" s="62"/>
      <c r="B140" s="62"/>
    </row>
    <row r="141">
      <c r="A141" s="62"/>
      <c r="B141" s="62"/>
    </row>
    <row r="142">
      <c r="A142" s="62"/>
      <c r="B142" s="62"/>
    </row>
    <row r="143">
      <c r="A143" s="62"/>
      <c r="B143" s="62"/>
    </row>
    <row r="144">
      <c r="A144" s="62"/>
      <c r="B144" s="62"/>
    </row>
    <row r="145">
      <c r="A145" s="62"/>
      <c r="B145" s="62"/>
    </row>
    <row r="146">
      <c r="A146" s="62"/>
      <c r="B146" s="62"/>
    </row>
    <row r="147">
      <c r="A147" s="62"/>
      <c r="B147" s="62"/>
    </row>
    <row r="148">
      <c r="A148" s="62"/>
      <c r="B148" s="62"/>
    </row>
    <row r="149">
      <c r="A149" s="62"/>
      <c r="B149" s="62"/>
    </row>
    <row r="150">
      <c r="A150" s="62"/>
      <c r="B150" s="62"/>
    </row>
    <row r="151">
      <c r="A151" s="62"/>
      <c r="B151" s="62"/>
    </row>
    <row r="152">
      <c r="A152" s="62"/>
      <c r="B152" s="62"/>
    </row>
    <row r="153">
      <c r="A153" s="62"/>
      <c r="B153" s="62"/>
    </row>
    <row r="154">
      <c r="A154" s="62"/>
      <c r="B154" s="62"/>
    </row>
    <row r="155">
      <c r="A155" s="62"/>
      <c r="B155" s="62"/>
    </row>
    <row r="156">
      <c r="A156" s="62"/>
      <c r="B156" s="62"/>
    </row>
    <row r="157">
      <c r="A157" s="62"/>
      <c r="B157" s="62"/>
    </row>
    <row r="158">
      <c r="A158" s="62"/>
      <c r="B158" s="62"/>
    </row>
    <row r="159">
      <c r="A159" s="62"/>
      <c r="B159" s="62"/>
    </row>
    <row r="160">
      <c r="A160" s="62"/>
      <c r="B160" s="62"/>
    </row>
    <row r="161">
      <c r="A161" s="62"/>
      <c r="B161" s="62"/>
    </row>
    <row r="162">
      <c r="A162" s="62"/>
      <c r="B162" s="62"/>
    </row>
    <row r="163">
      <c r="A163" s="62"/>
      <c r="B163" s="62"/>
    </row>
    <row r="164">
      <c r="A164" s="62"/>
      <c r="B164" s="62"/>
    </row>
    <row r="165">
      <c r="A165" s="62"/>
      <c r="B165" s="62"/>
    </row>
    <row r="166">
      <c r="A166" s="62"/>
      <c r="B166" s="62"/>
    </row>
    <row r="167">
      <c r="A167" s="62"/>
      <c r="B167" s="62"/>
    </row>
    <row r="168">
      <c r="A168" s="62"/>
      <c r="B168" s="62"/>
    </row>
    <row r="169">
      <c r="A169" s="62"/>
      <c r="B169" s="62"/>
    </row>
    <row r="170">
      <c r="A170" s="62"/>
      <c r="B170" s="62"/>
    </row>
    <row r="171">
      <c r="A171" s="62"/>
      <c r="B171" s="62"/>
    </row>
    <row r="172">
      <c r="A172" s="62"/>
      <c r="B172" s="62"/>
    </row>
    <row r="173">
      <c r="A173" s="62"/>
      <c r="B173" s="62"/>
    </row>
    <row r="174">
      <c r="A174" s="62"/>
      <c r="B174" s="62"/>
    </row>
    <row r="175">
      <c r="A175" s="62"/>
      <c r="B175" s="62"/>
    </row>
    <row r="176">
      <c r="A176" s="62"/>
      <c r="B176" s="62"/>
    </row>
    <row r="177">
      <c r="A177" s="62"/>
      <c r="B177" s="62"/>
    </row>
    <row r="178">
      <c r="A178" s="62"/>
      <c r="B178" s="62"/>
    </row>
    <row r="179">
      <c r="A179" s="62"/>
      <c r="B179" s="62"/>
    </row>
    <row r="180">
      <c r="A180" s="62"/>
      <c r="B180" s="62"/>
    </row>
    <row r="181">
      <c r="A181" s="62"/>
      <c r="B181" s="62"/>
    </row>
    <row r="182">
      <c r="A182" s="62"/>
      <c r="B182" s="62"/>
    </row>
    <row r="183">
      <c r="A183" s="62"/>
      <c r="B183" s="62"/>
    </row>
    <row r="184">
      <c r="A184" s="62"/>
      <c r="B184" s="62"/>
    </row>
    <row r="185">
      <c r="A185" s="62"/>
      <c r="B185" s="62"/>
    </row>
    <row r="186">
      <c r="A186" s="62"/>
      <c r="B186" s="62"/>
    </row>
    <row r="187">
      <c r="A187" s="62"/>
      <c r="B187" s="62"/>
    </row>
    <row r="188">
      <c r="A188" s="62"/>
      <c r="B188" s="62"/>
    </row>
    <row r="189">
      <c r="A189" s="62"/>
      <c r="B189" s="62"/>
    </row>
    <row r="190">
      <c r="A190" s="62"/>
      <c r="B190" s="62"/>
    </row>
    <row r="191">
      <c r="A191" s="62"/>
      <c r="B191" s="62"/>
    </row>
    <row r="192">
      <c r="A192" s="62"/>
      <c r="B192" s="62"/>
    </row>
    <row r="193">
      <c r="A193" s="62"/>
      <c r="B193" s="62"/>
    </row>
    <row r="194">
      <c r="A194" s="62"/>
      <c r="B194" s="62"/>
    </row>
    <row r="195">
      <c r="A195" s="62"/>
      <c r="B195" s="62"/>
    </row>
    <row r="196">
      <c r="A196" s="62"/>
      <c r="B196" s="62"/>
    </row>
    <row r="197">
      <c r="A197" s="62"/>
      <c r="B197" s="62"/>
    </row>
    <row r="198">
      <c r="A198" s="62"/>
      <c r="B198" s="62"/>
    </row>
    <row r="199">
      <c r="A199" s="62"/>
      <c r="B199" s="62"/>
    </row>
    <row r="200">
      <c r="A200" s="62"/>
      <c r="B200" s="62"/>
    </row>
    <row r="201">
      <c r="A201" s="62"/>
      <c r="B201" s="62"/>
    </row>
    <row r="202">
      <c r="A202" s="62"/>
      <c r="B202" s="62"/>
    </row>
    <row r="203">
      <c r="A203" s="62"/>
      <c r="B203" s="62"/>
    </row>
    <row r="204">
      <c r="A204" s="62"/>
      <c r="B204" s="62"/>
    </row>
    <row r="205">
      <c r="A205" s="62"/>
      <c r="B205" s="62"/>
    </row>
    <row r="206">
      <c r="A206" s="62"/>
      <c r="B206" s="62"/>
    </row>
    <row r="207">
      <c r="A207" s="62"/>
      <c r="B207" s="62"/>
    </row>
    <row r="208">
      <c r="A208" s="62"/>
      <c r="B208" s="62"/>
    </row>
    <row r="209">
      <c r="A209" s="62"/>
      <c r="B209" s="62"/>
    </row>
    <row r="210">
      <c r="A210" s="62"/>
      <c r="B210" s="62"/>
    </row>
    <row r="211">
      <c r="A211" s="62"/>
      <c r="B211" s="62"/>
    </row>
    <row r="212">
      <c r="A212" s="62"/>
      <c r="B212" s="62"/>
    </row>
    <row r="213">
      <c r="A213" s="62"/>
      <c r="B213" s="62"/>
    </row>
    <row r="214">
      <c r="A214" s="62"/>
      <c r="B214" s="62"/>
    </row>
    <row r="215">
      <c r="A215" s="62"/>
      <c r="B215" s="62"/>
    </row>
    <row r="216">
      <c r="A216" s="62"/>
      <c r="B216" s="62"/>
    </row>
    <row r="217">
      <c r="A217" s="62"/>
      <c r="B217" s="62"/>
    </row>
    <row r="218">
      <c r="A218" s="62"/>
      <c r="B218" s="62"/>
    </row>
    <row r="219">
      <c r="A219" s="62"/>
      <c r="B219" s="62"/>
    </row>
    <row r="220">
      <c r="A220" s="62"/>
      <c r="B220" s="62"/>
    </row>
    <row r="221">
      <c r="A221" s="62"/>
      <c r="B221" s="62"/>
    </row>
    <row r="222">
      <c r="A222" s="62"/>
      <c r="B222" s="62"/>
    </row>
    <row r="223">
      <c r="A223" s="62"/>
      <c r="B223" s="62"/>
    </row>
    <row r="224">
      <c r="A224" s="62"/>
      <c r="B224" s="62"/>
    </row>
    <row r="225">
      <c r="A225" s="62"/>
      <c r="B225" s="62"/>
    </row>
    <row r="226">
      <c r="A226" s="62"/>
      <c r="B226" s="62"/>
    </row>
    <row r="227">
      <c r="A227" s="62"/>
      <c r="B227" s="62"/>
    </row>
    <row r="228">
      <c r="A228" s="62"/>
      <c r="B228" s="62"/>
    </row>
    <row r="229">
      <c r="A229" s="62"/>
      <c r="B229" s="62"/>
    </row>
    <row r="230">
      <c r="A230" s="62"/>
      <c r="B230" s="62"/>
    </row>
    <row r="231">
      <c r="A231" s="62"/>
      <c r="B231" s="62"/>
    </row>
    <row r="232">
      <c r="A232" s="62"/>
      <c r="B232" s="62"/>
    </row>
    <row r="233">
      <c r="A233" s="62"/>
      <c r="B233" s="62"/>
    </row>
    <row r="234">
      <c r="A234" s="62"/>
      <c r="B234" s="62"/>
    </row>
    <row r="235">
      <c r="A235" s="62"/>
      <c r="B235" s="62"/>
    </row>
    <row r="236">
      <c r="A236" s="62"/>
      <c r="B236" s="62"/>
    </row>
    <row r="237">
      <c r="A237" s="62"/>
      <c r="B237" s="62"/>
    </row>
    <row r="238">
      <c r="A238" s="62"/>
      <c r="B238" s="62"/>
    </row>
    <row r="239">
      <c r="A239" s="62"/>
      <c r="B239" s="62"/>
    </row>
    <row r="240">
      <c r="A240" s="62"/>
      <c r="B240" s="62"/>
    </row>
    <row r="241">
      <c r="A241" s="62"/>
      <c r="B241" s="62"/>
    </row>
    <row r="242">
      <c r="A242" s="62"/>
      <c r="B242" s="62"/>
    </row>
    <row r="243">
      <c r="A243" s="62"/>
      <c r="B243" s="62"/>
    </row>
    <row r="244">
      <c r="A244" s="62"/>
      <c r="B244" s="62"/>
    </row>
    <row r="245">
      <c r="A245" s="62"/>
      <c r="B245" s="62"/>
    </row>
    <row r="246">
      <c r="A246" s="62"/>
      <c r="B246" s="62"/>
    </row>
    <row r="247">
      <c r="A247" s="62"/>
      <c r="B247" s="62"/>
    </row>
    <row r="248">
      <c r="A248" s="62"/>
      <c r="B248" s="62"/>
    </row>
    <row r="249">
      <c r="A249" s="62"/>
      <c r="B249" s="62"/>
    </row>
    <row r="250">
      <c r="A250" s="62"/>
      <c r="B250" s="62"/>
    </row>
    <row r="251">
      <c r="A251" s="62"/>
      <c r="B251" s="62"/>
    </row>
    <row r="252">
      <c r="A252" s="62"/>
      <c r="B252" s="62"/>
    </row>
    <row r="253">
      <c r="A253" s="62"/>
      <c r="B253" s="62"/>
    </row>
    <row r="254">
      <c r="A254" s="62"/>
      <c r="B254" s="62"/>
    </row>
    <row r="255">
      <c r="A255" s="62"/>
      <c r="B255" s="62"/>
    </row>
    <row r="256">
      <c r="A256" s="62"/>
      <c r="B256" s="62"/>
    </row>
    <row r="257">
      <c r="A257" s="62"/>
      <c r="B257" s="62"/>
    </row>
    <row r="258">
      <c r="A258" s="62"/>
      <c r="B258" s="62"/>
    </row>
    <row r="259">
      <c r="A259" s="62"/>
      <c r="B259" s="62"/>
    </row>
    <row r="260">
      <c r="A260" s="62"/>
      <c r="B260" s="62"/>
    </row>
    <row r="261">
      <c r="A261" s="62"/>
      <c r="B261" s="62"/>
    </row>
    <row r="262">
      <c r="A262" s="62"/>
      <c r="B262" s="62"/>
    </row>
    <row r="263">
      <c r="A263" s="62"/>
      <c r="B263" s="62"/>
    </row>
    <row r="264">
      <c r="A264" s="62"/>
      <c r="B264" s="62"/>
    </row>
    <row r="265">
      <c r="A265" s="62"/>
      <c r="B265" s="62"/>
    </row>
    <row r="266">
      <c r="A266" s="62"/>
      <c r="B266" s="62"/>
    </row>
    <row r="267">
      <c r="A267" s="62"/>
      <c r="B267" s="62"/>
    </row>
    <row r="268">
      <c r="A268" s="62"/>
      <c r="B268" s="62"/>
    </row>
    <row r="269">
      <c r="A269" s="62"/>
      <c r="B269" s="62"/>
    </row>
    <row r="270">
      <c r="A270" s="62"/>
      <c r="B270" s="62"/>
    </row>
    <row r="271">
      <c r="A271" s="62"/>
      <c r="B271" s="62"/>
    </row>
    <row r="272">
      <c r="A272" s="62"/>
      <c r="B272" s="62"/>
    </row>
    <row r="273">
      <c r="A273" s="62"/>
      <c r="B273" s="62"/>
    </row>
    <row r="274">
      <c r="A274" s="62"/>
      <c r="B274" s="62"/>
    </row>
    <row r="275">
      <c r="A275" s="62"/>
      <c r="B275" s="62"/>
    </row>
    <row r="276">
      <c r="A276" s="62"/>
      <c r="B276" s="62"/>
    </row>
    <row r="277">
      <c r="A277" s="62"/>
      <c r="B277" s="62"/>
    </row>
    <row r="278">
      <c r="A278" s="62"/>
      <c r="B278" s="62"/>
    </row>
    <row r="279">
      <c r="A279" s="62"/>
      <c r="B279" s="62"/>
    </row>
    <row r="280">
      <c r="A280" s="62"/>
      <c r="B280" s="62"/>
    </row>
    <row r="281">
      <c r="A281" s="62"/>
      <c r="B281" s="62"/>
    </row>
    <row r="282">
      <c r="A282" s="62"/>
      <c r="B282" s="62"/>
    </row>
    <row r="283">
      <c r="A283" s="62"/>
      <c r="B283" s="62"/>
    </row>
    <row r="284">
      <c r="A284" s="62"/>
      <c r="B284" s="62"/>
    </row>
    <row r="285">
      <c r="A285" s="62"/>
      <c r="B285" s="62"/>
    </row>
    <row r="286">
      <c r="A286" s="62"/>
      <c r="B286" s="62"/>
    </row>
    <row r="287">
      <c r="A287" s="62"/>
      <c r="B287" s="62"/>
    </row>
    <row r="288">
      <c r="A288" s="62"/>
      <c r="B288" s="62"/>
    </row>
    <row r="289">
      <c r="A289" s="62"/>
      <c r="B289" s="62"/>
    </row>
    <row r="290">
      <c r="A290" s="62"/>
      <c r="B290" s="62"/>
    </row>
    <row r="291">
      <c r="A291" s="62"/>
      <c r="B291" s="62"/>
    </row>
    <row r="292">
      <c r="A292" s="62"/>
      <c r="B292" s="62"/>
    </row>
    <row r="293">
      <c r="A293" s="62"/>
      <c r="B293" s="62"/>
    </row>
    <row r="294">
      <c r="A294" s="62"/>
      <c r="B294" s="62"/>
    </row>
    <row r="295">
      <c r="A295" s="62"/>
      <c r="B295" s="62"/>
    </row>
    <row r="296">
      <c r="A296" s="62"/>
      <c r="B296" s="62"/>
    </row>
    <row r="297">
      <c r="A297" s="62"/>
      <c r="B297" s="62"/>
    </row>
    <row r="298">
      <c r="A298" s="62"/>
      <c r="B298" s="62"/>
    </row>
    <row r="299">
      <c r="A299" s="62"/>
      <c r="B299" s="62"/>
    </row>
    <row r="300">
      <c r="A300" s="62"/>
      <c r="B300" s="62"/>
    </row>
    <row r="301">
      <c r="A301" s="62"/>
      <c r="B301" s="62"/>
    </row>
    <row r="302">
      <c r="A302" s="62"/>
      <c r="B302" s="62"/>
    </row>
    <row r="303">
      <c r="A303" s="62"/>
      <c r="B303" s="62"/>
    </row>
    <row r="304">
      <c r="A304" s="62"/>
      <c r="B304" s="62"/>
    </row>
    <row r="305">
      <c r="A305" s="62"/>
      <c r="B305" s="62"/>
    </row>
    <row r="306">
      <c r="A306" s="62"/>
      <c r="B306" s="62"/>
    </row>
    <row r="307">
      <c r="A307" s="62"/>
      <c r="B307" s="62"/>
    </row>
    <row r="308">
      <c r="A308" s="62"/>
      <c r="B308" s="62"/>
    </row>
    <row r="309">
      <c r="A309" s="62"/>
      <c r="B309" s="62"/>
    </row>
    <row r="310">
      <c r="A310" s="62"/>
      <c r="B310" s="62"/>
    </row>
    <row r="311">
      <c r="A311" s="62"/>
      <c r="B311" s="62"/>
    </row>
    <row r="312">
      <c r="A312" s="62"/>
      <c r="B312" s="62"/>
    </row>
    <row r="313">
      <c r="A313" s="62"/>
      <c r="B313" s="62"/>
    </row>
    <row r="314">
      <c r="A314" s="62"/>
      <c r="B314" s="62"/>
    </row>
    <row r="315">
      <c r="A315" s="62"/>
      <c r="B315" s="62"/>
    </row>
    <row r="316">
      <c r="A316" s="62"/>
      <c r="B316" s="62"/>
    </row>
    <row r="317">
      <c r="A317" s="62"/>
      <c r="B317" s="62"/>
    </row>
    <row r="318">
      <c r="A318" s="62"/>
      <c r="B318" s="62"/>
    </row>
    <row r="319">
      <c r="A319" s="62"/>
      <c r="B319" s="62"/>
    </row>
    <row r="320">
      <c r="A320" s="62"/>
      <c r="B320" s="62"/>
    </row>
    <row r="321">
      <c r="A321" s="62"/>
      <c r="B321" s="62"/>
    </row>
    <row r="322">
      <c r="A322" s="62"/>
      <c r="B322" s="62"/>
    </row>
    <row r="323">
      <c r="A323" s="62"/>
      <c r="B323" s="62"/>
    </row>
    <row r="324">
      <c r="A324" s="62"/>
      <c r="B324" s="62"/>
    </row>
    <row r="325">
      <c r="A325" s="62"/>
      <c r="B325" s="62"/>
    </row>
    <row r="326">
      <c r="A326" s="62"/>
      <c r="B326" s="62"/>
    </row>
    <row r="327">
      <c r="A327" s="62"/>
      <c r="B327" s="62"/>
    </row>
    <row r="328">
      <c r="A328" s="62"/>
      <c r="B328" s="62"/>
    </row>
    <row r="329">
      <c r="A329" s="62"/>
      <c r="B329" s="62"/>
    </row>
    <row r="330">
      <c r="A330" s="62"/>
      <c r="B330" s="62"/>
    </row>
    <row r="331">
      <c r="A331" s="62"/>
      <c r="B331" s="62"/>
    </row>
    <row r="332">
      <c r="A332" s="62"/>
      <c r="B332" s="62"/>
    </row>
    <row r="333">
      <c r="A333" s="62"/>
      <c r="B333" s="62"/>
    </row>
    <row r="334">
      <c r="A334" s="62"/>
      <c r="B334" s="62"/>
    </row>
    <row r="335">
      <c r="A335" s="62"/>
      <c r="B335" s="62"/>
    </row>
    <row r="336">
      <c r="A336" s="62"/>
      <c r="B336" s="62"/>
    </row>
    <row r="337">
      <c r="A337" s="62"/>
      <c r="B337" s="62"/>
    </row>
    <row r="338">
      <c r="A338" s="62"/>
      <c r="B338" s="62"/>
    </row>
    <row r="339">
      <c r="A339" s="62"/>
      <c r="B339" s="62"/>
    </row>
    <row r="340">
      <c r="A340" s="62"/>
      <c r="B340" s="62"/>
    </row>
    <row r="341">
      <c r="A341" s="62"/>
      <c r="B341" s="62"/>
    </row>
    <row r="342">
      <c r="A342" s="62"/>
      <c r="B342" s="62"/>
    </row>
    <row r="343">
      <c r="A343" s="62"/>
      <c r="B343" s="62"/>
    </row>
    <row r="344">
      <c r="A344" s="62"/>
      <c r="B344" s="62"/>
    </row>
    <row r="345">
      <c r="A345" s="62"/>
      <c r="B345" s="62"/>
    </row>
    <row r="346">
      <c r="A346" s="62"/>
      <c r="B346" s="62"/>
    </row>
    <row r="347">
      <c r="A347" s="62"/>
      <c r="B347" s="62"/>
    </row>
    <row r="348">
      <c r="A348" s="62"/>
      <c r="B348" s="62"/>
    </row>
    <row r="349">
      <c r="A349" s="62"/>
      <c r="B349" s="62"/>
    </row>
    <row r="350">
      <c r="A350" s="62"/>
      <c r="B350" s="62"/>
    </row>
    <row r="351">
      <c r="A351" s="62"/>
      <c r="B351" s="62"/>
    </row>
    <row r="352">
      <c r="A352" s="62"/>
      <c r="B352" s="62"/>
    </row>
    <row r="353">
      <c r="A353" s="62"/>
      <c r="B353" s="62"/>
    </row>
    <row r="354">
      <c r="A354" s="62"/>
      <c r="B354" s="62"/>
    </row>
    <row r="355">
      <c r="A355" s="62"/>
      <c r="B355" s="62"/>
    </row>
    <row r="356">
      <c r="A356" s="62"/>
      <c r="B356" s="62"/>
    </row>
    <row r="357">
      <c r="A357" s="62"/>
      <c r="B357" s="62"/>
    </row>
    <row r="358">
      <c r="A358" s="62"/>
      <c r="B358" s="62"/>
    </row>
    <row r="359">
      <c r="A359" s="62"/>
      <c r="B359" s="62"/>
    </row>
    <row r="360">
      <c r="A360" s="62"/>
      <c r="B360" s="62"/>
    </row>
    <row r="361">
      <c r="A361" s="62"/>
      <c r="B361" s="62"/>
    </row>
    <row r="362">
      <c r="A362" s="62"/>
      <c r="B362" s="62"/>
    </row>
    <row r="363">
      <c r="A363" s="62"/>
      <c r="B363" s="62"/>
    </row>
    <row r="364">
      <c r="A364" s="62"/>
      <c r="B364" s="62"/>
    </row>
    <row r="365">
      <c r="A365" s="62"/>
      <c r="B365" s="62"/>
    </row>
    <row r="366">
      <c r="A366" s="62"/>
      <c r="B366" s="62"/>
    </row>
    <row r="367">
      <c r="A367" s="62"/>
      <c r="B367" s="62"/>
    </row>
    <row r="368">
      <c r="A368" s="62"/>
      <c r="B368" s="62"/>
    </row>
    <row r="369">
      <c r="A369" s="62"/>
      <c r="B369" s="62"/>
    </row>
    <row r="370">
      <c r="A370" s="62"/>
      <c r="B370" s="62"/>
    </row>
    <row r="371">
      <c r="A371" s="62"/>
      <c r="B371" s="62"/>
    </row>
    <row r="372">
      <c r="A372" s="62"/>
      <c r="B372" s="62"/>
    </row>
    <row r="373">
      <c r="A373" s="62"/>
      <c r="B373" s="62"/>
    </row>
    <row r="374">
      <c r="A374" s="62"/>
      <c r="B374" s="62"/>
    </row>
    <row r="375">
      <c r="A375" s="62"/>
      <c r="B375" s="62"/>
    </row>
    <row r="376">
      <c r="A376" s="62"/>
      <c r="B376" s="62"/>
    </row>
    <row r="377">
      <c r="A377" s="62"/>
      <c r="B377" s="62"/>
    </row>
    <row r="378">
      <c r="A378" s="62"/>
      <c r="B378" s="62"/>
    </row>
    <row r="379">
      <c r="A379" s="62"/>
      <c r="B379" s="62"/>
    </row>
    <row r="380">
      <c r="A380" s="62"/>
      <c r="B380" s="62"/>
    </row>
    <row r="381">
      <c r="A381" s="62"/>
      <c r="B381" s="62"/>
    </row>
    <row r="382">
      <c r="A382" s="62"/>
      <c r="B382" s="62"/>
    </row>
    <row r="383">
      <c r="A383" s="62"/>
      <c r="B383" s="62"/>
    </row>
    <row r="384">
      <c r="A384" s="62"/>
      <c r="B384" s="62"/>
    </row>
    <row r="385">
      <c r="A385" s="62"/>
      <c r="B385" s="62"/>
    </row>
    <row r="386">
      <c r="A386" s="62"/>
      <c r="B386" s="62"/>
    </row>
    <row r="387">
      <c r="A387" s="62"/>
      <c r="B387" s="62"/>
    </row>
    <row r="388">
      <c r="A388" s="62"/>
      <c r="B388" s="62"/>
    </row>
    <row r="389">
      <c r="A389" s="62"/>
      <c r="B389" s="62"/>
    </row>
    <row r="390">
      <c r="A390" s="62"/>
      <c r="B390" s="62"/>
    </row>
    <row r="391">
      <c r="A391" s="62"/>
      <c r="B391" s="62"/>
    </row>
    <row r="392">
      <c r="A392" s="62"/>
      <c r="B392" s="62"/>
    </row>
    <row r="393">
      <c r="A393" s="62"/>
      <c r="B393" s="62"/>
    </row>
    <row r="394">
      <c r="A394" s="62"/>
      <c r="B394" s="62"/>
    </row>
    <row r="395">
      <c r="A395" s="62"/>
      <c r="B395" s="62"/>
    </row>
    <row r="396">
      <c r="A396" s="62"/>
      <c r="B396" s="62"/>
    </row>
    <row r="397">
      <c r="A397" s="62"/>
      <c r="B397" s="62"/>
    </row>
    <row r="398">
      <c r="A398" s="62"/>
      <c r="B398" s="62"/>
    </row>
    <row r="399">
      <c r="A399" s="62"/>
      <c r="B399" s="62"/>
    </row>
    <row r="400">
      <c r="A400" s="62"/>
      <c r="B400" s="62"/>
    </row>
    <row r="401">
      <c r="A401" s="62"/>
      <c r="B401" s="62"/>
    </row>
    <row r="402">
      <c r="A402" s="62"/>
      <c r="B402" s="62"/>
    </row>
    <row r="403">
      <c r="A403" s="62"/>
      <c r="B403" s="62"/>
    </row>
    <row r="404">
      <c r="A404" s="62"/>
      <c r="B404" s="62"/>
    </row>
    <row r="405">
      <c r="A405" s="62"/>
      <c r="B405" s="62"/>
    </row>
    <row r="406">
      <c r="A406" s="62"/>
      <c r="B406" s="62"/>
    </row>
    <row r="407">
      <c r="A407" s="62"/>
      <c r="B407" s="62"/>
    </row>
    <row r="408">
      <c r="A408" s="62"/>
      <c r="B408" s="62"/>
    </row>
    <row r="409">
      <c r="A409" s="62"/>
      <c r="B409" s="62"/>
    </row>
    <row r="410">
      <c r="A410" s="62"/>
      <c r="B410" s="62"/>
    </row>
    <row r="411">
      <c r="A411" s="62"/>
      <c r="B411" s="62"/>
    </row>
    <row r="412">
      <c r="A412" s="62"/>
      <c r="B412" s="62"/>
    </row>
    <row r="413">
      <c r="A413" s="62"/>
      <c r="B413" s="62"/>
    </row>
    <row r="414">
      <c r="A414" s="62"/>
      <c r="B414" s="62"/>
    </row>
    <row r="415">
      <c r="A415" s="62"/>
      <c r="B415" s="62"/>
    </row>
    <row r="416">
      <c r="A416" s="62"/>
      <c r="B416" s="62"/>
    </row>
    <row r="417">
      <c r="A417" s="62"/>
      <c r="B417" s="62"/>
    </row>
    <row r="418">
      <c r="A418" s="62"/>
      <c r="B418" s="62"/>
    </row>
    <row r="419">
      <c r="A419" s="62"/>
      <c r="B419" s="62"/>
    </row>
    <row r="420">
      <c r="A420" s="62"/>
      <c r="B420" s="62"/>
    </row>
    <row r="421">
      <c r="A421" s="62"/>
      <c r="B421" s="62"/>
    </row>
    <row r="422">
      <c r="A422" s="62"/>
      <c r="B422" s="62"/>
    </row>
    <row r="423">
      <c r="A423" s="62"/>
      <c r="B423" s="62"/>
    </row>
    <row r="424">
      <c r="A424" s="62"/>
      <c r="B424" s="62"/>
    </row>
    <row r="425">
      <c r="A425" s="62"/>
      <c r="B425" s="62"/>
    </row>
    <row r="426">
      <c r="A426" s="62"/>
      <c r="B426" s="62"/>
    </row>
    <row r="427">
      <c r="A427" s="62"/>
      <c r="B427" s="62"/>
    </row>
    <row r="428">
      <c r="A428" s="62"/>
      <c r="B428" s="62"/>
    </row>
    <row r="429">
      <c r="A429" s="62"/>
      <c r="B429" s="62"/>
    </row>
    <row r="430">
      <c r="A430" s="62"/>
      <c r="B430" s="62"/>
    </row>
    <row r="431">
      <c r="A431" s="62"/>
      <c r="B431" s="62"/>
    </row>
    <row r="432">
      <c r="A432" s="62"/>
      <c r="B432" s="62"/>
    </row>
    <row r="433">
      <c r="A433" s="62"/>
      <c r="B433" s="62"/>
    </row>
    <row r="434">
      <c r="A434" s="62"/>
      <c r="B434" s="62"/>
    </row>
    <row r="435">
      <c r="A435" s="62"/>
      <c r="B435" s="62"/>
    </row>
    <row r="436">
      <c r="A436" s="62"/>
      <c r="B436" s="62"/>
    </row>
    <row r="437">
      <c r="A437" s="62"/>
      <c r="B437" s="62"/>
    </row>
    <row r="438">
      <c r="A438" s="62"/>
      <c r="B438" s="62"/>
    </row>
    <row r="439">
      <c r="A439" s="62"/>
      <c r="B439" s="62"/>
    </row>
    <row r="440">
      <c r="A440" s="62"/>
      <c r="B440" s="62"/>
    </row>
    <row r="441">
      <c r="A441" s="62"/>
      <c r="B441" s="62"/>
    </row>
    <row r="442">
      <c r="A442" s="62"/>
      <c r="B442" s="62"/>
    </row>
    <row r="443">
      <c r="A443" s="62"/>
      <c r="B443" s="62"/>
    </row>
    <row r="444">
      <c r="A444" s="62"/>
      <c r="B444" s="62"/>
    </row>
    <row r="445">
      <c r="A445" s="62"/>
      <c r="B445" s="62"/>
    </row>
    <row r="446">
      <c r="A446" s="62"/>
      <c r="B446" s="62"/>
    </row>
    <row r="447">
      <c r="A447" s="62"/>
      <c r="B447" s="62"/>
    </row>
    <row r="448">
      <c r="A448" s="62"/>
      <c r="B448" s="62"/>
    </row>
    <row r="449">
      <c r="A449" s="62"/>
      <c r="B449" s="62"/>
    </row>
    <row r="450">
      <c r="A450" s="62"/>
      <c r="B450" s="62"/>
    </row>
    <row r="451">
      <c r="A451" s="62"/>
      <c r="B451" s="62"/>
    </row>
    <row r="452">
      <c r="A452" s="62"/>
      <c r="B452" s="62"/>
    </row>
    <row r="453">
      <c r="A453" s="62"/>
      <c r="B453" s="62"/>
    </row>
    <row r="454">
      <c r="A454" s="62"/>
      <c r="B454" s="62"/>
    </row>
    <row r="455">
      <c r="A455" s="62"/>
      <c r="B455" s="62"/>
    </row>
    <row r="456">
      <c r="A456" s="62"/>
      <c r="B456" s="62"/>
    </row>
    <row r="457">
      <c r="A457" s="62"/>
      <c r="B457" s="62"/>
    </row>
    <row r="458">
      <c r="A458" s="62"/>
      <c r="B458" s="62"/>
    </row>
    <row r="459">
      <c r="A459" s="62"/>
      <c r="B459" s="62"/>
    </row>
    <row r="460">
      <c r="A460" s="62"/>
      <c r="B460" s="62"/>
    </row>
    <row r="461">
      <c r="A461" s="62"/>
      <c r="B461" s="62"/>
    </row>
    <row r="462">
      <c r="A462" s="62"/>
      <c r="B462" s="62"/>
    </row>
    <row r="463">
      <c r="A463" s="62"/>
      <c r="B463" s="62"/>
    </row>
    <row r="464">
      <c r="A464" s="62"/>
      <c r="B464" s="62"/>
    </row>
    <row r="465">
      <c r="A465" s="62"/>
      <c r="B465" s="62"/>
    </row>
    <row r="466">
      <c r="A466" s="62"/>
      <c r="B466" s="62"/>
    </row>
    <row r="467">
      <c r="A467" s="62"/>
      <c r="B467" s="62"/>
    </row>
    <row r="468">
      <c r="A468" s="62"/>
      <c r="B468" s="62"/>
    </row>
    <row r="469">
      <c r="A469" s="62"/>
      <c r="B469" s="62"/>
    </row>
    <row r="470">
      <c r="A470" s="62"/>
      <c r="B470" s="62"/>
    </row>
    <row r="471">
      <c r="A471" s="62"/>
      <c r="B471" s="62"/>
    </row>
    <row r="472">
      <c r="A472" s="62"/>
      <c r="B472" s="62"/>
    </row>
    <row r="473">
      <c r="A473" s="62"/>
      <c r="B473" s="62"/>
    </row>
    <row r="474">
      <c r="A474" s="62"/>
      <c r="B474" s="62"/>
    </row>
    <row r="475">
      <c r="A475" s="62"/>
      <c r="B475" s="62"/>
    </row>
    <row r="476">
      <c r="A476" s="62"/>
      <c r="B476" s="62"/>
    </row>
    <row r="477">
      <c r="A477" s="62"/>
      <c r="B477" s="62"/>
    </row>
    <row r="478">
      <c r="A478" s="62"/>
      <c r="B478" s="62"/>
    </row>
    <row r="479">
      <c r="A479" s="62"/>
      <c r="B479" s="62"/>
    </row>
    <row r="480">
      <c r="A480" s="62"/>
      <c r="B480" s="62"/>
    </row>
    <row r="481">
      <c r="A481" s="62"/>
      <c r="B481" s="62"/>
    </row>
    <row r="482">
      <c r="A482" s="62"/>
      <c r="B482" s="62"/>
    </row>
    <row r="483">
      <c r="A483" s="62"/>
      <c r="B483" s="62"/>
    </row>
    <row r="484">
      <c r="A484" s="62"/>
      <c r="B484" s="62"/>
    </row>
    <row r="485">
      <c r="A485" s="62"/>
      <c r="B485" s="62"/>
    </row>
    <row r="486">
      <c r="A486" s="62"/>
      <c r="B486" s="62"/>
    </row>
    <row r="487">
      <c r="A487" s="62"/>
      <c r="B487" s="62"/>
    </row>
    <row r="488">
      <c r="A488" s="62"/>
      <c r="B488" s="62"/>
    </row>
    <row r="489">
      <c r="A489" s="62"/>
      <c r="B489" s="62"/>
    </row>
    <row r="490">
      <c r="A490" s="62"/>
      <c r="B490" s="62"/>
    </row>
    <row r="491">
      <c r="A491" s="62"/>
      <c r="B491" s="62"/>
    </row>
    <row r="492">
      <c r="A492" s="62"/>
      <c r="B492" s="62"/>
    </row>
    <row r="493">
      <c r="A493" s="62"/>
      <c r="B493" s="62"/>
    </row>
    <row r="494">
      <c r="A494" s="62"/>
      <c r="B494" s="62"/>
    </row>
    <row r="495">
      <c r="A495" s="62"/>
      <c r="B495" s="62"/>
    </row>
    <row r="496">
      <c r="A496" s="62"/>
      <c r="B496" s="62"/>
    </row>
    <row r="497">
      <c r="A497" s="62"/>
      <c r="B497" s="62"/>
    </row>
    <row r="498">
      <c r="A498" s="62"/>
      <c r="B498" s="62"/>
    </row>
    <row r="499">
      <c r="A499" s="62"/>
      <c r="B499" s="62"/>
    </row>
    <row r="500">
      <c r="A500" s="62"/>
      <c r="B500" s="62"/>
    </row>
    <row r="501">
      <c r="A501" s="62"/>
      <c r="B501" s="62"/>
    </row>
    <row r="502">
      <c r="A502" s="62"/>
      <c r="B502" s="62"/>
    </row>
    <row r="503">
      <c r="A503" s="62"/>
      <c r="B503" s="62"/>
    </row>
    <row r="504">
      <c r="A504" s="62"/>
      <c r="B504" s="62"/>
    </row>
    <row r="505">
      <c r="A505" s="62"/>
      <c r="B505" s="62"/>
    </row>
    <row r="506">
      <c r="A506" s="62"/>
      <c r="B506" s="62"/>
    </row>
    <row r="507">
      <c r="A507" s="62"/>
      <c r="B507" s="62"/>
    </row>
    <row r="508">
      <c r="A508" s="62"/>
      <c r="B508" s="62"/>
    </row>
    <row r="509">
      <c r="A509" s="62"/>
      <c r="B509" s="62"/>
    </row>
    <row r="510">
      <c r="A510" s="62"/>
      <c r="B510" s="62"/>
    </row>
    <row r="511">
      <c r="A511" s="62"/>
      <c r="B511" s="62"/>
    </row>
    <row r="512">
      <c r="A512" s="62"/>
      <c r="B512" s="62"/>
    </row>
    <row r="513">
      <c r="A513" s="62"/>
      <c r="B513" s="62"/>
    </row>
    <row r="514">
      <c r="A514" s="62"/>
      <c r="B514" s="62"/>
    </row>
    <row r="515">
      <c r="A515" s="62"/>
      <c r="B515" s="62"/>
    </row>
    <row r="516">
      <c r="A516" s="62"/>
      <c r="B516" s="62"/>
    </row>
    <row r="517">
      <c r="A517" s="62"/>
      <c r="B517" s="62"/>
    </row>
    <row r="518">
      <c r="A518" s="62"/>
      <c r="B518" s="62"/>
    </row>
    <row r="519">
      <c r="A519" s="62"/>
      <c r="B519" s="62"/>
    </row>
    <row r="520">
      <c r="A520" s="62"/>
      <c r="B520" s="62"/>
    </row>
    <row r="521">
      <c r="A521" s="62"/>
      <c r="B521" s="62"/>
    </row>
    <row r="522">
      <c r="A522" s="62"/>
      <c r="B522" s="62"/>
    </row>
    <row r="523">
      <c r="A523" s="62"/>
      <c r="B523" s="62"/>
    </row>
    <row r="524">
      <c r="A524" s="62"/>
      <c r="B524" s="62"/>
    </row>
    <row r="525">
      <c r="A525" s="62"/>
      <c r="B525" s="62"/>
    </row>
    <row r="526">
      <c r="A526" s="62"/>
      <c r="B526" s="62"/>
    </row>
    <row r="527">
      <c r="A527" s="62"/>
      <c r="B527" s="62"/>
    </row>
    <row r="528">
      <c r="A528" s="62"/>
      <c r="B528" s="62"/>
    </row>
    <row r="529">
      <c r="A529" s="62"/>
      <c r="B529" s="62"/>
    </row>
    <row r="530">
      <c r="A530" s="62"/>
      <c r="B530" s="62"/>
    </row>
    <row r="531">
      <c r="A531" s="62"/>
      <c r="B531" s="62"/>
    </row>
    <row r="532">
      <c r="A532" s="62"/>
      <c r="B532" s="62"/>
    </row>
    <row r="533">
      <c r="A533" s="62"/>
      <c r="B533" s="62"/>
    </row>
    <row r="534">
      <c r="A534" s="62"/>
      <c r="B534" s="62"/>
    </row>
    <row r="535">
      <c r="A535" s="62"/>
      <c r="B535" s="62"/>
    </row>
    <row r="536">
      <c r="A536" s="62"/>
      <c r="B536" s="62"/>
    </row>
    <row r="537">
      <c r="A537" s="62"/>
      <c r="B537" s="62"/>
    </row>
    <row r="538">
      <c r="A538" s="62"/>
      <c r="B538" s="62"/>
    </row>
    <row r="539">
      <c r="A539" s="62"/>
      <c r="B539" s="62"/>
    </row>
    <row r="540">
      <c r="A540" s="62"/>
      <c r="B540" s="62"/>
    </row>
    <row r="541">
      <c r="A541" s="62"/>
      <c r="B541" s="62"/>
    </row>
    <row r="542">
      <c r="A542" s="62"/>
      <c r="B542" s="62"/>
    </row>
    <row r="543">
      <c r="A543" s="62"/>
      <c r="B543" s="62"/>
    </row>
    <row r="544">
      <c r="A544" s="62"/>
      <c r="B544" s="62"/>
    </row>
    <row r="545">
      <c r="A545" s="62"/>
      <c r="B545" s="62"/>
    </row>
    <row r="546">
      <c r="A546" s="62"/>
      <c r="B546" s="62"/>
    </row>
    <row r="547">
      <c r="A547" s="62"/>
      <c r="B547" s="62"/>
    </row>
    <row r="548">
      <c r="A548" s="62"/>
      <c r="B548" s="62"/>
    </row>
    <row r="549">
      <c r="A549" s="62"/>
      <c r="B549" s="62"/>
    </row>
    <row r="550">
      <c r="A550" s="62"/>
      <c r="B550" s="62"/>
    </row>
    <row r="551">
      <c r="A551" s="62"/>
      <c r="B551" s="62"/>
    </row>
    <row r="552">
      <c r="A552" s="62"/>
      <c r="B552" s="62"/>
    </row>
    <row r="553">
      <c r="A553" s="62"/>
      <c r="B553" s="62"/>
    </row>
    <row r="554">
      <c r="A554" s="62"/>
      <c r="B554" s="62"/>
    </row>
    <row r="555">
      <c r="A555" s="62"/>
      <c r="B555" s="62"/>
    </row>
    <row r="556">
      <c r="A556" s="62"/>
      <c r="B556" s="62"/>
    </row>
    <row r="557">
      <c r="A557" s="62"/>
      <c r="B557" s="62"/>
    </row>
    <row r="558">
      <c r="A558" s="62"/>
      <c r="B558" s="62"/>
    </row>
    <row r="559">
      <c r="A559" s="62"/>
      <c r="B559" s="62"/>
    </row>
    <row r="560">
      <c r="A560" s="62"/>
      <c r="B560" s="62"/>
    </row>
    <row r="561">
      <c r="A561" s="62"/>
      <c r="B561" s="62"/>
    </row>
    <row r="562">
      <c r="A562" s="62"/>
      <c r="B562" s="62"/>
    </row>
    <row r="563">
      <c r="A563" s="62"/>
      <c r="B563" s="62"/>
    </row>
    <row r="564">
      <c r="A564" s="62"/>
      <c r="B564" s="62"/>
    </row>
    <row r="565">
      <c r="A565" s="62"/>
      <c r="B565" s="62"/>
    </row>
    <row r="566">
      <c r="A566" s="62"/>
      <c r="B566" s="62"/>
    </row>
    <row r="567">
      <c r="A567" s="62"/>
      <c r="B567" s="62"/>
    </row>
    <row r="568">
      <c r="A568" s="62"/>
      <c r="B568" s="62"/>
    </row>
    <row r="569">
      <c r="A569" s="62"/>
      <c r="B569" s="62"/>
    </row>
    <row r="570">
      <c r="A570" s="62"/>
      <c r="B570" s="62"/>
    </row>
    <row r="571">
      <c r="A571" s="62"/>
      <c r="B571" s="62"/>
    </row>
    <row r="572">
      <c r="A572" s="62"/>
      <c r="B572" s="62"/>
    </row>
    <row r="573">
      <c r="A573" s="62"/>
      <c r="B573" s="62"/>
    </row>
    <row r="574">
      <c r="A574" s="62"/>
      <c r="B574" s="62"/>
    </row>
    <row r="575">
      <c r="A575" s="62"/>
      <c r="B575" s="62"/>
    </row>
    <row r="576">
      <c r="A576" s="62"/>
      <c r="B576" s="62"/>
    </row>
    <row r="577">
      <c r="A577" s="62"/>
      <c r="B577" s="62"/>
    </row>
    <row r="578">
      <c r="A578" s="62"/>
      <c r="B578" s="62"/>
    </row>
    <row r="579">
      <c r="A579" s="62"/>
      <c r="B579" s="62"/>
    </row>
    <row r="580">
      <c r="A580" s="62"/>
      <c r="B580" s="62"/>
    </row>
    <row r="581">
      <c r="A581" s="62"/>
      <c r="B581" s="62"/>
    </row>
    <row r="582">
      <c r="A582" s="62"/>
      <c r="B582" s="62"/>
    </row>
    <row r="583">
      <c r="A583" s="62"/>
      <c r="B583" s="62"/>
    </row>
    <row r="584">
      <c r="A584" s="62"/>
      <c r="B584" s="62"/>
    </row>
    <row r="585">
      <c r="A585" s="62"/>
      <c r="B585" s="62"/>
    </row>
    <row r="586">
      <c r="A586" s="62"/>
      <c r="B586" s="62"/>
    </row>
    <row r="587">
      <c r="A587" s="62"/>
      <c r="B587" s="62"/>
    </row>
    <row r="588">
      <c r="A588" s="62"/>
      <c r="B588" s="62"/>
    </row>
    <row r="589">
      <c r="A589" s="62"/>
      <c r="B589" s="62"/>
    </row>
    <row r="590">
      <c r="A590" s="62"/>
      <c r="B590" s="62"/>
    </row>
    <row r="591">
      <c r="A591" s="62"/>
      <c r="B591" s="62"/>
    </row>
    <row r="592">
      <c r="A592" s="62"/>
      <c r="B592" s="62"/>
    </row>
    <row r="593">
      <c r="A593" s="62"/>
      <c r="B593" s="62"/>
    </row>
    <row r="594">
      <c r="A594" s="62"/>
      <c r="B594" s="62"/>
    </row>
    <row r="595">
      <c r="A595" s="62"/>
      <c r="B595" s="62"/>
    </row>
    <row r="596">
      <c r="A596" s="62"/>
      <c r="B596" s="62"/>
    </row>
    <row r="597">
      <c r="A597" s="62"/>
      <c r="B597" s="62"/>
    </row>
    <row r="598">
      <c r="A598" s="62"/>
      <c r="B598" s="62"/>
    </row>
    <row r="599">
      <c r="A599" s="62"/>
      <c r="B599" s="62"/>
    </row>
    <row r="600">
      <c r="A600" s="62"/>
      <c r="B600" s="62"/>
    </row>
    <row r="601">
      <c r="A601" s="62"/>
      <c r="B601" s="62"/>
    </row>
    <row r="602">
      <c r="A602" s="62"/>
      <c r="B602" s="62"/>
    </row>
    <row r="603">
      <c r="A603" s="62"/>
      <c r="B603" s="62"/>
    </row>
    <row r="604">
      <c r="A604" s="62"/>
      <c r="B604" s="62"/>
    </row>
    <row r="605">
      <c r="A605" s="62"/>
      <c r="B605" s="62"/>
    </row>
    <row r="606">
      <c r="A606" s="62"/>
      <c r="B606" s="62"/>
    </row>
    <row r="607">
      <c r="A607" s="62"/>
      <c r="B607" s="62"/>
    </row>
    <row r="608">
      <c r="A608" s="62"/>
      <c r="B608" s="62"/>
    </row>
    <row r="609">
      <c r="A609" s="62"/>
      <c r="B609" s="62"/>
    </row>
    <row r="610">
      <c r="A610" s="62"/>
      <c r="B610" s="62"/>
    </row>
    <row r="611">
      <c r="A611" s="62"/>
      <c r="B611" s="62"/>
    </row>
    <row r="612">
      <c r="A612" s="62"/>
      <c r="B612" s="62"/>
    </row>
    <row r="613">
      <c r="A613" s="62"/>
      <c r="B613" s="62"/>
    </row>
    <row r="614">
      <c r="A614" s="62"/>
      <c r="B614" s="62"/>
    </row>
    <row r="615">
      <c r="A615" s="62"/>
      <c r="B615" s="62"/>
    </row>
    <row r="616">
      <c r="A616" s="62"/>
      <c r="B616" s="62"/>
    </row>
    <row r="617">
      <c r="A617" s="62"/>
      <c r="B617" s="62"/>
    </row>
    <row r="618">
      <c r="A618" s="62"/>
      <c r="B618" s="62"/>
    </row>
    <row r="619">
      <c r="A619" s="62"/>
      <c r="B619" s="62"/>
    </row>
    <row r="620">
      <c r="A620" s="62"/>
      <c r="B620" s="62"/>
    </row>
    <row r="621">
      <c r="A621" s="62"/>
      <c r="B621" s="62"/>
    </row>
    <row r="622">
      <c r="A622" s="62"/>
      <c r="B622" s="62"/>
    </row>
    <row r="623">
      <c r="A623" s="62"/>
      <c r="B623" s="62"/>
    </row>
    <row r="624">
      <c r="A624" s="62"/>
      <c r="B624" s="62"/>
    </row>
    <row r="625">
      <c r="A625" s="62"/>
      <c r="B625" s="62"/>
    </row>
    <row r="626">
      <c r="A626" s="62"/>
      <c r="B626" s="62"/>
    </row>
    <row r="627">
      <c r="A627" s="62"/>
      <c r="B627" s="62"/>
    </row>
    <row r="628">
      <c r="A628" s="62"/>
      <c r="B628" s="62"/>
    </row>
    <row r="629">
      <c r="A629" s="62"/>
      <c r="B629" s="62"/>
    </row>
    <row r="630">
      <c r="A630" s="62"/>
      <c r="B630" s="62"/>
    </row>
    <row r="631">
      <c r="A631" s="62"/>
      <c r="B631" s="62"/>
    </row>
    <row r="632">
      <c r="A632" s="62"/>
      <c r="B632" s="62"/>
    </row>
    <row r="633">
      <c r="A633" s="62"/>
      <c r="B633" s="62"/>
    </row>
    <row r="634">
      <c r="A634" s="62"/>
      <c r="B634" s="62"/>
    </row>
    <row r="635">
      <c r="A635" s="62"/>
      <c r="B635" s="62"/>
    </row>
    <row r="636">
      <c r="A636" s="62"/>
      <c r="B636" s="62"/>
    </row>
    <row r="637">
      <c r="A637" s="62"/>
      <c r="B637" s="62"/>
    </row>
    <row r="638">
      <c r="A638" s="62"/>
      <c r="B638" s="62"/>
    </row>
    <row r="639">
      <c r="A639" s="62"/>
      <c r="B639" s="62"/>
    </row>
    <row r="640">
      <c r="A640" s="62"/>
      <c r="B640" s="62"/>
    </row>
    <row r="641">
      <c r="A641" s="62"/>
      <c r="B641" s="62"/>
    </row>
    <row r="642">
      <c r="A642" s="62"/>
      <c r="B642" s="62"/>
    </row>
    <row r="643">
      <c r="A643" s="62"/>
      <c r="B643" s="62"/>
    </row>
    <row r="644">
      <c r="A644" s="62"/>
      <c r="B644" s="62"/>
    </row>
    <row r="645">
      <c r="A645" s="62"/>
      <c r="B645" s="62"/>
    </row>
    <row r="646">
      <c r="A646" s="62"/>
      <c r="B646" s="62"/>
    </row>
    <row r="647">
      <c r="A647" s="62"/>
      <c r="B647" s="62"/>
    </row>
    <row r="648">
      <c r="A648" s="62"/>
      <c r="B648" s="62"/>
    </row>
    <row r="649">
      <c r="A649" s="62"/>
      <c r="B649" s="62"/>
    </row>
    <row r="650">
      <c r="A650" s="62"/>
      <c r="B650" s="62"/>
    </row>
    <row r="651">
      <c r="A651" s="62"/>
      <c r="B651" s="62"/>
    </row>
    <row r="652">
      <c r="A652" s="62"/>
      <c r="B652" s="62"/>
    </row>
    <row r="653">
      <c r="A653" s="62"/>
      <c r="B653" s="62"/>
    </row>
    <row r="654">
      <c r="A654" s="62"/>
      <c r="B654" s="62"/>
    </row>
    <row r="655">
      <c r="A655" s="62"/>
      <c r="B655" s="62"/>
    </row>
    <row r="656">
      <c r="A656" s="62"/>
      <c r="B656" s="62"/>
    </row>
    <row r="657">
      <c r="A657" s="62"/>
      <c r="B657" s="62"/>
    </row>
    <row r="658">
      <c r="A658" s="62"/>
      <c r="B658" s="62"/>
    </row>
    <row r="659">
      <c r="A659" s="62"/>
      <c r="B659" s="62"/>
    </row>
    <row r="660">
      <c r="A660" s="62"/>
      <c r="B660" s="62"/>
    </row>
    <row r="661">
      <c r="A661" s="62"/>
      <c r="B661" s="62"/>
    </row>
    <row r="662">
      <c r="A662" s="62"/>
      <c r="B662" s="62"/>
    </row>
    <row r="663">
      <c r="A663" s="62"/>
      <c r="B663" s="62"/>
    </row>
    <row r="664">
      <c r="A664" s="62"/>
      <c r="B664" s="62"/>
    </row>
    <row r="665">
      <c r="A665" s="62"/>
      <c r="B665" s="62"/>
    </row>
    <row r="666">
      <c r="A666" s="62"/>
      <c r="B666" s="62"/>
    </row>
    <row r="667">
      <c r="A667" s="62"/>
      <c r="B667" s="62"/>
    </row>
    <row r="668">
      <c r="A668" s="62"/>
      <c r="B668" s="62"/>
    </row>
    <row r="669">
      <c r="A669" s="62"/>
      <c r="B669" s="62"/>
    </row>
    <row r="670">
      <c r="A670" s="62"/>
      <c r="B670" s="62"/>
    </row>
    <row r="671">
      <c r="A671" s="62"/>
      <c r="B671" s="62"/>
    </row>
    <row r="672">
      <c r="A672" s="62"/>
      <c r="B672" s="62"/>
    </row>
    <row r="673">
      <c r="A673" s="62"/>
      <c r="B673" s="62"/>
    </row>
    <row r="674">
      <c r="A674" s="62"/>
      <c r="B674" s="62"/>
    </row>
    <row r="675">
      <c r="A675" s="62"/>
      <c r="B675" s="62"/>
    </row>
    <row r="676">
      <c r="A676" s="62"/>
      <c r="B676" s="62"/>
    </row>
    <row r="677">
      <c r="A677" s="62"/>
      <c r="B677" s="62"/>
    </row>
    <row r="678">
      <c r="A678" s="62"/>
      <c r="B678" s="62"/>
    </row>
    <row r="679">
      <c r="A679" s="62"/>
      <c r="B679" s="62"/>
    </row>
    <row r="680">
      <c r="A680" s="62"/>
      <c r="B680" s="62"/>
    </row>
    <row r="681">
      <c r="A681" s="62"/>
      <c r="B681" s="62"/>
    </row>
    <row r="682">
      <c r="A682" s="62"/>
      <c r="B682" s="62"/>
    </row>
    <row r="683">
      <c r="A683" s="62"/>
      <c r="B683" s="62"/>
    </row>
    <row r="684">
      <c r="A684" s="62"/>
      <c r="B684" s="62"/>
    </row>
    <row r="685">
      <c r="A685" s="62"/>
      <c r="B685" s="62"/>
    </row>
    <row r="686">
      <c r="A686" s="62"/>
      <c r="B686" s="62"/>
    </row>
    <row r="687">
      <c r="A687" s="62"/>
      <c r="B687" s="62"/>
    </row>
    <row r="688">
      <c r="A688" s="62"/>
      <c r="B688" s="62"/>
    </row>
    <row r="689">
      <c r="A689" s="62"/>
      <c r="B689" s="62"/>
    </row>
    <row r="690">
      <c r="A690" s="62"/>
      <c r="B690" s="62"/>
    </row>
    <row r="691">
      <c r="A691" s="62"/>
      <c r="B691" s="62"/>
    </row>
    <row r="692">
      <c r="A692" s="62"/>
      <c r="B692" s="62"/>
    </row>
    <row r="693">
      <c r="A693" s="62"/>
      <c r="B693" s="62"/>
    </row>
    <row r="694">
      <c r="A694" s="62"/>
      <c r="B694" s="62"/>
    </row>
    <row r="695">
      <c r="A695" s="62"/>
      <c r="B695" s="62"/>
    </row>
    <row r="696">
      <c r="A696" s="62"/>
      <c r="B696" s="62"/>
    </row>
    <row r="697">
      <c r="A697" s="62"/>
      <c r="B697" s="62"/>
    </row>
    <row r="698">
      <c r="A698" s="62"/>
      <c r="B698" s="62"/>
    </row>
    <row r="699">
      <c r="A699" s="62"/>
      <c r="B699" s="62"/>
    </row>
    <row r="700">
      <c r="A700" s="62"/>
      <c r="B700" s="62"/>
    </row>
    <row r="701">
      <c r="A701" s="62"/>
      <c r="B701" s="62"/>
    </row>
    <row r="702">
      <c r="A702" s="62"/>
      <c r="B702" s="62"/>
    </row>
    <row r="703">
      <c r="A703" s="62"/>
      <c r="B703" s="62"/>
    </row>
    <row r="704">
      <c r="A704" s="62"/>
      <c r="B704" s="62"/>
    </row>
    <row r="705">
      <c r="A705" s="62"/>
      <c r="B705" s="62"/>
    </row>
    <row r="706">
      <c r="A706" s="62"/>
      <c r="B706" s="62"/>
    </row>
    <row r="707">
      <c r="A707" s="62"/>
      <c r="B707" s="62"/>
    </row>
    <row r="708">
      <c r="A708" s="62"/>
      <c r="B708" s="62"/>
    </row>
    <row r="709">
      <c r="A709" s="62"/>
      <c r="B709" s="62"/>
    </row>
    <row r="710">
      <c r="A710" s="62"/>
      <c r="B710" s="62"/>
    </row>
    <row r="711">
      <c r="A711" s="62"/>
      <c r="B711" s="62"/>
    </row>
    <row r="712">
      <c r="A712" s="62"/>
      <c r="B712" s="62"/>
    </row>
    <row r="713">
      <c r="A713" s="62"/>
      <c r="B713" s="62"/>
    </row>
    <row r="714">
      <c r="A714" s="62"/>
      <c r="B714" s="62"/>
    </row>
    <row r="715">
      <c r="A715" s="62"/>
      <c r="B715" s="62"/>
    </row>
    <row r="716">
      <c r="A716" s="62"/>
      <c r="B716" s="62"/>
    </row>
    <row r="717">
      <c r="A717" s="62"/>
      <c r="B717" s="62"/>
    </row>
    <row r="718">
      <c r="A718" s="62"/>
      <c r="B718" s="62"/>
    </row>
    <row r="719">
      <c r="A719" s="62"/>
      <c r="B719" s="62"/>
    </row>
    <row r="720">
      <c r="A720" s="62"/>
      <c r="B720" s="62"/>
    </row>
    <row r="721">
      <c r="A721" s="62"/>
      <c r="B721" s="62"/>
    </row>
    <row r="722">
      <c r="A722" s="62"/>
      <c r="B722" s="62"/>
    </row>
    <row r="723">
      <c r="A723" s="62"/>
      <c r="B723" s="62"/>
    </row>
    <row r="724">
      <c r="A724" s="62"/>
      <c r="B724" s="62"/>
    </row>
    <row r="725">
      <c r="A725" s="62"/>
      <c r="B725" s="62"/>
    </row>
    <row r="726">
      <c r="A726" s="62"/>
      <c r="B726" s="62"/>
    </row>
    <row r="727">
      <c r="A727" s="62"/>
      <c r="B727" s="62"/>
    </row>
    <row r="728">
      <c r="A728" s="62"/>
      <c r="B728" s="62"/>
    </row>
    <row r="729">
      <c r="A729" s="62"/>
      <c r="B729" s="62"/>
    </row>
    <row r="730">
      <c r="A730" s="62"/>
      <c r="B730" s="62"/>
    </row>
    <row r="731">
      <c r="A731" s="62"/>
      <c r="B731" s="62"/>
    </row>
    <row r="732">
      <c r="A732" s="62"/>
      <c r="B732" s="62"/>
    </row>
    <row r="733">
      <c r="A733" s="62"/>
      <c r="B733" s="62"/>
    </row>
    <row r="734">
      <c r="A734" s="62"/>
      <c r="B734" s="62"/>
    </row>
    <row r="735">
      <c r="A735" s="62"/>
      <c r="B735" s="62"/>
    </row>
    <row r="736">
      <c r="A736" s="62"/>
      <c r="B736" s="62"/>
    </row>
    <row r="737">
      <c r="A737" s="62"/>
      <c r="B737" s="62"/>
    </row>
    <row r="738">
      <c r="A738" s="62"/>
      <c r="B738" s="62"/>
    </row>
    <row r="739">
      <c r="A739" s="62"/>
      <c r="B739" s="62"/>
    </row>
    <row r="740">
      <c r="A740" s="62"/>
      <c r="B740" s="62"/>
    </row>
    <row r="741">
      <c r="A741" s="62"/>
      <c r="B741" s="62"/>
    </row>
    <row r="742">
      <c r="A742" s="62"/>
      <c r="B742" s="62"/>
    </row>
    <row r="743">
      <c r="A743" s="62"/>
      <c r="B743" s="62"/>
    </row>
    <row r="744">
      <c r="A744" s="62"/>
      <c r="B744" s="62"/>
    </row>
    <row r="745">
      <c r="A745" s="62"/>
      <c r="B745" s="62"/>
    </row>
    <row r="746">
      <c r="A746" s="62"/>
      <c r="B746" s="62"/>
    </row>
    <row r="747">
      <c r="A747" s="62"/>
      <c r="B747" s="62"/>
    </row>
    <row r="748">
      <c r="A748" s="62"/>
      <c r="B748" s="62"/>
    </row>
    <row r="749">
      <c r="A749" s="62"/>
      <c r="B749" s="62"/>
    </row>
    <row r="750">
      <c r="A750" s="62"/>
      <c r="B750" s="62"/>
    </row>
    <row r="751">
      <c r="A751" s="62"/>
      <c r="B751" s="62"/>
    </row>
    <row r="752">
      <c r="A752" s="62"/>
      <c r="B752" s="62"/>
    </row>
    <row r="753">
      <c r="A753" s="62"/>
      <c r="B753" s="62"/>
    </row>
    <row r="754">
      <c r="A754" s="62"/>
      <c r="B754" s="62"/>
    </row>
    <row r="755">
      <c r="A755" s="62"/>
      <c r="B755" s="62"/>
    </row>
    <row r="756">
      <c r="A756" s="62"/>
      <c r="B756" s="62"/>
    </row>
    <row r="757">
      <c r="A757" s="62"/>
      <c r="B757" s="62"/>
    </row>
    <row r="758">
      <c r="A758" s="62"/>
      <c r="B758" s="62"/>
    </row>
    <row r="759">
      <c r="A759" s="62"/>
      <c r="B759" s="62"/>
    </row>
    <row r="760">
      <c r="A760" s="62"/>
      <c r="B760" s="62"/>
    </row>
    <row r="761">
      <c r="A761" s="62"/>
      <c r="B761" s="62"/>
    </row>
    <row r="762">
      <c r="A762" s="62"/>
      <c r="B762" s="62"/>
    </row>
    <row r="763">
      <c r="A763" s="62"/>
      <c r="B763" s="62"/>
    </row>
    <row r="764">
      <c r="A764" s="62"/>
      <c r="B764" s="62"/>
    </row>
    <row r="765">
      <c r="A765" s="62"/>
      <c r="B765" s="62"/>
    </row>
    <row r="766">
      <c r="A766" s="62"/>
      <c r="B766" s="62"/>
    </row>
    <row r="767">
      <c r="A767" s="62"/>
      <c r="B767" s="62"/>
    </row>
    <row r="768">
      <c r="A768" s="62"/>
      <c r="B768" s="62"/>
    </row>
    <row r="769">
      <c r="A769" s="62"/>
      <c r="B769" s="62"/>
    </row>
    <row r="770">
      <c r="A770" s="62"/>
      <c r="B770" s="62"/>
    </row>
    <row r="771">
      <c r="A771" s="62"/>
      <c r="B771" s="62"/>
    </row>
    <row r="772">
      <c r="A772" s="62"/>
      <c r="B772" s="62"/>
    </row>
    <row r="773">
      <c r="A773" s="62"/>
      <c r="B773" s="62"/>
    </row>
    <row r="774">
      <c r="A774" s="62"/>
      <c r="B774" s="62"/>
    </row>
    <row r="775">
      <c r="A775" s="62"/>
      <c r="B775" s="62"/>
    </row>
    <row r="776">
      <c r="A776" s="62"/>
      <c r="B776" s="62"/>
    </row>
    <row r="777">
      <c r="A777" s="62"/>
      <c r="B777" s="62"/>
    </row>
    <row r="778">
      <c r="A778" s="62"/>
      <c r="B778" s="62"/>
    </row>
    <row r="779">
      <c r="A779" s="62"/>
      <c r="B779" s="62"/>
    </row>
    <row r="780">
      <c r="A780" s="62"/>
      <c r="B780" s="62"/>
    </row>
    <row r="781">
      <c r="A781" s="62"/>
      <c r="B781" s="62"/>
    </row>
    <row r="782">
      <c r="A782" s="62"/>
      <c r="B782" s="62"/>
    </row>
    <row r="783">
      <c r="A783" s="62"/>
      <c r="B783" s="62"/>
    </row>
    <row r="784">
      <c r="A784" s="62"/>
      <c r="B784" s="62"/>
    </row>
    <row r="785">
      <c r="A785" s="62"/>
      <c r="B785" s="62"/>
    </row>
    <row r="786">
      <c r="A786" s="62"/>
      <c r="B786" s="62"/>
    </row>
    <row r="787">
      <c r="A787" s="62"/>
      <c r="B787" s="62"/>
    </row>
    <row r="788">
      <c r="A788" s="62"/>
      <c r="B788" s="62"/>
    </row>
    <row r="789">
      <c r="A789" s="62"/>
      <c r="B789" s="62"/>
    </row>
    <row r="790">
      <c r="A790" s="62"/>
      <c r="B790" s="62"/>
    </row>
    <row r="791">
      <c r="A791" s="62"/>
      <c r="B791" s="62"/>
    </row>
    <row r="792">
      <c r="A792" s="62"/>
      <c r="B792" s="62"/>
    </row>
    <row r="793">
      <c r="A793" s="62"/>
      <c r="B793" s="62"/>
    </row>
    <row r="794">
      <c r="A794" s="62"/>
      <c r="B794" s="62"/>
    </row>
    <row r="795">
      <c r="A795" s="62"/>
      <c r="B795" s="62"/>
    </row>
    <row r="796">
      <c r="A796" s="62"/>
      <c r="B796" s="62"/>
    </row>
    <row r="797">
      <c r="A797" s="62"/>
      <c r="B797" s="62"/>
    </row>
    <row r="798">
      <c r="A798" s="62"/>
      <c r="B798" s="62"/>
    </row>
    <row r="799">
      <c r="A799" s="62"/>
      <c r="B799" s="62"/>
    </row>
    <row r="800">
      <c r="A800" s="62"/>
      <c r="B800" s="62"/>
    </row>
    <row r="801">
      <c r="A801" s="62"/>
      <c r="B801" s="62"/>
    </row>
    <row r="802">
      <c r="A802" s="62"/>
      <c r="B802" s="62"/>
    </row>
    <row r="803">
      <c r="A803" s="62"/>
      <c r="B803" s="62"/>
    </row>
    <row r="804">
      <c r="A804" s="62"/>
      <c r="B804" s="62"/>
    </row>
    <row r="805">
      <c r="A805" s="62"/>
      <c r="B805" s="62"/>
    </row>
    <row r="806">
      <c r="A806" s="62"/>
      <c r="B806" s="62"/>
    </row>
    <row r="807">
      <c r="A807" s="62"/>
      <c r="B807" s="62"/>
    </row>
    <row r="808">
      <c r="A808" s="62"/>
      <c r="B808" s="62"/>
    </row>
    <row r="809">
      <c r="A809" s="62"/>
      <c r="B809" s="62"/>
    </row>
    <row r="810">
      <c r="A810" s="62"/>
      <c r="B810" s="62"/>
    </row>
    <row r="811">
      <c r="A811" s="62"/>
      <c r="B811" s="62"/>
    </row>
    <row r="812">
      <c r="A812" s="62"/>
      <c r="B812" s="62"/>
    </row>
    <row r="813">
      <c r="A813" s="62"/>
      <c r="B813" s="62"/>
    </row>
    <row r="814">
      <c r="A814" s="62"/>
      <c r="B814" s="62"/>
    </row>
    <row r="815">
      <c r="A815" s="62"/>
      <c r="B815" s="62"/>
    </row>
    <row r="816">
      <c r="A816" s="62"/>
      <c r="B816" s="62"/>
    </row>
    <row r="817">
      <c r="A817" s="62"/>
      <c r="B817" s="62"/>
    </row>
    <row r="818">
      <c r="A818" s="62"/>
      <c r="B818" s="62"/>
    </row>
    <row r="819">
      <c r="A819" s="62"/>
      <c r="B819" s="62"/>
    </row>
    <row r="820">
      <c r="A820" s="62"/>
      <c r="B820" s="62"/>
    </row>
    <row r="821">
      <c r="A821" s="62"/>
      <c r="B821" s="62"/>
    </row>
    <row r="822">
      <c r="A822" s="62"/>
      <c r="B822" s="62"/>
    </row>
    <row r="823">
      <c r="A823" s="62"/>
      <c r="B823" s="62"/>
    </row>
    <row r="824">
      <c r="A824" s="62"/>
      <c r="B824" s="62"/>
    </row>
    <row r="825">
      <c r="A825" s="62"/>
      <c r="B825" s="62"/>
    </row>
    <row r="826">
      <c r="A826" s="62"/>
      <c r="B826" s="62"/>
    </row>
    <row r="827">
      <c r="A827" s="62"/>
      <c r="B827" s="62"/>
    </row>
    <row r="828">
      <c r="A828" s="62"/>
      <c r="B828" s="62"/>
    </row>
    <row r="829">
      <c r="A829" s="62"/>
      <c r="B829" s="62"/>
    </row>
    <row r="830">
      <c r="A830" s="62"/>
      <c r="B830" s="62"/>
    </row>
    <row r="831">
      <c r="A831" s="62"/>
      <c r="B831" s="62"/>
    </row>
    <row r="832">
      <c r="A832" s="62"/>
      <c r="B832" s="62"/>
    </row>
    <row r="833">
      <c r="A833" s="62"/>
      <c r="B833" s="62"/>
    </row>
    <row r="834">
      <c r="A834" s="62"/>
      <c r="B834" s="62"/>
    </row>
    <row r="835">
      <c r="A835" s="62"/>
      <c r="B835" s="62"/>
    </row>
    <row r="836">
      <c r="A836" s="62"/>
      <c r="B836" s="62"/>
    </row>
    <row r="837">
      <c r="A837" s="62"/>
      <c r="B837" s="62"/>
    </row>
    <row r="838">
      <c r="A838" s="62"/>
      <c r="B838" s="62"/>
    </row>
    <row r="839">
      <c r="A839" s="62"/>
      <c r="B839" s="62"/>
    </row>
    <row r="840">
      <c r="A840" s="62"/>
      <c r="B840" s="62"/>
    </row>
    <row r="841">
      <c r="A841" s="62"/>
      <c r="B841" s="62"/>
    </row>
    <row r="842">
      <c r="A842" s="62"/>
      <c r="B842" s="62"/>
    </row>
    <row r="843">
      <c r="A843" s="62"/>
      <c r="B843" s="62"/>
    </row>
    <row r="844">
      <c r="A844" s="62"/>
      <c r="B844" s="62"/>
    </row>
    <row r="845">
      <c r="A845" s="62"/>
      <c r="B845" s="62"/>
    </row>
    <row r="846">
      <c r="A846" s="62"/>
      <c r="B846" s="62"/>
    </row>
    <row r="847">
      <c r="A847" s="62"/>
      <c r="B847" s="62"/>
    </row>
    <row r="848">
      <c r="A848" s="62"/>
      <c r="B848" s="62"/>
    </row>
    <row r="849">
      <c r="A849" s="62"/>
      <c r="B849" s="62"/>
    </row>
    <row r="850">
      <c r="A850" s="62"/>
      <c r="B850" s="62"/>
    </row>
    <row r="851">
      <c r="A851" s="62"/>
      <c r="B851" s="62"/>
    </row>
    <row r="852">
      <c r="A852" s="62"/>
      <c r="B852" s="62"/>
    </row>
    <row r="853">
      <c r="A853" s="62"/>
      <c r="B853" s="62"/>
    </row>
    <row r="854">
      <c r="A854" s="62"/>
      <c r="B854" s="62"/>
    </row>
    <row r="855">
      <c r="A855" s="62"/>
      <c r="B855" s="62"/>
    </row>
    <row r="856">
      <c r="A856" s="62"/>
      <c r="B856" s="62"/>
    </row>
    <row r="857">
      <c r="A857" s="62"/>
      <c r="B857" s="62"/>
    </row>
    <row r="858">
      <c r="A858" s="62"/>
      <c r="B858" s="62"/>
    </row>
    <row r="859">
      <c r="A859" s="62"/>
      <c r="B859" s="62"/>
    </row>
    <row r="860">
      <c r="A860" s="62"/>
      <c r="B860" s="62"/>
    </row>
    <row r="861">
      <c r="A861" s="62"/>
      <c r="B861" s="62"/>
    </row>
    <row r="862">
      <c r="A862" s="62"/>
      <c r="B862" s="62"/>
    </row>
    <row r="863">
      <c r="A863" s="62"/>
      <c r="B863" s="62"/>
    </row>
    <row r="864">
      <c r="A864" s="62"/>
      <c r="B864" s="62"/>
    </row>
    <row r="865">
      <c r="A865" s="62"/>
      <c r="B865" s="62"/>
    </row>
    <row r="866">
      <c r="A866" s="62"/>
      <c r="B866" s="62"/>
    </row>
    <row r="867">
      <c r="A867" s="62"/>
      <c r="B867" s="62"/>
    </row>
    <row r="868">
      <c r="A868" s="62"/>
      <c r="B868" s="62"/>
    </row>
    <row r="869">
      <c r="A869" s="62"/>
      <c r="B869" s="62"/>
    </row>
    <row r="870">
      <c r="A870" s="62"/>
      <c r="B870" s="62"/>
    </row>
    <row r="871">
      <c r="A871" s="62"/>
      <c r="B871" s="62"/>
    </row>
    <row r="872">
      <c r="A872" s="62"/>
      <c r="B872" s="62"/>
    </row>
    <row r="873">
      <c r="A873" s="62"/>
      <c r="B873" s="62"/>
    </row>
    <row r="874">
      <c r="A874" s="62"/>
      <c r="B874" s="62"/>
    </row>
    <row r="875">
      <c r="A875" s="62"/>
      <c r="B875" s="62"/>
    </row>
    <row r="876">
      <c r="A876" s="62"/>
      <c r="B876" s="62"/>
    </row>
    <row r="877">
      <c r="A877" s="62"/>
      <c r="B877" s="62"/>
    </row>
    <row r="878">
      <c r="A878" s="62"/>
      <c r="B878" s="62"/>
    </row>
    <row r="879">
      <c r="A879" s="62"/>
      <c r="B879" s="62"/>
    </row>
    <row r="880">
      <c r="A880" s="62"/>
      <c r="B880" s="62"/>
    </row>
    <row r="881">
      <c r="A881" s="62"/>
      <c r="B881" s="62"/>
    </row>
    <row r="882">
      <c r="A882" s="62"/>
      <c r="B882" s="62"/>
    </row>
    <row r="883">
      <c r="A883" s="62"/>
      <c r="B883" s="62"/>
    </row>
    <row r="884">
      <c r="A884" s="62"/>
      <c r="B884" s="62"/>
    </row>
    <row r="885">
      <c r="A885" s="62"/>
      <c r="B885" s="62"/>
    </row>
    <row r="886">
      <c r="A886" s="62"/>
      <c r="B886" s="62"/>
    </row>
    <row r="887">
      <c r="A887" s="62"/>
      <c r="B887" s="62"/>
    </row>
    <row r="888">
      <c r="A888" s="62"/>
      <c r="B888" s="62"/>
    </row>
    <row r="889">
      <c r="A889" s="62"/>
      <c r="B889" s="62"/>
    </row>
    <row r="890">
      <c r="A890" s="62"/>
      <c r="B890" s="62"/>
    </row>
    <row r="891">
      <c r="A891" s="62"/>
      <c r="B891" s="62"/>
    </row>
    <row r="892">
      <c r="A892" s="62"/>
      <c r="B892" s="62"/>
    </row>
    <row r="893">
      <c r="A893" s="62"/>
      <c r="B893" s="62"/>
    </row>
    <row r="894">
      <c r="A894" s="62"/>
      <c r="B894" s="62"/>
    </row>
    <row r="895">
      <c r="A895" s="62"/>
      <c r="B895" s="62"/>
    </row>
    <row r="896">
      <c r="A896" s="62"/>
      <c r="B896" s="62"/>
    </row>
    <row r="897">
      <c r="A897" s="62"/>
      <c r="B897" s="62"/>
    </row>
    <row r="898">
      <c r="A898" s="62"/>
      <c r="B898" s="62"/>
    </row>
    <row r="899">
      <c r="A899" s="62"/>
      <c r="B899" s="62"/>
    </row>
    <row r="900">
      <c r="A900" s="62"/>
      <c r="B900" s="62"/>
    </row>
    <row r="901">
      <c r="A901" s="62"/>
      <c r="B901" s="62"/>
    </row>
    <row r="902">
      <c r="A902" s="62"/>
      <c r="B902" s="62"/>
    </row>
    <row r="903">
      <c r="A903" s="62"/>
      <c r="B903" s="62"/>
    </row>
    <row r="904">
      <c r="A904" s="62"/>
      <c r="B904" s="62"/>
    </row>
    <row r="905">
      <c r="A905" s="62"/>
      <c r="B905" s="62"/>
    </row>
    <row r="906">
      <c r="A906" s="62"/>
      <c r="B906" s="62"/>
    </row>
    <row r="907">
      <c r="A907" s="62"/>
      <c r="B907" s="62"/>
    </row>
    <row r="908">
      <c r="A908" s="62"/>
      <c r="B908" s="62"/>
    </row>
    <row r="909">
      <c r="A909" s="62"/>
      <c r="B909" s="62"/>
    </row>
    <row r="910">
      <c r="A910" s="62"/>
      <c r="B910" s="62"/>
    </row>
    <row r="911">
      <c r="A911" s="62"/>
      <c r="B911" s="62"/>
    </row>
    <row r="912">
      <c r="A912" s="62"/>
      <c r="B912" s="62"/>
    </row>
    <row r="913">
      <c r="A913" s="62"/>
      <c r="B913" s="62"/>
    </row>
    <row r="914">
      <c r="A914" s="62"/>
      <c r="B914" s="62"/>
    </row>
    <row r="915">
      <c r="A915" s="62"/>
      <c r="B915" s="62"/>
    </row>
    <row r="916">
      <c r="A916" s="62"/>
      <c r="B916" s="62"/>
    </row>
    <row r="917">
      <c r="A917" s="62"/>
      <c r="B917" s="62"/>
    </row>
    <row r="918">
      <c r="A918" s="62"/>
      <c r="B918" s="62"/>
    </row>
    <row r="919">
      <c r="A919" s="62"/>
      <c r="B919" s="62"/>
    </row>
    <row r="920">
      <c r="A920" s="62"/>
      <c r="B920" s="62"/>
    </row>
    <row r="921">
      <c r="A921" s="62"/>
      <c r="B921" s="62"/>
    </row>
    <row r="922">
      <c r="A922" s="62"/>
      <c r="B922" s="62"/>
    </row>
    <row r="923">
      <c r="A923" s="62"/>
      <c r="B923" s="62"/>
    </row>
    <row r="924">
      <c r="A924" s="62"/>
      <c r="B924" s="62"/>
    </row>
    <row r="925">
      <c r="A925" s="62"/>
      <c r="B925" s="62"/>
    </row>
    <row r="926">
      <c r="A926" s="62"/>
      <c r="B926" s="62"/>
    </row>
    <row r="927">
      <c r="A927" s="62"/>
      <c r="B927" s="62"/>
    </row>
    <row r="928">
      <c r="A928" s="62"/>
      <c r="B928" s="62"/>
    </row>
    <row r="929">
      <c r="A929" s="62"/>
      <c r="B929" s="62"/>
    </row>
    <row r="930">
      <c r="A930" s="62"/>
      <c r="B930" s="62"/>
    </row>
    <row r="931">
      <c r="A931" s="62"/>
      <c r="B931" s="62"/>
    </row>
    <row r="932">
      <c r="A932" s="62"/>
      <c r="B932" s="62"/>
    </row>
    <row r="933">
      <c r="A933" s="62"/>
      <c r="B933" s="62"/>
    </row>
    <row r="934">
      <c r="A934" s="62"/>
      <c r="B934" s="62"/>
    </row>
    <row r="935">
      <c r="A935" s="62"/>
      <c r="B935" s="62"/>
    </row>
    <row r="936">
      <c r="A936" s="62"/>
      <c r="B936" s="62"/>
    </row>
    <row r="937">
      <c r="A937" s="62"/>
      <c r="B937" s="62"/>
    </row>
    <row r="938">
      <c r="A938" s="62"/>
      <c r="B938" s="62"/>
    </row>
    <row r="939">
      <c r="A939" s="62"/>
      <c r="B939" s="62"/>
    </row>
    <row r="940">
      <c r="A940" s="62"/>
      <c r="B940" s="62"/>
    </row>
    <row r="941">
      <c r="A941" s="62"/>
      <c r="B941" s="62"/>
    </row>
    <row r="942">
      <c r="A942" s="62"/>
      <c r="B942" s="62"/>
    </row>
    <row r="943">
      <c r="A943" s="62"/>
      <c r="B943" s="62"/>
    </row>
    <row r="944">
      <c r="A944" s="62"/>
      <c r="B944" s="62"/>
    </row>
    <row r="945">
      <c r="A945" s="62"/>
      <c r="B945" s="62"/>
    </row>
    <row r="946">
      <c r="A946" s="62"/>
      <c r="B946" s="62"/>
    </row>
    <row r="947">
      <c r="A947" s="62"/>
      <c r="B947" s="62"/>
    </row>
    <row r="948">
      <c r="A948" s="62"/>
      <c r="B948" s="62"/>
    </row>
    <row r="949">
      <c r="A949" s="62"/>
      <c r="B949" s="62"/>
    </row>
    <row r="950">
      <c r="A950" s="62"/>
      <c r="B950" s="62"/>
    </row>
    <row r="951">
      <c r="A951" s="62"/>
      <c r="B951" s="62"/>
    </row>
    <row r="952">
      <c r="A952" s="62"/>
      <c r="B952" s="62"/>
    </row>
    <row r="953">
      <c r="A953" s="62"/>
      <c r="B953" s="62"/>
    </row>
    <row r="954">
      <c r="A954" s="62"/>
      <c r="B954" s="62"/>
    </row>
    <row r="955">
      <c r="A955" s="62"/>
      <c r="B955" s="62"/>
    </row>
    <row r="956">
      <c r="A956" s="62"/>
      <c r="B956" s="62"/>
    </row>
    <row r="957">
      <c r="A957" s="62"/>
      <c r="B957" s="62"/>
    </row>
    <row r="958">
      <c r="A958" s="62"/>
      <c r="B958" s="62"/>
    </row>
    <row r="959">
      <c r="A959" s="62"/>
      <c r="B959" s="62"/>
    </row>
    <row r="960">
      <c r="A960" s="62"/>
      <c r="B960" s="62"/>
    </row>
    <row r="961">
      <c r="A961" s="62"/>
      <c r="B961" s="62"/>
    </row>
    <row r="962">
      <c r="A962" s="62"/>
      <c r="B962" s="62"/>
    </row>
    <row r="963">
      <c r="A963" s="62"/>
      <c r="B963" s="62"/>
    </row>
    <row r="964">
      <c r="A964" s="62"/>
      <c r="B964" s="62"/>
    </row>
    <row r="965">
      <c r="A965" s="62"/>
      <c r="B965" s="62"/>
    </row>
    <row r="966">
      <c r="A966" s="62"/>
      <c r="B966" s="62"/>
    </row>
    <row r="967">
      <c r="A967" s="62"/>
      <c r="B967" s="62"/>
    </row>
    <row r="968">
      <c r="A968" s="62"/>
      <c r="B968" s="62"/>
    </row>
    <row r="969">
      <c r="A969" s="62"/>
      <c r="B969" s="62"/>
    </row>
    <row r="970">
      <c r="A970" s="62"/>
      <c r="B970" s="62"/>
    </row>
    <row r="971">
      <c r="A971" s="62"/>
      <c r="B971" s="62"/>
    </row>
    <row r="972">
      <c r="A972" s="62"/>
      <c r="B972" s="62"/>
    </row>
    <row r="973">
      <c r="A973" s="62"/>
      <c r="B973" s="62"/>
    </row>
    <row r="974">
      <c r="A974" s="62"/>
      <c r="B974" s="62"/>
    </row>
    <row r="975">
      <c r="A975" s="62"/>
      <c r="B975" s="62"/>
    </row>
    <row r="976">
      <c r="A976" s="62"/>
      <c r="B976" s="62"/>
    </row>
    <row r="977">
      <c r="A977" s="62"/>
      <c r="B977" s="62"/>
    </row>
    <row r="978">
      <c r="A978" s="62"/>
      <c r="B978" s="62"/>
    </row>
    <row r="979">
      <c r="A979" s="62"/>
      <c r="B979" s="62"/>
    </row>
    <row r="980">
      <c r="A980" s="62"/>
      <c r="B980" s="62"/>
    </row>
    <row r="981">
      <c r="A981" s="62"/>
      <c r="B981" s="62"/>
    </row>
    <row r="982">
      <c r="A982" s="62"/>
      <c r="B982" s="62"/>
    </row>
    <row r="983">
      <c r="A983" s="62"/>
      <c r="B983" s="62"/>
    </row>
    <row r="984">
      <c r="A984" s="62"/>
      <c r="B984" s="62"/>
    </row>
    <row r="985">
      <c r="A985" s="62"/>
      <c r="B985" s="62"/>
    </row>
    <row r="986">
      <c r="A986" s="62"/>
      <c r="B986" s="62"/>
    </row>
    <row r="987">
      <c r="A987" s="62"/>
      <c r="B987" s="62"/>
    </row>
    <row r="988">
      <c r="A988" s="62"/>
      <c r="B988" s="62"/>
    </row>
    <row r="989">
      <c r="A989" s="62"/>
      <c r="B989" s="62"/>
    </row>
    <row r="990">
      <c r="A990" s="62"/>
      <c r="B990" s="62"/>
    </row>
    <row r="991">
      <c r="A991" s="62"/>
      <c r="B991" s="62"/>
    </row>
    <row r="992">
      <c r="A992" s="62"/>
      <c r="B992" s="62"/>
    </row>
    <row r="993">
      <c r="A993" s="62"/>
      <c r="B993" s="62"/>
    </row>
    <row r="994">
      <c r="A994" s="62"/>
      <c r="B994" s="62"/>
    </row>
    <row r="995">
      <c r="A995" s="62"/>
      <c r="B995" s="62"/>
    </row>
    <row r="996">
      <c r="A996" s="62"/>
      <c r="B996" s="62"/>
    </row>
    <row r="997">
      <c r="A997" s="62"/>
      <c r="B997" s="62"/>
    </row>
    <row r="998">
      <c r="A998" s="62"/>
      <c r="B998" s="62"/>
    </row>
    <row r="999">
      <c r="A999" s="62"/>
      <c r="B999" s="62"/>
    </row>
    <row r="1000">
      <c r="A1000" s="62"/>
      <c r="B1000" s="62"/>
    </row>
  </sheetData>
  <mergeCells count="5">
    <mergeCell ref="A3:A4"/>
    <mergeCell ref="B3:B4"/>
    <mergeCell ref="C3:C4"/>
    <mergeCell ref="D3:D4"/>
    <mergeCell ref="E3:E4"/>
  </mergeCells>
  <drawing r:id="rId1"/>
</worksheet>
</file>